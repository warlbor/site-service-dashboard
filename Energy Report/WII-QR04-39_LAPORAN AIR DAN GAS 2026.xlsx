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ENERGI\"/>
    </mc:Choice>
  </mc:AlternateContent>
  <xr:revisionPtr revIDLastSave="0" documentId="13_ncr:1_{3C22D478-9B26-45E9-959C-BA937537B073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2025" sheetId="3" r:id="rId1"/>
    <sheet name="2026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4" l="1"/>
  <c r="L29" i="4" s="1"/>
  <c r="H30" i="4" l="1"/>
  <c r="I30" i="4"/>
  <c r="J30" i="4"/>
  <c r="E30" i="4"/>
  <c r="O20" i="4"/>
  <c r="I31" i="4" l="1"/>
  <c r="I32" i="4" s="1"/>
  <c r="J31" i="4"/>
  <c r="J32" i="4" s="1"/>
  <c r="H31" i="4"/>
  <c r="H32" i="4" s="1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H19" i="3"/>
  <c r="G19" i="3"/>
  <c r="F19" i="3"/>
  <c r="E19" i="3"/>
  <c r="H18" i="3"/>
  <c r="G18" i="3"/>
  <c r="F18" i="3"/>
  <c r="E18" i="3"/>
  <c r="H17" i="3"/>
  <c r="G17" i="3"/>
  <c r="F17" i="3"/>
  <c r="E17" i="3"/>
  <c r="H16" i="3"/>
  <c r="G16" i="3"/>
  <c r="F16" i="3"/>
  <c r="E16" i="3"/>
  <c r="H15" i="3"/>
  <c r="G15" i="3"/>
  <c r="F15" i="3"/>
  <c r="E15" i="3"/>
  <c r="H14" i="3"/>
  <c r="G14" i="3"/>
  <c r="F14" i="3"/>
  <c r="E14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G30" i="4"/>
  <c r="G31" i="4" s="1"/>
  <c r="G32" i="4" s="1"/>
  <c r="F30" i="4"/>
  <c r="F31" i="4" s="1"/>
  <c r="F32" i="4" s="1"/>
  <c r="E31" i="4"/>
  <c r="E32" i="4" s="1"/>
  <c r="N20" i="4"/>
  <c r="M20" i="4"/>
  <c r="L20" i="4"/>
  <c r="K20" i="4"/>
  <c r="J20" i="4"/>
  <c r="I20" i="4"/>
  <c r="D20" i="4"/>
  <c r="C20" i="4"/>
  <c r="B20" i="4"/>
  <c r="H19" i="4"/>
  <c r="G19" i="4"/>
  <c r="F19" i="4"/>
  <c r="E19" i="4"/>
  <c r="H18" i="4"/>
  <c r="G18" i="4"/>
  <c r="F18" i="4"/>
  <c r="E18" i="4"/>
  <c r="H17" i="4"/>
  <c r="G17" i="4"/>
  <c r="F17" i="4"/>
  <c r="E17" i="4"/>
  <c r="H16" i="4"/>
  <c r="G16" i="4"/>
  <c r="F16" i="4"/>
  <c r="E16" i="4"/>
  <c r="H15" i="4"/>
  <c r="G15" i="4"/>
  <c r="F15" i="4"/>
  <c r="E15" i="4"/>
  <c r="H14" i="4"/>
  <c r="G14" i="4"/>
  <c r="F14" i="4"/>
  <c r="E14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E20" i="4" l="1"/>
  <c r="F20" i="4"/>
  <c r="G20" i="4"/>
  <c r="H20" i="4"/>
</calcChain>
</file>

<file path=xl/sharedStrings.xml><?xml version="1.0" encoding="utf-8"?>
<sst xmlns="http://schemas.openxmlformats.org/spreadsheetml/2006/main" count="80" uniqueCount="48">
  <si>
    <t>WII-QR04-39</t>
  </si>
  <si>
    <t xml:space="preserve">能耗月度报表
 Energy Consumption Monthly Report  -2025                 </t>
  </si>
  <si>
    <t>水表
Water meter usage</t>
  </si>
  <si>
    <t>污水处理量
Sewage treatment capacity
（m3)</t>
  </si>
  <si>
    <t>燃气使用量
Gas usage (MMbtu)</t>
  </si>
  <si>
    <t>项目
Project</t>
  </si>
  <si>
    <t>PHASE 1</t>
  </si>
  <si>
    <t>PHASE 2</t>
  </si>
  <si>
    <t>二期总表用水
Phase II total water consumption
(m3)</t>
  </si>
  <si>
    <t>总表用水量 Total water consumption (m3)</t>
  </si>
  <si>
    <t>锅炉房  Boiler Room
(m3)
PHASE 1</t>
  </si>
  <si>
    <t>薄片车间 Workshop Production (m3)
PHASE 1</t>
  </si>
  <si>
    <t>副车间
Secondary
Workshop NF
(m3)
PHASE 1</t>
  </si>
  <si>
    <t>生活用水 Daily Water Use (m3)</t>
  </si>
  <si>
    <t>锅炉房  Boiler Room
(m3)
PHASE 2</t>
  </si>
  <si>
    <t>薄片车间 Workshop Production (m3)
PHASE 2</t>
  </si>
  <si>
    <t>二期生活用水 Daily Water Use
（m3)
PHASE 2</t>
  </si>
  <si>
    <t>日期
Date</t>
  </si>
  <si>
    <t>办公生活用水-5D
office 5D usage</t>
  </si>
  <si>
    <t>办公生活用水-5D1
office 5D1
usage</t>
  </si>
  <si>
    <t>技术中心  Technology Center 
usage</t>
  </si>
  <si>
    <t>品管实验室 Quality Control Laboratory
usage</t>
  </si>
  <si>
    <t>1/1-1/23</t>
  </si>
  <si>
    <t>安装水表后提供数据
Provide data after water meter installation
6月1日施工完成可以提供数据。</t>
  </si>
  <si>
    <t>2/1-2/27</t>
  </si>
  <si>
    <t>3/1-3/31</t>
  </si>
  <si>
    <t>4/1-4/30</t>
  </si>
  <si>
    <t>5/1-5/31</t>
  </si>
  <si>
    <t>6/1-6/30</t>
  </si>
  <si>
    <t>7/1-7/31</t>
  </si>
  <si>
    <t>8/1-8/31</t>
  </si>
  <si>
    <t>9/1-9/30</t>
  </si>
  <si>
    <t>10/1-10/30</t>
  </si>
  <si>
    <t>11/1-11/30</t>
  </si>
  <si>
    <t>12/1-12/31</t>
  </si>
  <si>
    <t>全年合计    Total for the year</t>
  </si>
  <si>
    <t>Production</t>
  </si>
  <si>
    <t>Boiler</t>
  </si>
  <si>
    <t>Other</t>
  </si>
  <si>
    <t xml:space="preserve">能耗月度报表
 Energy Consumption Monthly Report  -2026                 </t>
  </si>
  <si>
    <t>1/1-1/31</t>
  </si>
  <si>
    <t>2/1-2/28</t>
  </si>
  <si>
    <t>生产</t>
  </si>
  <si>
    <t>锅炉</t>
  </si>
  <si>
    <t>二期其他用水</t>
  </si>
  <si>
    <t>一期其他用水</t>
  </si>
  <si>
    <t>技术</t>
  </si>
  <si>
    <t>品管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</si>
</sst>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_);[Red]\(0\)"/>
    <numFmt numFmtId="166" formatCode="0_ "/>
  </numFmts>
  <fonts count="1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微软雅黑"/>
      <charset val="134"/>
    </font>
    <font>
      <b/>
      <sz val="10"/>
      <name val="微软雅黑"/>
      <charset val="134"/>
    </font>
    <font>
      <b/>
      <sz val="9"/>
      <name val="微软雅黑"/>
      <charset val="134"/>
    </font>
    <font>
      <b/>
      <sz val="10"/>
      <color theme="1"/>
      <name val="微软雅黑"/>
      <charset val="134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name val="宋体"/>
      <charset val="134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9" fillId="0" borderId="0">
      <alignment vertical="center"/>
    </xf>
  </cellStyleXfs>
  <cellXfs count="52">
    <xf numFmtId="0" fontId="0" fillId="0" borderId="0" xfId="0"/>
    <xf numFmtId="0" fontId="1" fillId="0" borderId="0" xfId="0" applyFont="1"/>
    <xf numFmtId="165" fontId="6" fillId="0" borderId="8" xfId="2" applyNumberFormat="1" applyFont="1" applyBorder="1" applyAlignment="1">
      <alignment horizontal="center" vertical="center"/>
    </xf>
    <xf numFmtId="1" fontId="4" fillId="0" borderId="8" xfId="3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65" fontId="6" fillId="0" borderId="8" xfId="2" applyNumberFormat="1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/>
    <xf numFmtId="166" fontId="0" fillId="0" borderId="0" xfId="0" applyNumberFormat="1"/>
    <xf numFmtId="0" fontId="7" fillId="0" borderId="8" xfId="0" applyFont="1" applyBorder="1" applyAlignment="1">
      <alignment horizontal="center" vertical="center" wrapText="1"/>
    </xf>
    <xf numFmtId="1" fontId="6" fillId="0" borderId="8" xfId="1" applyNumberFormat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1" fontId="6" fillId="3" borderId="8" xfId="1" applyNumberFormat="1" applyFont="1" applyFill="1" applyBorder="1" applyAlignment="1">
      <alignment horizontal="center" vertical="center"/>
    </xf>
    <xf numFmtId="0" fontId="8" fillId="0" borderId="0" xfId="0" applyFont="1"/>
    <xf numFmtId="0" fontId="0" fillId="0" borderId="8" xfId="0" applyBorder="1"/>
    <xf numFmtId="2" fontId="7" fillId="0" borderId="8" xfId="0" applyNumberFormat="1" applyFont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1" fontId="4" fillId="5" borderId="8" xfId="3" applyNumberFormat="1" applyFont="1" applyFill="1" applyBorder="1" applyAlignment="1">
      <alignment horizontal="center" vertical="center"/>
    </xf>
    <xf numFmtId="0" fontId="0" fillId="4" borderId="0" xfId="0" applyFill="1"/>
    <xf numFmtId="1" fontId="0" fillId="4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5" fontId="3" fillId="0" borderId="3" xfId="3" applyNumberFormat="1" applyFont="1" applyBorder="1" applyAlignment="1">
      <alignment horizontal="center" vertical="center" wrapText="1"/>
    </xf>
    <xf numFmtId="165" fontId="3" fillId="0" borderId="4" xfId="3" applyNumberFormat="1" applyFont="1" applyBorder="1" applyAlignment="1">
      <alignment horizontal="center" vertical="center" wrapText="1"/>
    </xf>
    <xf numFmtId="165" fontId="3" fillId="0" borderId="6" xfId="3" applyNumberFormat="1" applyFont="1" applyBorder="1" applyAlignment="1">
      <alignment horizontal="center" vertical="center" wrapText="1"/>
    </xf>
    <xf numFmtId="165" fontId="5" fillId="0" borderId="8" xfId="3" applyNumberFormat="1" applyFont="1" applyBorder="1" applyAlignment="1">
      <alignment horizontal="center" vertical="center" wrapText="1"/>
    </xf>
    <xf numFmtId="165" fontId="5" fillId="2" borderId="8" xfId="3" applyNumberFormat="1" applyFont="1" applyFill="1" applyBorder="1" applyAlignment="1">
      <alignment horizontal="center" vertical="center" wrapText="1"/>
    </xf>
    <xf numFmtId="165" fontId="6" fillId="0" borderId="10" xfId="2" applyNumberFormat="1" applyFont="1" applyBorder="1" applyAlignment="1">
      <alignment horizontal="left" vertical="center"/>
    </xf>
    <xf numFmtId="165" fontId="6" fillId="0" borderId="0" xfId="2" applyNumberFormat="1" applyFont="1" applyAlignment="1">
      <alignment horizontal="left" vertical="center"/>
    </xf>
    <xf numFmtId="165" fontId="4" fillId="0" borderId="5" xfId="3" applyNumberFormat="1" applyFont="1" applyBorder="1" applyAlignment="1">
      <alignment horizontal="right" vertical="center" wrapText="1"/>
    </xf>
    <xf numFmtId="165" fontId="4" fillId="0" borderId="7" xfId="3" applyNumberFormat="1" applyFont="1" applyBorder="1" applyAlignment="1">
      <alignment horizontal="right" vertical="center" wrapText="1"/>
    </xf>
    <xf numFmtId="165" fontId="4" fillId="0" borderId="7" xfId="3" applyNumberFormat="1" applyFont="1" applyBorder="1" applyAlignment="1">
      <alignment horizontal="left" vertical="center" wrapText="1"/>
    </xf>
    <xf numFmtId="165" fontId="4" fillId="0" borderId="9" xfId="3" applyNumberFormat="1" applyFont="1" applyBorder="1" applyAlignment="1">
      <alignment horizontal="left" vertical="center" wrapText="1"/>
    </xf>
    <xf numFmtId="165" fontId="5" fillId="0" borderId="5" xfId="3" applyNumberFormat="1" applyFont="1" applyBorder="1" applyAlignment="1">
      <alignment horizontal="center" vertical="center" wrapText="1"/>
    </xf>
    <xf numFmtId="165" fontId="5" fillId="0" borderId="7" xfId="3" applyNumberFormat="1" applyFont="1" applyBorder="1" applyAlignment="1">
      <alignment horizontal="center" vertical="center" wrapText="1"/>
    </xf>
    <xf numFmtId="165" fontId="5" fillId="0" borderId="9" xfId="3" applyNumberFormat="1" applyFont="1" applyBorder="1" applyAlignment="1">
      <alignment horizontal="center" vertical="center" wrapText="1"/>
    </xf>
    <xf numFmtId="165" fontId="5" fillId="2" borderId="5" xfId="3" applyNumberFormat="1" applyFont="1" applyFill="1" applyBorder="1" applyAlignment="1">
      <alignment horizontal="center" vertical="center" wrapText="1"/>
    </xf>
    <xf numFmtId="165" fontId="5" fillId="2" borderId="7" xfId="3" applyNumberFormat="1" applyFont="1" applyFill="1" applyBorder="1" applyAlignment="1">
      <alignment horizontal="center" vertical="center" wrapText="1"/>
    </xf>
    <xf numFmtId="165" fontId="5" fillId="2" borderId="9" xfId="3" applyNumberFormat="1" applyFont="1" applyFill="1" applyBorder="1" applyAlignment="1">
      <alignment horizontal="center" vertical="center" wrapText="1"/>
    </xf>
    <xf numFmtId="0" fontId="8" fillId="2" borderId="11" xfId="0" quotePrefix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165" fontId="5" fillId="4" borderId="8" xfId="3" applyNumberFormat="1" applyFont="1" applyFill="1" applyBorder="1" applyAlignment="1">
      <alignment horizontal="center" vertical="center" wrapText="1"/>
    </xf>
    <xf numFmtId="165" fontId="5" fillId="4" borderId="5" xfId="3" applyNumberFormat="1" applyFont="1" applyFill="1" applyBorder="1" applyAlignment="1">
      <alignment horizontal="center" vertical="center" wrapText="1"/>
    </xf>
    <xf numFmtId="165" fontId="5" fillId="4" borderId="7" xfId="3" applyNumberFormat="1" applyFont="1" applyFill="1" applyBorder="1" applyAlignment="1">
      <alignment horizontal="center" vertical="center" wrapText="1"/>
    </xf>
    <xf numFmtId="165" fontId="5" fillId="4" borderId="9" xfId="3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常规 9 4" xfId="2" xr:uid="{00000000-0005-0000-0000-000031000000}"/>
    <cellStyle name="常规_10吨锅炉用水登记表" xfId="3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12</a:t>
            </a:r>
            <a:r>
              <a:rPr lang="zh-CN" altLang="en-US"/>
              <a:t>月份全厂用水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9A2-4F2A-8E53-6FAE5528E17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9A2-4F2A-8E53-6FAE5528E17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9A2-4F2A-8E53-6FAE5528E173}"/>
              </c:ext>
            </c:extLst>
          </c:dPt>
          <c:dLbls>
            <c:dLbl>
              <c:idx val="0"/>
              <c:layout>
                <c:manualLayout>
                  <c:x val="-3.2475019215987701E-2"/>
                  <c:y val="-0.13359182234754999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56879323597198"/>
                      <c:h val="0.27564328516038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9A2-4F2A-8E53-6FAE5528E173}"/>
                </c:ext>
              </c:extLst>
            </c:dLbl>
            <c:dLbl>
              <c:idx val="1"/>
              <c:layout>
                <c:manualLayout>
                  <c:x val="-7.5134511913912405E-2"/>
                  <c:y val="-2.749383151216069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9A2-4F2A-8E53-6FAE5528E173}"/>
                </c:ext>
              </c:extLst>
            </c:dLbl>
            <c:dLbl>
              <c:idx val="2"/>
              <c:layout>
                <c:manualLayout>
                  <c:x val="-4.7655649500384298E-2"/>
                  <c:y val="-5.49876630243215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9A2-4F2A-8E53-6FAE5528E17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'2025'!$E$26:$G$26</c:f>
              <c:strCache>
                <c:ptCount val="3"/>
                <c:pt idx="0">
                  <c:v>Production</c:v>
                </c:pt>
                <c:pt idx="1">
                  <c:v>Boiler</c:v>
                </c:pt>
                <c:pt idx="2">
                  <c:v>Other</c:v>
                </c:pt>
              </c:strCache>
            </c:strRef>
          </c:cat>
          <c:val>
            <c:numRef>
              <c:f>'2025'!$E$27:$G$27</c:f>
              <c:numCache>
                <c:formatCode>General</c:formatCode>
                <c:ptCount val="3"/>
                <c:pt idx="0">
                  <c:v>3532</c:v>
                </c:pt>
                <c:pt idx="1">
                  <c:v>1454</c:v>
                </c:pt>
                <c:pt idx="2">
                  <c:v>1028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A2-4F2A-8E53-6FAE5528E17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0d545c9-14ef-4b1c-93e2-0add88223e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7</a:t>
            </a:r>
            <a:r>
              <a:rPr lang="zh-CN" altLang="en-US"/>
              <a:t>月份全厂用水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5C-4FB6-9D1F-F5FBD03709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25C-4FB6-9D1F-F5FBD03709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25C-4FB6-9D1F-F5FBD0370950}"/>
              </c:ext>
            </c:extLst>
          </c:dPt>
          <c:dLbls>
            <c:dLbl>
              <c:idx val="0"/>
              <c:layout>
                <c:manualLayout>
                  <c:x val="-7.3076212812785719E-3"/>
                  <c:y val="0.24306534818097661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068823549835128"/>
                      <c:h val="0.2756431335846001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25C-4FB6-9D1F-F5FBD0370950}"/>
                </c:ext>
              </c:extLst>
            </c:dLbl>
            <c:dLbl>
              <c:idx val="1"/>
              <c:layout>
                <c:manualLayout>
                  <c:x val="1.5976104779094499E-2"/>
                  <c:y val="0.1969155553740523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25C-4FB6-9D1F-F5FBD0370950}"/>
                </c:ext>
              </c:extLst>
            </c:dLbl>
            <c:dLbl>
              <c:idx val="2"/>
              <c:layout>
                <c:manualLayout>
                  <c:x val="-6.3891587914114492E-2"/>
                  <c:y val="-2.617608775221798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25C-4FB6-9D1F-F5FBD0370950}"/>
                </c:ext>
              </c:extLst>
            </c:dLbl>
            <c:dLbl>
              <c:idx val="3"/>
              <c:layout>
                <c:manualLayout>
                  <c:x val="0"/>
                  <c:y val="-0.11637734925781806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222352829241091"/>
                      <c:h val="0.246167901689353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FA51-4ACB-939A-50BD30EA0358}"/>
                </c:ext>
              </c:extLst>
            </c:dLbl>
            <c:dLbl>
              <c:idx val="4"/>
              <c:layout>
                <c:manualLayout>
                  <c:x val="0.14944274843346123"/>
                  <c:y val="-9.715537332087055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A51-4ACB-939A-50BD30EA0358}"/>
                </c:ext>
              </c:extLst>
            </c:dLbl>
            <c:dLbl>
              <c:idx val="5"/>
              <c:layout>
                <c:manualLayout>
                  <c:x val="0.3880397093003069"/>
                  <c:y val="4.0653241047055699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A51-4ACB-939A-50BD30EA03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'2026'!$E$26:$J$26</c:f>
              <c:strCache>
                <c:ptCount val="6"/>
                <c:pt idx="0">
                  <c:v>生产</c:v>
                </c:pt>
                <c:pt idx="1">
                  <c:v>锅炉</c:v>
                </c:pt>
                <c:pt idx="2">
                  <c:v>二期其他用水</c:v>
                </c:pt>
                <c:pt idx="3">
                  <c:v>一期其他用水</c:v>
                </c:pt>
                <c:pt idx="4">
                  <c:v>技术</c:v>
                </c:pt>
                <c:pt idx="5">
                  <c:v>品管</c:v>
                </c:pt>
              </c:strCache>
            </c:strRef>
          </c:cat>
          <c:val>
            <c:numRef>
              <c:f>'2026'!$E$27:$J$27</c:f>
              <c:numCache>
                <c:formatCode>General</c:formatCode>
                <c:ptCount val="6"/>
                <c:pt idx="0">
                  <c:v>3486</c:v>
                </c:pt>
                <c:pt idx="1">
                  <c:v>2072</c:v>
                </c:pt>
                <c:pt idx="2">
                  <c:v>516</c:v>
                </c:pt>
                <c:pt idx="3">
                  <c:v>776</c:v>
                </c:pt>
                <c:pt idx="4">
                  <c:v>166</c:v>
                </c:pt>
                <c:pt idx="5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5C-4FB6-9D1F-F5FBD037095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0d545c9-14ef-4b1c-93e2-0add88223e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9525</xdr:rowOff>
    </xdr:from>
    <xdr:to>
      <xdr:col>0</xdr:col>
      <xdr:colOff>19050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>
        <a:xfrm>
          <a:off x="19050" y="909955"/>
          <a:ext cx="0" cy="11080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19050</xdr:colOff>
      <xdr:row>3</xdr:row>
      <xdr:rowOff>9525</xdr:rowOff>
    </xdr:from>
    <xdr:to>
      <xdr:col>0</xdr:col>
      <xdr:colOff>19050</xdr:colOff>
      <xdr:row>5</xdr:row>
      <xdr:rowOff>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>
        <a:xfrm>
          <a:off x="19050" y="1348105"/>
          <a:ext cx="0" cy="6699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19050</xdr:colOff>
      <xdr:row>3</xdr:row>
      <xdr:rowOff>9525</xdr:rowOff>
    </xdr:from>
    <xdr:to>
      <xdr:col>1</xdr:col>
      <xdr:colOff>0</xdr:colOff>
      <xdr:row>7</xdr:row>
      <xdr:rowOff>7327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>
          <a:stCxn id="3" idx="0"/>
        </xdr:cNvCxnSpPr>
      </xdr:nvCxnSpPr>
      <xdr:spPr>
        <a:xfrm>
          <a:off x="19050" y="1348105"/>
          <a:ext cx="895985" cy="1834515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148590</xdr:colOff>
      <xdr:row>20</xdr:row>
      <xdr:rowOff>165100</xdr:rowOff>
    </xdr:from>
    <xdr:to>
      <xdr:col>10</xdr:col>
      <xdr:colOff>810895</xdr:colOff>
      <xdr:row>30</xdr:row>
      <xdr:rowOff>45085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</xdr:row>
      <xdr:rowOff>9525</xdr:rowOff>
    </xdr:from>
    <xdr:to>
      <xdr:col>0</xdr:col>
      <xdr:colOff>19050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>
        <a:xfrm>
          <a:off x="19050" y="909955"/>
          <a:ext cx="0" cy="110807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19050</xdr:colOff>
      <xdr:row>3</xdr:row>
      <xdr:rowOff>9525</xdr:rowOff>
    </xdr:from>
    <xdr:to>
      <xdr:col>0</xdr:col>
      <xdr:colOff>19050</xdr:colOff>
      <xdr:row>5</xdr:row>
      <xdr:rowOff>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ShapeType="1"/>
        </xdr:cNvSpPr>
      </xdr:nvSpPr>
      <xdr:spPr>
        <a:xfrm>
          <a:off x="19050" y="1348105"/>
          <a:ext cx="0" cy="669925"/>
        </a:xfrm>
        <a:prstGeom prst="line">
          <a:avLst/>
        </a:prstGeom>
        <a:noFill/>
        <a:ln w="9525">
          <a:solidFill>
            <a:srgbClr val="000000"/>
          </a:solidFill>
          <a:round/>
        </a:ln>
      </xdr:spPr>
    </xdr:sp>
    <xdr:clientData/>
  </xdr:twoCellAnchor>
  <xdr:twoCellAnchor>
    <xdr:from>
      <xdr:col>0</xdr:col>
      <xdr:colOff>19050</xdr:colOff>
      <xdr:row>3</xdr:row>
      <xdr:rowOff>9525</xdr:rowOff>
    </xdr:from>
    <xdr:to>
      <xdr:col>1</xdr:col>
      <xdr:colOff>0</xdr:colOff>
      <xdr:row>7</xdr:row>
      <xdr:rowOff>7327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>
          <a:stCxn id="3" idx="0"/>
        </xdr:cNvCxnSpPr>
      </xdr:nvCxnSpPr>
      <xdr:spPr>
        <a:xfrm>
          <a:off x="19050" y="1348105"/>
          <a:ext cx="895985" cy="1834515"/>
        </a:xfrm>
        <a:prstGeom prst="line">
          <a:avLst/>
        </a:prstGeom>
        <a:ln w="12700">
          <a:solidFill>
            <a:sysClr val="windowText" lastClr="000000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41413</xdr:colOff>
      <xdr:row>21</xdr:row>
      <xdr:rowOff>6956</xdr:rowOff>
    </xdr:from>
    <xdr:to>
      <xdr:col>17</xdr:col>
      <xdr:colOff>148121</xdr:colOff>
      <xdr:row>38</xdr:row>
      <xdr:rowOff>49695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27"/>
  <sheetViews>
    <sheetView topLeftCell="A7" zoomScale="115" zoomScaleNormal="115" workbookViewId="0">
      <selection activeCell="E27" sqref="E27"/>
    </sheetView>
  </sheetViews>
  <sheetFormatPr defaultColWidth="9" defaultRowHeight="15"/>
  <cols>
    <col min="1" max="1" width="13.7109375" customWidth="1"/>
    <col min="2" max="8" width="12" customWidth="1"/>
    <col min="9" max="12" width="13.85546875" customWidth="1"/>
    <col min="13" max="14" width="13.42578125" customWidth="1"/>
    <col min="15" max="15" width="13.28515625" customWidth="1"/>
  </cols>
  <sheetData>
    <row r="1" spans="1:20" ht="18" customHeight="1">
      <c r="A1" s="1" t="s">
        <v>0</v>
      </c>
    </row>
    <row r="2" spans="1:20" ht="52.9" customHeight="1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20" ht="34.5" customHeight="1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7"/>
      <c r="N3" s="29" t="s">
        <v>3</v>
      </c>
      <c r="O3" s="29" t="s">
        <v>4</v>
      </c>
    </row>
    <row r="4" spans="1:20" ht="34.5" customHeight="1">
      <c r="A4" s="32" t="s">
        <v>5</v>
      </c>
      <c r="B4" s="25" t="s">
        <v>6</v>
      </c>
      <c r="C4" s="26"/>
      <c r="D4" s="26"/>
      <c r="E4" s="26"/>
      <c r="F4" s="26"/>
      <c r="G4" s="26"/>
      <c r="H4" s="27"/>
      <c r="I4" s="25" t="s">
        <v>7</v>
      </c>
      <c r="J4" s="26"/>
      <c r="K4" s="26"/>
      <c r="L4" s="39" t="s">
        <v>8</v>
      </c>
      <c r="M4" s="39" t="s">
        <v>9</v>
      </c>
      <c r="N4" s="29"/>
      <c r="O4" s="29"/>
    </row>
    <row r="5" spans="1:20" ht="18.95" customHeight="1">
      <c r="A5" s="33"/>
      <c r="B5" s="29" t="s">
        <v>10</v>
      </c>
      <c r="C5" s="29" t="s">
        <v>11</v>
      </c>
      <c r="D5" s="29" t="s">
        <v>12</v>
      </c>
      <c r="E5" s="28" t="s">
        <v>13</v>
      </c>
      <c r="F5" s="28"/>
      <c r="G5" s="28"/>
      <c r="H5" s="28"/>
      <c r="I5" s="29" t="s">
        <v>14</v>
      </c>
      <c r="J5" s="29" t="s">
        <v>15</v>
      </c>
      <c r="K5" s="49" t="s">
        <v>16</v>
      </c>
      <c r="L5" s="40"/>
      <c r="M5" s="40"/>
      <c r="N5" s="29"/>
      <c r="O5" s="29"/>
    </row>
    <row r="6" spans="1:20" ht="31.15" customHeight="1">
      <c r="A6" s="34" t="s">
        <v>17</v>
      </c>
      <c r="B6" s="29"/>
      <c r="C6" s="29"/>
      <c r="D6" s="29"/>
      <c r="E6" s="48" t="s">
        <v>18</v>
      </c>
      <c r="F6" s="48" t="s">
        <v>19</v>
      </c>
      <c r="G6" s="28" t="s">
        <v>20</v>
      </c>
      <c r="H6" s="28" t="s">
        <v>21</v>
      </c>
      <c r="I6" s="29"/>
      <c r="J6" s="29"/>
      <c r="K6" s="50"/>
      <c r="L6" s="40"/>
      <c r="M6" s="40"/>
      <c r="N6" s="29"/>
      <c r="O6" s="29"/>
    </row>
    <row r="7" spans="1:20" ht="60" customHeight="1">
      <c r="A7" s="35"/>
      <c r="B7" s="29"/>
      <c r="C7" s="29"/>
      <c r="D7" s="29"/>
      <c r="E7" s="48"/>
      <c r="F7" s="48"/>
      <c r="G7" s="28"/>
      <c r="H7" s="28"/>
      <c r="I7" s="29"/>
      <c r="J7" s="29"/>
      <c r="K7" s="51"/>
      <c r="L7" s="41"/>
      <c r="M7" s="41"/>
      <c r="N7" s="29"/>
      <c r="O7" s="29"/>
    </row>
    <row r="8" spans="1:20" ht="14.25" customHeight="1">
      <c r="A8" s="2" t="s">
        <v>22</v>
      </c>
      <c r="B8" s="20">
        <v>363</v>
      </c>
      <c r="C8" s="20">
        <v>552</v>
      </c>
      <c r="D8" s="4">
        <v>70</v>
      </c>
      <c r="E8" s="4">
        <f>(M8-B8-C8-D8-L8)*0.4</f>
        <v>640.4</v>
      </c>
      <c r="F8" s="4">
        <f>(M8-B8-C8-D8-L8)*0.3</f>
        <v>480.3</v>
      </c>
      <c r="G8" s="4">
        <f>(M8-B8-C8-D8-L8)*0.14</f>
        <v>224.14</v>
      </c>
      <c r="H8" s="5">
        <f>(M8-B8-C8-D8-L8)*0.16</f>
        <v>256.16000000000003</v>
      </c>
      <c r="I8" s="42" t="s">
        <v>23</v>
      </c>
      <c r="J8" s="43"/>
      <c r="K8" s="44"/>
      <c r="L8" s="4">
        <v>3037</v>
      </c>
      <c r="M8" s="4">
        <v>5623</v>
      </c>
      <c r="N8" s="4">
        <v>1220</v>
      </c>
      <c r="O8" s="13">
        <v>6463.84</v>
      </c>
    </row>
    <row r="9" spans="1:20" ht="14.25" customHeight="1">
      <c r="A9" s="2" t="s">
        <v>24</v>
      </c>
      <c r="B9" s="20">
        <v>165</v>
      </c>
      <c r="C9" s="20">
        <v>324</v>
      </c>
      <c r="D9" s="4">
        <v>8</v>
      </c>
      <c r="E9" s="4">
        <f>(M9-B9-C9-D9-L9)*0.35</f>
        <v>322</v>
      </c>
      <c r="F9" s="4">
        <f>(M9-B9-C9-D9-L9)*0.35</f>
        <v>322</v>
      </c>
      <c r="G9" s="4">
        <f>(M9-B9-C9-D9-L9)*0.15</f>
        <v>138</v>
      </c>
      <c r="H9" s="4">
        <f>(M9-B9-C9-D9-L9)*0.15</f>
        <v>138</v>
      </c>
      <c r="I9" s="45"/>
      <c r="J9" s="46"/>
      <c r="K9" s="47"/>
      <c r="L9" s="4">
        <v>441</v>
      </c>
      <c r="M9" s="4">
        <v>1858</v>
      </c>
      <c r="N9" s="4">
        <v>468</v>
      </c>
      <c r="O9" s="13">
        <v>947.2</v>
      </c>
    </row>
    <row r="10" spans="1:20" ht="14.25" customHeight="1">
      <c r="A10" s="2" t="s">
        <v>25</v>
      </c>
      <c r="B10" s="20">
        <v>295</v>
      </c>
      <c r="C10" s="20">
        <v>84</v>
      </c>
      <c r="D10" s="4">
        <v>10</v>
      </c>
      <c r="E10" s="4">
        <f>(M10-B10-C10-D10-L10)*0.35</f>
        <v>444.5</v>
      </c>
      <c r="F10" s="4">
        <f>(M10-B10-C10-D10-L10)*0.35</f>
        <v>444.5</v>
      </c>
      <c r="G10" s="4">
        <f>(M10-B10-C10-D10-L10)*0.15</f>
        <v>190.5</v>
      </c>
      <c r="H10" s="4">
        <f>(M10-B10-C10-D10-L10)*0.15</f>
        <v>190.5</v>
      </c>
      <c r="I10" s="45"/>
      <c r="J10" s="46"/>
      <c r="K10" s="47"/>
      <c r="L10" s="4">
        <v>312</v>
      </c>
      <c r="M10" s="4">
        <v>1971</v>
      </c>
      <c r="N10" s="4">
        <v>418</v>
      </c>
      <c r="O10" s="13">
        <v>1121</v>
      </c>
    </row>
    <row r="11" spans="1:20" ht="14.25" customHeight="1">
      <c r="A11" s="2" t="s">
        <v>26</v>
      </c>
      <c r="B11" s="20">
        <v>90</v>
      </c>
      <c r="C11" s="20">
        <v>88</v>
      </c>
      <c r="D11" s="4">
        <v>15</v>
      </c>
      <c r="E11" s="4">
        <f>(M11-B11-C11-D11-L11)*0.35</f>
        <v>504.35</v>
      </c>
      <c r="F11" s="4">
        <f>(M11-B11-C11-D11-L11)*0.35</f>
        <v>504.35</v>
      </c>
      <c r="G11" s="4">
        <f>(M11-B11-C11-D11-L11)*0.15</f>
        <v>216.15</v>
      </c>
      <c r="H11" s="4">
        <f>(M11-B11-C11-D11-L11)*0.15</f>
        <v>216.15</v>
      </c>
      <c r="I11" s="45"/>
      <c r="J11" s="46"/>
      <c r="K11" s="47"/>
      <c r="L11" s="4">
        <v>1612</v>
      </c>
      <c r="M11" s="4">
        <v>3246</v>
      </c>
      <c r="N11" s="4">
        <v>837</v>
      </c>
      <c r="O11" s="13">
        <v>3209</v>
      </c>
    </row>
    <row r="12" spans="1:20" ht="14.25" customHeight="1">
      <c r="A12" s="2" t="s">
        <v>27</v>
      </c>
      <c r="B12" s="20">
        <v>366</v>
      </c>
      <c r="C12" s="20">
        <v>863</v>
      </c>
      <c r="D12" s="4">
        <v>13</v>
      </c>
      <c r="E12" s="5">
        <f>(M12-B12-C12-D12-L12)*0.35</f>
        <v>341.6</v>
      </c>
      <c r="F12" s="4">
        <f>(M12-B12-C12-D12-L12)*0.35</f>
        <v>341.6</v>
      </c>
      <c r="G12" s="4">
        <f>(M12-B12-C12-D12-L12)*0.15</f>
        <v>146.4</v>
      </c>
      <c r="H12" s="5">
        <f>(M12-B12-C12-D12-L12)*0.15</f>
        <v>146.4</v>
      </c>
      <c r="I12" s="45"/>
      <c r="J12" s="46"/>
      <c r="K12" s="47"/>
      <c r="L12" s="4">
        <v>816</v>
      </c>
      <c r="M12" s="4">
        <v>3034</v>
      </c>
      <c r="N12" s="4">
        <v>951</v>
      </c>
      <c r="O12" s="4">
        <v>2551</v>
      </c>
    </row>
    <row r="13" spans="1:20" ht="14.25" customHeight="1">
      <c r="A13" s="2" t="s">
        <v>28</v>
      </c>
      <c r="B13" s="20">
        <v>93</v>
      </c>
      <c r="C13" s="20">
        <v>190</v>
      </c>
      <c r="D13" s="4">
        <v>8</v>
      </c>
      <c r="E13" s="5">
        <f>(M13-B13-C13-D13-L13-K13)*0.35</f>
        <v>199.85</v>
      </c>
      <c r="F13" s="5">
        <f>(M13-B13-C13-D13-L13-K13)*0.35</f>
        <v>199.85</v>
      </c>
      <c r="G13" s="5">
        <f>(M13-B13-C13-D13-L13-K13)*0.15</f>
        <v>85.65</v>
      </c>
      <c r="H13" s="5">
        <f>(M13-B13-C13-D13-L13-K13)*0.15</f>
        <v>85.65</v>
      </c>
      <c r="I13" s="4">
        <v>1394</v>
      </c>
      <c r="J13" s="4">
        <v>1844</v>
      </c>
      <c r="K13" s="4">
        <v>408</v>
      </c>
      <c r="L13" s="4">
        <v>3238</v>
      </c>
      <c r="M13" s="14">
        <v>4508</v>
      </c>
      <c r="N13" s="4">
        <v>1190</v>
      </c>
      <c r="O13" s="13">
        <v>6254</v>
      </c>
    </row>
    <row r="14" spans="1:20" ht="14.25" customHeight="1">
      <c r="A14" s="2" t="s">
        <v>29</v>
      </c>
      <c r="B14" s="20">
        <v>255</v>
      </c>
      <c r="C14" s="20">
        <v>313</v>
      </c>
      <c r="D14" s="4">
        <v>6</v>
      </c>
      <c r="E14" s="5">
        <f t="shared" ref="E14:E19" si="0">(M14-B14-C14-D14-L14-K14)*0.35</f>
        <v>303.10000000000002</v>
      </c>
      <c r="F14" s="5">
        <f t="shared" ref="F14:F19" si="1">(M14-B14-C14-D14-L14-K14)*0.35</f>
        <v>303.10000000000002</v>
      </c>
      <c r="G14" s="5">
        <f t="shared" ref="G14:G19" si="2">(M14-B14-C14-D14-L14-K14)*0.15</f>
        <v>129.9</v>
      </c>
      <c r="H14" s="5">
        <f t="shared" ref="H14:H19" si="3">(M14-B14-C14-D14-L14-K14)*0.15</f>
        <v>129.9</v>
      </c>
      <c r="I14" s="11">
        <v>778</v>
      </c>
      <c r="J14" s="11">
        <v>1794</v>
      </c>
      <c r="K14" s="11">
        <v>380</v>
      </c>
      <c r="L14" s="4">
        <v>2572</v>
      </c>
      <c r="M14" s="14">
        <v>4392</v>
      </c>
      <c r="N14" s="4">
        <v>966</v>
      </c>
      <c r="O14" s="13">
        <v>6477</v>
      </c>
      <c r="P14" s="15"/>
    </row>
    <row r="15" spans="1:20" ht="14.25" customHeight="1">
      <c r="A15" s="2" t="s">
        <v>30</v>
      </c>
      <c r="B15" s="20">
        <v>235</v>
      </c>
      <c r="C15" s="20">
        <v>465</v>
      </c>
      <c r="D15" s="4">
        <v>6</v>
      </c>
      <c r="E15" s="5">
        <f t="shared" si="0"/>
        <v>273.7</v>
      </c>
      <c r="F15" s="5">
        <f t="shared" si="1"/>
        <v>273.7</v>
      </c>
      <c r="G15" s="5">
        <f t="shared" si="2"/>
        <v>117.3</v>
      </c>
      <c r="H15" s="5">
        <f t="shared" si="3"/>
        <v>117.3</v>
      </c>
      <c r="I15" s="11">
        <v>367</v>
      </c>
      <c r="J15" s="11">
        <v>518</v>
      </c>
      <c r="K15" s="11">
        <v>359</v>
      </c>
      <c r="L15" s="4">
        <v>885</v>
      </c>
      <c r="M15" s="14">
        <v>2732</v>
      </c>
      <c r="N15" s="4">
        <v>509</v>
      </c>
      <c r="O15" s="13">
        <v>2421.2800000000002</v>
      </c>
      <c r="T15" s="19"/>
    </row>
    <row r="16" spans="1:20" ht="14.25" customHeight="1">
      <c r="A16" s="2" t="s">
        <v>31</v>
      </c>
      <c r="B16" s="3">
        <v>181</v>
      </c>
      <c r="C16" s="3">
        <v>373</v>
      </c>
      <c r="D16" s="4">
        <v>8</v>
      </c>
      <c r="E16" s="5">
        <f t="shared" si="0"/>
        <v>262.14999999999998</v>
      </c>
      <c r="F16" s="5">
        <f t="shared" si="1"/>
        <v>262.14999999999998</v>
      </c>
      <c r="G16" s="5">
        <f t="shared" si="2"/>
        <v>112.35</v>
      </c>
      <c r="H16" s="5">
        <f t="shared" si="3"/>
        <v>112.35</v>
      </c>
      <c r="I16" s="11">
        <v>403</v>
      </c>
      <c r="J16" s="11">
        <v>403</v>
      </c>
      <c r="K16" s="11">
        <v>367</v>
      </c>
      <c r="L16" s="4">
        <v>806</v>
      </c>
      <c r="M16" s="12">
        <v>2484</v>
      </c>
      <c r="N16" s="4">
        <v>484</v>
      </c>
      <c r="O16" s="13">
        <v>2613.12</v>
      </c>
    </row>
    <row r="17" spans="1:15" ht="14.25" customHeight="1">
      <c r="A17" s="2" t="s">
        <v>32</v>
      </c>
      <c r="B17" s="3">
        <v>150</v>
      </c>
      <c r="C17" s="3">
        <v>175</v>
      </c>
      <c r="D17" s="4">
        <v>4</v>
      </c>
      <c r="E17" s="5">
        <f t="shared" si="0"/>
        <v>203.7</v>
      </c>
      <c r="F17" s="5">
        <f t="shared" si="1"/>
        <v>203.7</v>
      </c>
      <c r="G17" s="5">
        <f t="shared" si="2"/>
        <v>87.3</v>
      </c>
      <c r="H17" s="5">
        <f t="shared" si="3"/>
        <v>87.3</v>
      </c>
      <c r="I17" s="11">
        <v>1089</v>
      </c>
      <c r="J17" s="11">
        <v>2012</v>
      </c>
      <c r="K17" s="11">
        <v>450</v>
      </c>
      <c r="L17" s="4">
        <v>3101</v>
      </c>
      <c r="M17" s="12">
        <v>4462</v>
      </c>
      <c r="N17" s="4">
        <v>1160</v>
      </c>
      <c r="O17" s="13">
        <v>5459</v>
      </c>
    </row>
    <row r="18" spans="1:15" ht="14.25" customHeight="1">
      <c r="A18" s="2" t="s">
        <v>33</v>
      </c>
      <c r="B18" s="3">
        <v>143</v>
      </c>
      <c r="C18" s="3">
        <v>312</v>
      </c>
      <c r="D18" s="4">
        <v>4</v>
      </c>
      <c r="E18" s="5">
        <f t="shared" si="0"/>
        <v>142.80000000000001</v>
      </c>
      <c r="F18" s="5">
        <f t="shared" si="1"/>
        <v>142.80000000000001</v>
      </c>
      <c r="G18" s="5">
        <f t="shared" si="2"/>
        <v>61.2</v>
      </c>
      <c r="H18" s="5">
        <f t="shared" si="3"/>
        <v>61.2</v>
      </c>
      <c r="I18" s="11">
        <v>642</v>
      </c>
      <c r="J18" s="11">
        <v>1903</v>
      </c>
      <c r="K18" s="11">
        <v>319</v>
      </c>
      <c r="L18" s="4">
        <v>2545</v>
      </c>
      <c r="M18" s="12">
        <v>3731</v>
      </c>
      <c r="N18" s="4">
        <v>799</v>
      </c>
      <c r="O18" s="13">
        <v>3142</v>
      </c>
    </row>
    <row r="19" spans="1:15" ht="14.25" customHeight="1">
      <c r="A19" s="2" t="s">
        <v>34</v>
      </c>
      <c r="B19" s="3">
        <v>298</v>
      </c>
      <c r="C19" s="3">
        <v>570</v>
      </c>
      <c r="D19" s="4">
        <v>2</v>
      </c>
      <c r="E19" s="5">
        <f t="shared" si="0"/>
        <v>214.2</v>
      </c>
      <c r="F19" s="5">
        <f t="shared" si="1"/>
        <v>214.2</v>
      </c>
      <c r="G19" s="5">
        <f t="shared" si="2"/>
        <v>91.8</v>
      </c>
      <c r="H19" s="5">
        <f t="shared" si="3"/>
        <v>91.8</v>
      </c>
      <c r="I19" s="11">
        <v>1156</v>
      </c>
      <c r="J19" s="11">
        <v>2960</v>
      </c>
      <c r="K19" s="11">
        <v>416</v>
      </c>
      <c r="L19" s="4">
        <v>4116</v>
      </c>
      <c r="M19" s="12">
        <v>6014</v>
      </c>
      <c r="N19" s="4">
        <v>1415</v>
      </c>
      <c r="O19" s="13">
        <v>6286</v>
      </c>
    </row>
    <row r="20" spans="1:15" ht="48.75" customHeight="1">
      <c r="A20" s="6" t="s">
        <v>35</v>
      </c>
      <c r="B20" s="7">
        <f t="shared" ref="B20:O20" si="4">SUM(B8:B19)</f>
        <v>2634</v>
      </c>
      <c r="C20" s="7">
        <f t="shared" si="4"/>
        <v>4309</v>
      </c>
      <c r="D20" s="7">
        <f t="shared" si="4"/>
        <v>154</v>
      </c>
      <c r="E20" s="7">
        <f t="shared" si="4"/>
        <v>3852.35</v>
      </c>
      <c r="F20" s="7">
        <f t="shared" si="4"/>
        <v>3692.25</v>
      </c>
      <c r="G20" s="7">
        <f t="shared" si="4"/>
        <v>1600.69</v>
      </c>
      <c r="H20" s="7">
        <f t="shared" si="4"/>
        <v>1632.71</v>
      </c>
      <c r="I20" s="7">
        <f t="shared" si="4"/>
        <v>5829</v>
      </c>
      <c r="J20" s="7">
        <f t="shared" si="4"/>
        <v>11434</v>
      </c>
      <c r="K20" s="7">
        <f t="shared" si="4"/>
        <v>2699</v>
      </c>
      <c r="L20" s="7">
        <f t="shared" si="4"/>
        <v>23481</v>
      </c>
      <c r="M20" s="7">
        <f t="shared" si="4"/>
        <v>44055</v>
      </c>
      <c r="N20" s="7">
        <f t="shared" si="4"/>
        <v>10417</v>
      </c>
      <c r="O20" s="17">
        <f t="shared" si="4"/>
        <v>46944.44</v>
      </c>
    </row>
    <row r="21" spans="1:15" ht="16.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1:15">
      <c r="M22" s="18"/>
    </row>
    <row r="23" spans="1:15">
      <c r="M23" s="18"/>
    </row>
    <row r="26" spans="1:15">
      <c r="E26" s="8" t="s">
        <v>36</v>
      </c>
      <c r="F26" s="8" t="s">
        <v>37</v>
      </c>
      <c r="G26" s="8" t="s">
        <v>38</v>
      </c>
    </row>
    <row r="27" spans="1:15">
      <c r="E27" s="8">
        <v>3532</v>
      </c>
      <c r="F27" s="8">
        <v>1454</v>
      </c>
      <c r="G27" s="8">
        <v>1028</v>
      </c>
    </row>
  </sheetData>
  <mergeCells count="23">
    <mergeCell ref="I8:K12"/>
    <mergeCell ref="A21:N21"/>
    <mergeCell ref="A4:A5"/>
    <mergeCell ref="A6:A7"/>
    <mergeCell ref="B5:B7"/>
    <mergeCell ref="C5:C7"/>
    <mergeCell ref="D5:D7"/>
    <mergeCell ref="E6:E7"/>
    <mergeCell ref="F6:F7"/>
    <mergeCell ref="G6:G7"/>
    <mergeCell ref="H6:H7"/>
    <mergeCell ref="I5:I7"/>
    <mergeCell ref="J5:J7"/>
    <mergeCell ref="K5:K7"/>
    <mergeCell ref="L4:L7"/>
    <mergeCell ref="M4:M7"/>
    <mergeCell ref="N3:N7"/>
    <mergeCell ref="A2:O2"/>
    <mergeCell ref="A3:M3"/>
    <mergeCell ref="B4:H4"/>
    <mergeCell ref="I4:K4"/>
    <mergeCell ref="E5:H5"/>
    <mergeCell ref="O3:O7"/>
  </mergeCells>
  <pageMargins left="0.7" right="0.7" top="0.75" bottom="0.75" header="0.3" footer="0.3"/>
  <pageSetup paperSize="9" scale="8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32"/>
  <sheetViews>
    <sheetView tabSelected="1" topLeftCell="A2" zoomScale="115" zoomScaleNormal="115" workbookViewId="0">
      <selection activeCell="E29" sqref="E29"/>
    </sheetView>
  </sheetViews>
  <sheetFormatPr defaultColWidth="9" defaultRowHeight="15"/>
  <cols>
    <col min="1" max="1" width="13.7109375" customWidth="1"/>
    <col min="2" max="8" width="12" customWidth="1"/>
    <col min="9" max="12" width="13.85546875" customWidth="1"/>
    <col min="13" max="14" width="13.42578125" customWidth="1"/>
    <col min="15" max="15" width="13.28515625" customWidth="1"/>
  </cols>
  <sheetData>
    <row r="1" spans="1:20" ht="18" customHeight="1">
      <c r="A1" s="1" t="s">
        <v>0</v>
      </c>
    </row>
    <row r="2" spans="1:20" ht="52.9" customHeight="1">
      <c r="A2" s="23" t="s">
        <v>39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20" ht="34.5" customHeight="1">
      <c r="A3" s="25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7"/>
      <c r="N3" s="29" t="s">
        <v>3</v>
      </c>
      <c r="O3" s="29" t="s">
        <v>4</v>
      </c>
    </row>
    <row r="4" spans="1:20" ht="34.5" customHeight="1">
      <c r="A4" s="32" t="s">
        <v>5</v>
      </c>
      <c r="B4" s="25" t="s">
        <v>6</v>
      </c>
      <c r="C4" s="26"/>
      <c r="D4" s="26"/>
      <c r="E4" s="26"/>
      <c r="F4" s="26"/>
      <c r="G4" s="26"/>
      <c r="H4" s="27"/>
      <c r="I4" s="25" t="s">
        <v>7</v>
      </c>
      <c r="J4" s="26"/>
      <c r="K4" s="26"/>
      <c r="L4" s="39" t="s">
        <v>8</v>
      </c>
      <c r="M4" s="39" t="s">
        <v>9</v>
      </c>
      <c r="N4" s="29"/>
      <c r="O4" s="29"/>
    </row>
    <row r="5" spans="1:20" ht="18.95" customHeight="1">
      <c r="A5" s="33"/>
      <c r="B5" s="29" t="s">
        <v>10</v>
      </c>
      <c r="C5" s="29" t="s">
        <v>11</v>
      </c>
      <c r="D5" s="29" t="s">
        <v>12</v>
      </c>
      <c r="E5" s="28" t="s">
        <v>13</v>
      </c>
      <c r="F5" s="28"/>
      <c r="G5" s="28"/>
      <c r="H5" s="28"/>
      <c r="I5" s="29" t="s">
        <v>14</v>
      </c>
      <c r="J5" s="29" t="s">
        <v>15</v>
      </c>
      <c r="K5" s="36" t="s">
        <v>16</v>
      </c>
      <c r="L5" s="40"/>
      <c r="M5" s="40"/>
      <c r="N5" s="29"/>
      <c r="O5" s="29"/>
    </row>
    <row r="6" spans="1:20" ht="31.15" customHeight="1">
      <c r="A6" s="34" t="s">
        <v>17</v>
      </c>
      <c r="B6" s="29"/>
      <c r="C6" s="29"/>
      <c r="D6" s="29"/>
      <c r="E6" s="28" t="s">
        <v>18</v>
      </c>
      <c r="F6" s="28" t="s">
        <v>19</v>
      </c>
      <c r="G6" s="28" t="s">
        <v>20</v>
      </c>
      <c r="H6" s="28" t="s">
        <v>21</v>
      </c>
      <c r="I6" s="29"/>
      <c r="J6" s="29"/>
      <c r="K6" s="37"/>
      <c r="L6" s="40"/>
      <c r="M6" s="40"/>
      <c r="N6" s="29"/>
      <c r="O6" s="29"/>
    </row>
    <row r="7" spans="1:20" ht="60" customHeight="1">
      <c r="A7" s="35"/>
      <c r="B7" s="29"/>
      <c r="C7" s="29"/>
      <c r="D7" s="29"/>
      <c r="E7" s="28"/>
      <c r="F7" s="28"/>
      <c r="G7" s="28"/>
      <c r="H7" s="28"/>
      <c r="I7" s="29"/>
      <c r="J7" s="29"/>
      <c r="K7" s="38"/>
      <c r="L7" s="41"/>
      <c r="M7" s="41"/>
      <c r="N7" s="29"/>
      <c r="O7" s="29"/>
    </row>
    <row r="8" spans="1:20" ht="14.25" customHeight="1">
      <c r="A8" s="2" t="s">
        <v>40</v>
      </c>
      <c r="B8" s="3">
        <v>585</v>
      </c>
      <c r="C8" s="3">
        <v>990</v>
      </c>
      <c r="D8" s="4">
        <v>5</v>
      </c>
      <c r="E8" s="5">
        <f>(M8-B8-C8-D8-L8-K8)*0.35</f>
        <v>168</v>
      </c>
      <c r="F8" s="5">
        <f>(M8-B8-C8-D8-L8-K8)*0.35</f>
        <v>168</v>
      </c>
      <c r="G8" s="5">
        <f>(M8-B8-C8-D8-L8-K8)*0.15</f>
        <v>72</v>
      </c>
      <c r="H8" s="5">
        <f>(M8-B8-C8-D8-L8-K8)*0.15</f>
        <v>72</v>
      </c>
      <c r="I8" s="11">
        <v>801</v>
      </c>
      <c r="J8" s="11">
        <v>1896</v>
      </c>
      <c r="K8" s="11">
        <v>521</v>
      </c>
      <c r="L8" s="4">
        <v>2697</v>
      </c>
      <c r="M8" s="12">
        <v>5278</v>
      </c>
      <c r="N8" s="4">
        <v>1286</v>
      </c>
      <c r="O8" s="13">
        <v>5387</v>
      </c>
    </row>
    <row r="9" spans="1:20" ht="14.25" customHeight="1">
      <c r="A9" s="2" t="s">
        <v>41</v>
      </c>
      <c r="B9" s="3">
        <v>356</v>
      </c>
      <c r="C9" s="3">
        <v>498</v>
      </c>
      <c r="D9" s="4">
        <v>13</v>
      </c>
      <c r="E9" s="5">
        <f t="shared" ref="E9:E19" si="0">(M9-B9-C9-D9-L9-K9)*0.35</f>
        <v>147.35</v>
      </c>
      <c r="F9" s="5">
        <f t="shared" ref="F9:F19" si="1">(M9-B9-C9-D9-L9-K9)*0.35</f>
        <v>147.35</v>
      </c>
      <c r="G9" s="5">
        <f t="shared" ref="G9:G19" si="2">(M9-B9-C9-D9-L9-K9)*0.15</f>
        <v>63.15</v>
      </c>
      <c r="H9" s="5">
        <f t="shared" ref="H9:H19" si="3">(M9-B9-C9-D9-L9-K9)*0.15</f>
        <v>63.15</v>
      </c>
      <c r="I9" s="11">
        <v>416</v>
      </c>
      <c r="J9" s="11">
        <v>1098</v>
      </c>
      <c r="K9" s="11">
        <v>400</v>
      </c>
      <c r="L9" s="4">
        <v>1514</v>
      </c>
      <c r="M9" s="4">
        <v>3202</v>
      </c>
      <c r="N9" s="4">
        <v>786</v>
      </c>
      <c r="O9" s="13">
        <v>2447</v>
      </c>
    </row>
    <row r="10" spans="1:20" ht="14.25" customHeight="1">
      <c r="A10" s="2" t="s">
        <v>25</v>
      </c>
      <c r="B10" s="3">
        <v>362</v>
      </c>
      <c r="C10" s="3">
        <v>471</v>
      </c>
      <c r="D10" s="4">
        <v>19</v>
      </c>
      <c r="E10" s="5">
        <f t="shared" si="0"/>
        <v>492.45</v>
      </c>
      <c r="F10" s="5">
        <f t="shared" si="1"/>
        <v>492.45</v>
      </c>
      <c r="G10" s="5">
        <f t="shared" si="2"/>
        <v>211.04999999999998</v>
      </c>
      <c r="H10" s="5">
        <f t="shared" si="3"/>
        <v>211.04999999999998</v>
      </c>
      <c r="I10" s="11">
        <v>398</v>
      </c>
      <c r="J10" s="11">
        <v>869</v>
      </c>
      <c r="K10" s="11">
        <v>452</v>
      </c>
      <c r="L10" s="4">
        <v>1267</v>
      </c>
      <c r="M10" s="4">
        <v>3978</v>
      </c>
      <c r="N10" s="4">
        <v>612</v>
      </c>
      <c r="O10" s="13">
        <v>2624</v>
      </c>
    </row>
    <row r="11" spans="1:20" ht="14.25" customHeight="1">
      <c r="A11" s="2" t="s">
        <v>26</v>
      </c>
      <c r="B11" s="3">
        <v>485</v>
      </c>
      <c r="C11" s="3">
        <v>546</v>
      </c>
      <c r="D11" s="4">
        <v>28</v>
      </c>
      <c r="E11" s="5">
        <f t="shared" si="0"/>
        <v>784.69999999999993</v>
      </c>
      <c r="F11" s="5">
        <f t="shared" si="1"/>
        <v>784.69999999999993</v>
      </c>
      <c r="G11" s="5">
        <f t="shared" si="2"/>
        <v>336.3</v>
      </c>
      <c r="H11" s="5">
        <f t="shared" si="3"/>
        <v>336.3</v>
      </c>
      <c r="I11" s="11">
        <v>252</v>
      </c>
      <c r="J11" s="11">
        <v>531</v>
      </c>
      <c r="K11" s="11">
        <v>455</v>
      </c>
      <c r="L11" s="4">
        <v>783</v>
      </c>
      <c r="M11" s="4">
        <v>4539</v>
      </c>
      <c r="N11" s="4">
        <v>580</v>
      </c>
      <c r="O11" s="13">
        <v>2286</v>
      </c>
    </row>
    <row r="12" spans="1:20" ht="14.25" customHeight="1">
      <c r="A12" s="2" t="s">
        <v>27</v>
      </c>
      <c r="B12" s="3">
        <v>392</v>
      </c>
      <c r="C12" s="3">
        <v>522</v>
      </c>
      <c r="D12" s="4">
        <v>6</v>
      </c>
      <c r="E12" s="5">
        <f t="shared" si="0"/>
        <v>101.14999999999999</v>
      </c>
      <c r="F12" s="5">
        <f t="shared" si="1"/>
        <v>101.14999999999999</v>
      </c>
      <c r="G12" s="5">
        <f t="shared" si="2"/>
        <v>43.35</v>
      </c>
      <c r="H12" s="5">
        <f t="shared" si="3"/>
        <v>43.35</v>
      </c>
      <c r="I12" s="11">
        <v>789</v>
      </c>
      <c r="J12" s="11">
        <v>1635</v>
      </c>
      <c r="K12" s="11">
        <v>482</v>
      </c>
      <c r="L12" s="4">
        <v>2424</v>
      </c>
      <c r="M12" s="4">
        <v>4115</v>
      </c>
      <c r="N12" s="4">
        <v>790</v>
      </c>
      <c r="O12" s="4">
        <v>4852</v>
      </c>
    </row>
    <row r="13" spans="1:20" ht="14.25" customHeight="1">
      <c r="A13" s="2" t="s">
        <v>28</v>
      </c>
      <c r="B13" s="3">
        <v>624</v>
      </c>
      <c r="C13" s="3">
        <v>866</v>
      </c>
      <c r="D13" s="4">
        <v>5</v>
      </c>
      <c r="E13" s="5">
        <f t="shared" si="0"/>
        <v>240.45</v>
      </c>
      <c r="F13" s="5">
        <f t="shared" si="1"/>
        <v>240.45</v>
      </c>
      <c r="G13" s="5">
        <f t="shared" si="2"/>
        <v>103.05</v>
      </c>
      <c r="H13" s="5">
        <f t="shared" si="3"/>
        <v>103.05</v>
      </c>
      <c r="I13" s="11">
        <v>1417</v>
      </c>
      <c r="J13" s="11">
        <v>3413</v>
      </c>
      <c r="K13" s="11">
        <v>450</v>
      </c>
      <c r="L13" s="4">
        <v>4830</v>
      </c>
      <c r="M13" s="14">
        <v>7462</v>
      </c>
      <c r="N13" s="4">
        <v>1224</v>
      </c>
      <c r="O13" s="13">
        <v>7751</v>
      </c>
    </row>
    <row r="14" spans="1:20" ht="14.25" customHeight="1">
      <c r="A14" s="2" t="s">
        <v>29</v>
      </c>
      <c r="B14" s="3">
        <v>525</v>
      </c>
      <c r="C14" s="3">
        <v>701</v>
      </c>
      <c r="D14" s="4">
        <v>4</v>
      </c>
      <c r="E14" s="5">
        <f t="shared" si="0"/>
        <v>359.79999999999995</v>
      </c>
      <c r="F14" s="5">
        <f t="shared" si="1"/>
        <v>359.79999999999995</v>
      </c>
      <c r="G14" s="5">
        <f t="shared" si="2"/>
        <v>154.19999999999999</v>
      </c>
      <c r="H14" s="5">
        <f t="shared" si="3"/>
        <v>154.19999999999999</v>
      </c>
      <c r="I14" s="11">
        <v>1398</v>
      </c>
      <c r="J14" s="11">
        <v>2530</v>
      </c>
      <c r="K14" s="11">
        <v>479</v>
      </c>
      <c r="L14" s="4">
        <v>3928</v>
      </c>
      <c r="M14" s="14">
        <v>6665</v>
      </c>
      <c r="N14" s="4">
        <v>1270</v>
      </c>
      <c r="O14" s="13">
        <v>7723</v>
      </c>
      <c r="P14" s="15"/>
    </row>
    <row r="15" spans="1:20" ht="14.25" customHeight="1">
      <c r="A15" s="2" t="s">
        <v>30</v>
      </c>
      <c r="B15" s="3">
        <v>251</v>
      </c>
      <c r="C15" s="3">
        <v>248</v>
      </c>
      <c r="D15" s="4">
        <v>1</v>
      </c>
      <c r="E15" s="5">
        <f t="shared" si="0"/>
        <v>358.04999999999995</v>
      </c>
      <c r="F15" s="5">
        <f t="shared" si="1"/>
        <v>358.04999999999995</v>
      </c>
      <c r="G15" s="5">
        <f t="shared" si="2"/>
        <v>153.44999999999999</v>
      </c>
      <c r="H15" s="5">
        <f t="shared" si="3"/>
        <v>153.44999999999999</v>
      </c>
      <c r="I15" s="11">
        <v>1542</v>
      </c>
      <c r="J15" s="11">
        <v>2577</v>
      </c>
      <c r="K15" s="11">
        <v>591</v>
      </c>
      <c r="L15" s="4">
        <v>4119</v>
      </c>
      <c r="M15" s="14">
        <v>6233</v>
      </c>
      <c r="N15" s="4">
        <v>1393</v>
      </c>
      <c r="O15" s="13">
        <v>6305</v>
      </c>
      <c r="T15" s="19"/>
    </row>
    <row r="16" spans="1:20" ht="14.25" customHeight="1">
      <c r="A16" s="2" t="s">
        <v>31</v>
      </c>
      <c r="B16" s="3"/>
      <c r="C16" s="3"/>
      <c r="D16" s="4"/>
      <c r="E16" s="5">
        <f t="shared" si="0"/>
        <v>0</v>
      </c>
      <c r="F16" s="5">
        <f t="shared" si="1"/>
        <v>0</v>
      </c>
      <c r="G16" s="5">
        <f t="shared" si="2"/>
        <v>0</v>
      </c>
      <c r="H16" s="5">
        <f t="shared" si="3"/>
        <v>0</v>
      </c>
      <c r="I16" s="11"/>
      <c r="J16" s="11"/>
      <c r="K16" s="11"/>
      <c r="L16" s="4"/>
      <c r="M16" s="12"/>
      <c r="N16" s="4"/>
      <c r="O16" s="13"/>
    </row>
    <row r="17" spans="1:15" ht="14.25" customHeight="1">
      <c r="A17" s="2" t="s">
        <v>32</v>
      </c>
      <c r="B17" s="3"/>
      <c r="C17" s="3"/>
      <c r="D17" s="4"/>
      <c r="E17" s="5">
        <f t="shared" si="0"/>
        <v>0</v>
      </c>
      <c r="F17" s="5">
        <f t="shared" si="1"/>
        <v>0</v>
      </c>
      <c r="G17" s="5">
        <f t="shared" si="2"/>
        <v>0</v>
      </c>
      <c r="H17" s="5">
        <f t="shared" si="3"/>
        <v>0</v>
      </c>
      <c r="I17" s="11"/>
      <c r="J17" s="11"/>
      <c r="K17" s="11"/>
      <c r="L17" s="4"/>
      <c r="M17" s="12"/>
      <c r="N17" s="4"/>
      <c r="O17" s="13"/>
    </row>
    <row r="18" spans="1:15" ht="14.25" customHeight="1">
      <c r="A18" s="2" t="s">
        <v>33</v>
      </c>
      <c r="B18" s="3"/>
      <c r="C18" s="3"/>
      <c r="D18" s="4"/>
      <c r="E18" s="5">
        <f t="shared" si="0"/>
        <v>0</v>
      </c>
      <c r="F18" s="5">
        <f t="shared" si="1"/>
        <v>0</v>
      </c>
      <c r="G18" s="5">
        <f t="shared" si="2"/>
        <v>0</v>
      </c>
      <c r="H18" s="5">
        <f t="shared" si="3"/>
        <v>0</v>
      </c>
      <c r="I18" s="11"/>
      <c r="J18" s="11"/>
      <c r="K18" s="11"/>
      <c r="L18" s="4"/>
      <c r="M18" s="12"/>
      <c r="N18" s="4"/>
      <c r="O18" s="13"/>
    </row>
    <row r="19" spans="1:15" ht="14.25" customHeight="1">
      <c r="A19" s="2" t="s">
        <v>34</v>
      </c>
      <c r="B19" s="3"/>
      <c r="C19" s="3"/>
      <c r="D19" s="4"/>
      <c r="E19" s="5">
        <f t="shared" si="0"/>
        <v>0</v>
      </c>
      <c r="F19" s="5">
        <f t="shared" si="1"/>
        <v>0</v>
      </c>
      <c r="G19" s="5">
        <f t="shared" si="2"/>
        <v>0</v>
      </c>
      <c r="H19" s="5">
        <f t="shared" si="3"/>
        <v>0</v>
      </c>
      <c r="I19" s="11"/>
      <c r="J19" s="11"/>
      <c r="K19" s="11"/>
      <c r="L19" s="16"/>
      <c r="M19" s="16"/>
      <c r="N19" s="16"/>
      <c r="O19" s="16"/>
    </row>
    <row r="20" spans="1:15" ht="48.75" customHeight="1">
      <c r="A20" s="6" t="s">
        <v>35</v>
      </c>
      <c r="B20" s="7">
        <f t="shared" ref="B20:N20" si="4">SUM(B8:B18)</f>
        <v>3580</v>
      </c>
      <c r="C20" s="7">
        <f t="shared" si="4"/>
        <v>4842</v>
      </c>
      <c r="D20" s="7">
        <f t="shared" si="4"/>
        <v>81</v>
      </c>
      <c r="E20" s="7">
        <f t="shared" si="4"/>
        <v>2651.95</v>
      </c>
      <c r="F20" s="7">
        <f t="shared" si="4"/>
        <v>2651.95</v>
      </c>
      <c r="G20" s="7">
        <f t="shared" si="4"/>
        <v>1136.55</v>
      </c>
      <c r="H20" s="7">
        <f t="shared" si="4"/>
        <v>1136.55</v>
      </c>
      <c r="I20" s="7">
        <f t="shared" si="4"/>
        <v>7013</v>
      </c>
      <c r="J20" s="7">
        <f t="shared" si="4"/>
        <v>14549</v>
      </c>
      <c r="K20" s="7">
        <f t="shared" si="4"/>
        <v>3830</v>
      </c>
      <c r="L20" s="7">
        <f t="shared" si="4"/>
        <v>21562</v>
      </c>
      <c r="M20" s="7">
        <f t="shared" si="4"/>
        <v>41472</v>
      </c>
      <c r="N20" s="7">
        <f t="shared" si="4"/>
        <v>7941</v>
      </c>
      <c r="O20" s="7">
        <f>SUM(O8:O19)</f>
        <v>39375</v>
      </c>
    </row>
    <row r="21" spans="1:15" ht="16.5">
      <c r="A21" s="30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</row>
    <row r="22" spans="1:15">
      <c r="M22" s="18"/>
    </row>
    <row r="23" spans="1:15">
      <c r="M23" s="18"/>
    </row>
    <row r="26" spans="1:15">
      <c r="C26" s="21">
        <v>7183</v>
      </c>
      <c r="E26" s="8" t="s">
        <v>42</v>
      </c>
      <c r="F26" s="8" t="s">
        <v>43</v>
      </c>
      <c r="G26" s="8" t="s">
        <v>44</v>
      </c>
      <c r="H26" s="8" t="s">
        <v>45</v>
      </c>
      <c r="I26" s="8" t="s">
        <v>46</v>
      </c>
      <c r="J26" s="8" t="s">
        <v>47</v>
      </c>
    </row>
    <row r="27" spans="1:15">
      <c r="E27" s="8">
        <v>3486</v>
      </c>
      <c r="F27" s="8">
        <v>2072</v>
      </c>
      <c r="G27" s="8">
        <v>516</v>
      </c>
      <c r="H27" s="8">
        <v>776</v>
      </c>
      <c r="I27" s="8">
        <v>166</v>
      </c>
      <c r="J27" s="8">
        <v>166</v>
      </c>
    </row>
    <row r="28" spans="1:15">
      <c r="E28" s="8"/>
      <c r="F28" s="8"/>
      <c r="G28" s="8"/>
    </row>
    <row r="29" spans="1:15">
      <c r="E29" s="22">
        <v>3235</v>
      </c>
      <c r="F29" s="22">
        <v>1923</v>
      </c>
      <c r="G29" s="22">
        <v>479</v>
      </c>
      <c r="H29" s="22">
        <v>720</v>
      </c>
      <c r="I29" s="22">
        <v>154</v>
      </c>
      <c r="J29" s="22">
        <v>154</v>
      </c>
      <c r="K29" s="18">
        <f>SUM(E29:J29)</f>
        <v>6665</v>
      </c>
      <c r="L29" s="18">
        <f>C26-K29</f>
        <v>518</v>
      </c>
    </row>
    <row r="30" spans="1:15">
      <c r="E30" s="9">
        <f>E29/$K$29</f>
        <v>0.48537134283570893</v>
      </c>
      <c r="F30" s="9">
        <f>F29/$K$29</f>
        <v>0.28852213053263315</v>
      </c>
      <c r="G30" s="9">
        <f>G29/$K$29</f>
        <v>7.1867966991747939E-2</v>
      </c>
      <c r="H30" s="9">
        <f t="shared" ref="H30:J30" si="5">H29/$K$29</f>
        <v>0.10802700675168792</v>
      </c>
      <c r="I30" s="9">
        <f t="shared" si="5"/>
        <v>2.3105776444111027E-2</v>
      </c>
      <c r="J30" s="9">
        <f t="shared" si="5"/>
        <v>2.3105776444111027E-2</v>
      </c>
    </row>
    <row r="31" spans="1:15">
      <c r="E31" s="10">
        <f>E30*$L$29</f>
        <v>251.42235558889723</v>
      </c>
      <c r="F31" s="10">
        <f>F30*$L$29</f>
        <v>149.45446361590396</v>
      </c>
      <c r="G31" s="10">
        <f>G30*$L$29</f>
        <v>37.22760690172543</v>
      </c>
      <c r="H31" s="10">
        <f t="shared" ref="H31:J31" si="6">H30*$L$29</f>
        <v>55.957989497374342</v>
      </c>
      <c r="I31" s="10">
        <f t="shared" si="6"/>
        <v>11.968792198049512</v>
      </c>
      <c r="J31" s="10">
        <f t="shared" si="6"/>
        <v>11.968792198049512</v>
      </c>
    </row>
    <row r="32" spans="1:15">
      <c r="E32" s="10">
        <f>E31+E29</f>
        <v>3486.4223555888971</v>
      </c>
      <c r="F32" s="10">
        <f>F31+F29</f>
        <v>2072.4544636159039</v>
      </c>
      <c r="G32" s="10">
        <f>G31+G29</f>
        <v>516.22760690172538</v>
      </c>
      <c r="H32" s="10">
        <f t="shared" ref="H32:J32" si="7">H31+H29</f>
        <v>775.95798949737434</v>
      </c>
      <c r="I32" s="10">
        <f t="shared" si="7"/>
        <v>165.9687921980495</v>
      </c>
      <c r="J32" s="10">
        <f t="shared" si="7"/>
        <v>165.9687921980495</v>
      </c>
    </row>
  </sheetData>
  <mergeCells count="22">
    <mergeCell ref="A21:N21"/>
    <mergeCell ref="A4:A5"/>
    <mergeCell ref="A6:A7"/>
    <mergeCell ref="B5:B7"/>
    <mergeCell ref="C5:C7"/>
    <mergeCell ref="D5:D7"/>
    <mergeCell ref="E6:E7"/>
    <mergeCell ref="F6:F7"/>
    <mergeCell ref="G6:G7"/>
    <mergeCell ref="H6:H7"/>
    <mergeCell ref="I5:I7"/>
    <mergeCell ref="J5:J7"/>
    <mergeCell ref="K5:K7"/>
    <mergeCell ref="L4:L7"/>
    <mergeCell ref="M4:M7"/>
    <mergeCell ref="N3:N7"/>
    <mergeCell ref="A2:O2"/>
    <mergeCell ref="A3:M3"/>
    <mergeCell ref="B4:H4"/>
    <mergeCell ref="I4:K4"/>
    <mergeCell ref="E5:H5"/>
    <mergeCell ref="O3:O7"/>
  </mergeCells>
  <pageMargins left="0.7" right="0.7" top="0.75" bottom="0.75" header="0.3" footer="0.3"/>
  <pageSetup paperSize="9" scale="88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asus</cp:lastModifiedBy>
  <cp:lastPrinted>2024-01-04T06:36:00Z</cp:lastPrinted>
  <dcterms:created xsi:type="dcterms:W3CDTF">2015-06-05T18:19:00Z</dcterms:created>
  <dcterms:modified xsi:type="dcterms:W3CDTF">2026-08-31T02:47:01Z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2B493AF74A534A6DBE928ADD784D6385_13</vt:lpwstr>
  </property>
  <property fmtid="{D5CDD505-2E9C-101B-9397-08002B2CF9AE}" pid="3" name="KSOProductBuildVer">
    <vt:lpwstr>1033-12.2.0.23155</vt:lpwstr>
  </property>
</Properties>
</file>