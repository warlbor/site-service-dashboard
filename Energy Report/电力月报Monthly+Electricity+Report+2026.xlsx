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ENERGI\"/>
    </mc:Choice>
  </mc:AlternateContent>
  <xr:revisionPtr revIDLastSave="0" documentId="13_ncr:1_{579626F3-BBB4-4A2F-B552-DD68D8896BDF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仓库制冷机 2025年" sheetId="4" r:id="rId1"/>
    <sheet name="仓库制冷机 2026" sheetId="5" r:id="rId2"/>
    <sheet name="空压机 2025" sheetId="7" r:id="rId3"/>
    <sheet name="空压机 2026" sheetId="8" r:id="rId4"/>
    <sheet name="Sheet3" sheetId="6" r:id="rId5"/>
    <sheet name="2025" sheetId="1" r:id="rId6"/>
    <sheet name="2026" sheetId="3" r:id="rId7"/>
    <sheet name="DATA  MONTHLY" sheetId="2" r:id="rId8"/>
  </sheets>
  <definedNames>
    <definedName name="_xlnm._FilterDatabase" localSheetId="5" hidden="1">'2025'!$A$3:$R$79</definedName>
    <definedName name="_xlnm._FilterDatabase" localSheetId="6" hidden="1">'2026'!$A$3:$G$79</definedName>
    <definedName name="_xlnm._FilterDatabase" localSheetId="7" hidden="1">'DATA  MONTHLY'!#REF!</definedName>
    <definedName name="_xlnm._FilterDatabase" localSheetId="0" hidden="1">'仓库制冷机 2025年'!$A$3:$R$79</definedName>
    <definedName name="_xlnm._FilterDatabase" localSheetId="1" hidden="1">'仓库制冷机 2026'!$A$3:$G$79</definedName>
    <definedName name="_xlnm._FilterDatabase" localSheetId="2" hidden="1">'空压机 2025'!$A$3:$R$79</definedName>
    <definedName name="_xlnm._FilterDatabase" localSheetId="3" hidden="1">'空压机 2026'!$A$3:$G$79</definedName>
    <definedName name="Z_7D54147B_341B_432F_8DB9_178A11337E4D_.wvu.FilterData" localSheetId="5" hidden="1">'2025'!$A$3:$R$64</definedName>
    <definedName name="Z_7D54147B_341B_432F_8DB9_178A11337E4D_.wvu.FilterData" localSheetId="6" hidden="1">'2026'!$A$3:$G$64</definedName>
    <definedName name="Z_7D54147B_341B_432F_8DB9_178A11337E4D_.wvu.FilterData" localSheetId="7" hidden="1">'DATA  MONTHLY'!#REF!</definedName>
    <definedName name="Z_7D54147B_341B_432F_8DB9_178A11337E4D_.wvu.FilterData" localSheetId="0" hidden="1">'仓库制冷机 2025年'!$A$3:$R$64</definedName>
    <definedName name="Z_7D54147B_341B_432F_8DB9_178A11337E4D_.wvu.FilterData" localSheetId="1" hidden="1">'仓库制冷机 2026'!$A$3:$G$64</definedName>
    <definedName name="Z_7D54147B_341B_432F_8DB9_178A11337E4D_.wvu.FilterData" localSheetId="2" hidden="1">'空压机 2025'!$A$3:$R$64</definedName>
    <definedName name="Z_7D54147B_341B_432F_8DB9_178A11337E4D_.wvu.FilterData" localSheetId="3" hidden="1">'空压机 2026'!$A$3:$G$64</definedName>
  </definedNames>
  <calcPr calcId="191029"/>
  <customWorkbookViews>
    <customWorkbookView name="JEFFRY ANTONIO's view" guid="{7D54147B-341B-432F-8DB9-178A11337E4D}" maximized="1" windowWidth="1415" windowHeight="87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66" i="3" l="1"/>
  <c r="AV5" i="3"/>
  <c r="AV6" i="3"/>
  <c r="AV7" i="3"/>
  <c r="AV8" i="3"/>
  <c r="AV9" i="3"/>
  <c r="AV10" i="3"/>
  <c r="AV11" i="3"/>
  <c r="AV12" i="3"/>
  <c r="AV13" i="3"/>
  <c r="AV14" i="3"/>
  <c r="AV15" i="3"/>
  <c r="AV16" i="3"/>
  <c r="AV17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63" i="3"/>
  <c r="AV64" i="3"/>
  <c r="AV65" i="3"/>
  <c r="AV4" i="3"/>
  <c r="AU5" i="3"/>
  <c r="AU6" i="3"/>
  <c r="AU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4" i="3"/>
  <c r="AQ4" i="3"/>
  <c r="AS68" i="3"/>
  <c r="AT5" i="3"/>
  <c r="AT6" i="3"/>
  <c r="AT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63" i="3"/>
  <c r="AT64" i="3"/>
  <c r="AT65" i="3"/>
  <c r="AT4" i="3"/>
  <c r="AP4" i="3"/>
  <c r="AS66" i="3"/>
  <c r="AS5" i="3"/>
  <c r="AS6" i="3"/>
  <c r="AS7" i="3"/>
  <c r="AS8" i="3"/>
  <c r="AS9" i="3"/>
  <c r="AS10" i="3"/>
  <c r="AS11" i="3"/>
  <c r="AS12" i="3"/>
  <c r="AS13" i="3"/>
  <c r="AS14" i="3"/>
  <c r="AS15" i="3"/>
  <c r="AS16" i="3"/>
  <c r="AS17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63" i="3"/>
  <c r="AS64" i="3"/>
  <c r="AS65" i="3"/>
  <c r="AS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63" i="3"/>
  <c r="AO64" i="3"/>
  <c r="AO65" i="3"/>
  <c r="AO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4" i="3"/>
  <c r="AC73" i="7"/>
  <c r="AD73" i="7"/>
  <c r="AE73" i="7"/>
  <c r="AF73" i="7"/>
  <c r="AG73" i="7"/>
  <c r="AH73" i="7"/>
  <c r="AI73" i="7"/>
  <c r="AJ73" i="7"/>
  <c r="AK73" i="7"/>
  <c r="AL73" i="7"/>
  <c r="AM73" i="7"/>
  <c r="AN73" i="7"/>
  <c r="AO73" i="7"/>
  <c r="AP73" i="7"/>
  <c r="AQ73" i="7"/>
  <c r="AR73" i="7"/>
  <c r="AS73" i="7"/>
  <c r="AT73" i="7"/>
  <c r="AU73" i="7"/>
  <c r="AV73" i="7"/>
  <c r="AW73" i="7"/>
  <c r="AX73" i="7"/>
  <c r="AY73" i="7"/>
  <c r="AZ73" i="7"/>
  <c r="BA73" i="7"/>
  <c r="BB73" i="7"/>
  <c r="BC73" i="7"/>
  <c r="BD73" i="7"/>
  <c r="BE73" i="7"/>
  <c r="BF73" i="7"/>
  <c r="BG73" i="7"/>
  <c r="BH73" i="7"/>
  <c r="BI73" i="7"/>
  <c r="BJ73" i="7"/>
  <c r="BK73" i="7"/>
  <c r="BL73" i="7"/>
  <c r="BM73" i="7"/>
  <c r="BN73" i="7"/>
  <c r="BO73" i="7"/>
  <c r="BP73" i="7"/>
  <c r="BQ73" i="7"/>
  <c r="BR73" i="7"/>
  <c r="BS73" i="7"/>
  <c r="BT73" i="7"/>
  <c r="AB73" i="7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Q72" i="8"/>
  <c r="AD65" i="8"/>
  <c r="Z65" i="8"/>
  <c r="V65" i="8"/>
  <c r="R65" i="8"/>
  <c r="L65" i="8"/>
  <c r="AD64" i="8"/>
  <c r="Z64" i="8"/>
  <c r="V64" i="8"/>
  <c r="R64" i="8"/>
  <c r="L64" i="8"/>
  <c r="AD63" i="8"/>
  <c r="Z63" i="8"/>
  <c r="V63" i="8"/>
  <c r="R63" i="8"/>
  <c r="L63" i="8"/>
  <c r="AD62" i="8"/>
  <c r="Z62" i="8"/>
  <c r="V62" i="8"/>
  <c r="R62" i="8"/>
  <c r="L62" i="8"/>
  <c r="AD61" i="8"/>
  <c r="Z61" i="8"/>
  <c r="V61" i="8"/>
  <c r="R61" i="8"/>
  <c r="L61" i="8"/>
  <c r="AD60" i="8"/>
  <c r="Z60" i="8"/>
  <c r="V60" i="8"/>
  <c r="R60" i="8"/>
  <c r="L60" i="8"/>
  <c r="AD59" i="8"/>
  <c r="Z59" i="8"/>
  <c r="V59" i="8"/>
  <c r="R59" i="8"/>
  <c r="L59" i="8"/>
  <c r="AD58" i="8"/>
  <c r="Z58" i="8"/>
  <c r="V58" i="8"/>
  <c r="R58" i="8"/>
  <c r="L58" i="8"/>
  <c r="AD57" i="8"/>
  <c r="Z57" i="8"/>
  <c r="V57" i="8"/>
  <c r="R57" i="8"/>
  <c r="L57" i="8"/>
  <c r="AD56" i="8"/>
  <c r="Z56" i="8"/>
  <c r="V56" i="8"/>
  <c r="R56" i="8"/>
  <c r="L56" i="8"/>
  <c r="AD55" i="8"/>
  <c r="Z55" i="8"/>
  <c r="V55" i="8"/>
  <c r="R55" i="8"/>
  <c r="L55" i="8"/>
  <c r="AD54" i="8"/>
  <c r="Z54" i="8"/>
  <c r="V54" i="8"/>
  <c r="R54" i="8"/>
  <c r="L54" i="8"/>
  <c r="AD53" i="8"/>
  <c r="Z53" i="8"/>
  <c r="V53" i="8"/>
  <c r="R53" i="8"/>
  <c r="L53" i="8"/>
  <c r="AD52" i="8"/>
  <c r="Z52" i="8"/>
  <c r="V52" i="8"/>
  <c r="R52" i="8"/>
  <c r="L52" i="8"/>
  <c r="AD51" i="8"/>
  <c r="Z51" i="8"/>
  <c r="V51" i="8"/>
  <c r="R51" i="8"/>
  <c r="L51" i="8"/>
  <c r="AD50" i="8"/>
  <c r="Z50" i="8"/>
  <c r="V50" i="8"/>
  <c r="R50" i="8"/>
  <c r="L50" i="8"/>
  <c r="AD49" i="8"/>
  <c r="Z49" i="8"/>
  <c r="V49" i="8"/>
  <c r="R49" i="8"/>
  <c r="L49" i="8"/>
  <c r="AD48" i="8"/>
  <c r="Z48" i="8"/>
  <c r="V48" i="8"/>
  <c r="R48" i="8"/>
  <c r="L48" i="8"/>
  <c r="AD47" i="8"/>
  <c r="Z47" i="8"/>
  <c r="V47" i="8"/>
  <c r="R47" i="8"/>
  <c r="L47" i="8"/>
  <c r="AD46" i="8"/>
  <c r="Z46" i="8"/>
  <c r="V46" i="8"/>
  <c r="R46" i="8"/>
  <c r="L46" i="8"/>
  <c r="AD45" i="8"/>
  <c r="Z45" i="8"/>
  <c r="V45" i="8"/>
  <c r="R45" i="8"/>
  <c r="L45" i="8"/>
  <c r="AD44" i="8"/>
  <c r="Z44" i="8"/>
  <c r="V44" i="8"/>
  <c r="R44" i="8"/>
  <c r="L44" i="8"/>
  <c r="AD43" i="8"/>
  <c r="Z43" i="8"/>
  <c r="V43" i="8"/>
  <c r="R43" i="8"/>
  <c r="L43" i="8"/>
  <c r="AD42" i="8"/>
  <c r="Z42" i="8"/>
  <c r="V42" i="8"/>
  <c r="R42" i="8"/>
  <c r="L42" i="8"/>
  <c r="AD41" i="8"/>
  <c r="Z41" i="8"/>
  <c r="V41" i="8"/>
  <c r="R41" i="8"/>
  <c r="L41" i="8"/>
  <c r="AD40" i="8"/>
  <c r="Z40" i="8"/>
  <c r="V40" i="8"/>
  <c r="R40" i="8"/>
  <c r="L40" i="8"/>
  <c r="AD39" i="8"/>
  <c r="Z39" i="8"/>
  <c r="V39" i="8"/>
  <c r="R39" i="8"/>
  <c r="L39" i="8"/>
  <c r="AD38" i="8"/>
  <c r="Z38" i="8"/>
  <c r="V38" i="8"/>
  <c r="R38" i="8"/>
  <c r="L38" i="8"/>
  <c r="AD37" i="8"/>
  <c r="Z37" i="8"/>
  <c r="V37" i="8"/>
  <c r="R37" i="8"/>
  <c r="L37" i="8"/>
  <c r="AD36" i="8"/>
  <c r="Z36" i="8"/>
  <c r="V36" i="8"/>
  <c r="R36" i="8"/>
  <c r="L36" i="8"/>
  <c r="AD35" i="8"/>
  <c r="Z35" i="8"/>
  <c r="V35" i="8"/>
  <c r="R35" i="8"/>
  <c r="L35" i="8"/>
  <c r="AD34" i="8"/>
  <c r="Z34" i="8"/>
  <c r="V34" i="8"/>
  <c r="R34" i="8"/>
  <c r="L34" i="8"/>
  <c r="AD33" i="8"/>
  <c r="Z33" i="8"/>
  <c r="V33" i="8"/>
  <c r="R33" i="8"/>
  <c r="L33" i="8"/>
  <c r="AD32" i="8"/>
  <c r="Z32" i="8"/>
  <c r="V32" i="8"/>
  <c r="R32" i="8"/>
  <c r="L32" i="8"/>
  <c r="AD31" i="8"/>
  <c r="Z31" i="8"/>
  <c r="V31" i="8"/>
  <c r="R31" i="8"/>
  <c r="L31" i="8"/>
  <c r="AD30" i="8"/>
  <c r="Z30" i="8"/>
  <c r="V30" i="8"/>
  <c r="R30" i="8"/>
  <c r="L30" i="8"/>
  <c r="AD29" i="8"/>
  <c r="Z29" i="8"/>
  <c r="V29" i="8"/>
  <c r="R29" i="8"/>
  <c r="L29" i="8"/>
  <c r="AD28" i="8"/>
  <c r="Z28" i="8"/>
  <c r="V28" i="8"/>
  <c r="R28" i="8"/>
  <c r="L28" i="8"/>
  <c r="AD27" i="8"/>
  <c r="Z27" i="8"/>
  <c r="V27" i="8"/>
  <c r="R27" i="8"/>
  <c r="L27" i="8"/>
  <c r="AD26" i="8"/>
  <c r="Z26" i="8"/>
  <c r="V26" i="8"/>
  <c r="R26" i="8"/>
  <c r="L26" i="8"/>
  <c r="AD25" i="8"/>
  <c r="Z25" i="8"/>
  <c r="V25" i="8"/>
  <c r="R25" i="8"/>
  <c r="L25" i="8"/>
  <c r="AD24" i="8"/>
  <c r="Z24" i="8"/>
  <c r="V24" i="8"/>
  <c r="R24" i="8"/>
  <c r="L24" i="8"/>
  <c r="AD23" i="8"/>
  <c r="Z23" i="8"/>
  <c r="V23" i="8"/>
  <c r="R23" i="8"/>
  <c r="L23" i="8"/>
  <c r="AD22" i="8"/>
  <c r="Z22" i="8"/>
  <c r="V22" i="8"/>
  <c r="R22" i="8"/>
  <c r="L22" i="8"/>
  <c r="AD21" i="8"/>
  <c r="Z21" i="8"/>
  <c r="V21" i="8"/>
  <c r="R21" i="8"/>
  <c r="L21" i="8"/>
  <c r="AD20" i="8"/>
  <c r="Z20" i="8"/>
  <c r="V20" i="8"/>
  <c r="R20" i="8"/>
  <c r="L20" i="8"/>
  <c r="AD19" i="8"/>
  <c r="Z19" i="8"/>
  <c r="V19" i="8"/>
  <c r="R19" i="8"/>
  <c r="L19" i="8"/>
  <c r="AD18" i="8"/>
  <c r="Z18" i="8"/>
  <c r="V18" i="8"/>
  <c r="R18" i="8"/>
  <c r="L18" i="8"/>
  <c r="AD17" i="8"/>
  <c r="Z17" i="8"/>
  <c r="V17" i="8"/>
  <c r="R17" i="8"/>
  <c r="L17" i="8"/>
  <c r="AD16" i="8"/>
  <c r="Z16" i="8"/>
  <c r="V16" i="8"/>
  <c r="R16" i="8"/>
  <c r="L16" i="8"/>
  <c r="AD15" i="8"/>
  <c r="Z15" i="8"/>
  <c r="V15" i="8"/>
  <c r="R15" i="8"/>
  <c r="L15" i="8"/>
  <c r="AD14" i="8"/>
  <c r="Z14" i="8"/>
  <c r="V14" i="8"/>
  <c r="R14" i="8"/>
  <c r="L14" i="8"/>
  <c r="AD13" i="8"/>
  <c r="Z13" i="8"/>
  <c r="V13" i="8"/>
  <c r="R13" i="8"/>
  <c r="L13" i="8"/>
  <c r="AD12" i="8"/>
  <c r="Z12" i="8"/>
  <c r="V12" i="8"/>
  <c r="R12" i="8"/>
  <c r="L12" i="8"/>
  <c r="AD11" i="8"/>
  <c r="Z11" i="8"/>
  <c r="V11" i="8"/>
  <c r="R11" i="8"/>
  <c r="L11" i="8"/>
  <c r="AD10" i="8"/>
  <c r="Z10" i="8"/>
  <c r="V10" i="8"/>
  <c r="R10" i="8"/>
  <c r="L10" i="8"/>
  <c r="AD9" i="8"/>
  <c r="Z9" i="8"/>
  <c r="V9" i="8"/>
  <c r="R9" i="8"/>
  <c r="L9" i="8"/>
  <c r="AD8" i="8"/>
  <c r="Z8" i="8"/>
  <c r="V8" i="8"/>
  <c r="R8" i="8"/>
  <c r="L8" i="8"/>
  <c r="AD7" i="8"/>
  <c r="Z7" i="8"/>
  <c r="V7" i="8"/>
  <c r="R7" i="8"/>
  <c r="L7" i="8"/>
  <c r="AD6" i="8"/>
  <c r="Z6" i="8"/>
  <c r="V6" i="8"/>
  <c r="R6" i="8"/>
  <c r="L6" i="8"/>
  <c r="AD5" i="8"/>
  <c r="Z5" i="8"/>
  <c r="V5" i="8"/>
  <c r="R5" i="8"/>
  <c r="L5" i="8"/>
  <c r="AD4" i="8"/>
  <c r="Z4" i="8"/>
  <c r="V4" i="8"/>
  <c r="R4" i="8"/>
  <c r="L4" i="8"/>
  <c r="BQ64" i="7"/>
  <c r="BM64" i="7"/>
  <c r="BI64" i="7"/>
  <c r="BE64" i="7"/>
  <c r="BA64" i="7"/>
  <c r="AW64" i="7"/>
  <c r="AS64" i="7"/>
  <c r="AO64" i="7"/>
  <c r="AK64" i="7"/>
  <c r="AG64" i="7"/>
  <c r="AC64" i="7"/>
  <c r="Y64" i="7"/>
  <c r="BQ63" i="7"/>
  <c r="BM63" i="7"/>
  <c r="BI63" i="7"/>
  <c r="BE63" i="7"/>
  <c r="BA63" i="7"/>
  <c r="AW63" i="7"/>
  <c r="AS63" i="7"/>
  <c r="AO63" i="7"/>
  <c r="AK63" i="7"/>
  <c r="AG63" i="7"/>
  <c r="AC63" i="7"/>
  <c r="Y63" i="7"/>
  <c r="BQ62" i="7"/>
  <c r="BM62" i="7"/>
  <c r="BI62" i="7"/>
  <c r="BE62" i="7"/>
  <c r="BA62" i="7"/>
  <c r="AW62" i="7"/>
  <c r="AS62" i="7"/>
  <c r="AO62" i="7"/>
  <c r="AK62" i="7"/>
  <c r="AG62" i="7"/>
  <c r="AC62" i="7"/>
  <c r="Y62" i="7"/>
  <c r="BQ61" i="7"/>
  <c r="BM61" i="7"/>
  <c r="BI61" i="7"/>
  <c r="BE61" i="7"/>
  <c r="BA61" i="7"/>
  <c r="AW61" i="7"/>
  <c r="AS61" i="7"/>
  <c r="AO61" i="7"/>
  <c r="AK61" i="7"/>
  <c r="AG61" i="7"/>
  <c r="AC61" i="7"/>
  <c r="Y61" i="7"/>
  <c r="BQ60" i="7"/>
  <c r="BM60" i="7"/>
  <c r="BI60" i="7"/>
  <c r="BE60" i="7"/>
  <c r="BA60" i="7"/>
  <c r="AW60" i="7"/>
  <c r="AS60" i="7"/>
  <c r="AO60" i="7"/>
  <c r="AK60" i="7"/>
  <c r="AG60" i="7"/>
  <c r="AC60" i="7"/>
  <c r="Y60" i="7"/>
  <c r="BQ59" i="7"/>
  <c r="BM59" i="7"/>
  <c r="BI59" i="7"/>
  <c r="BE59" i="7"/>
  <c r="BA59" i="7"/>
  <c r="AW59" i="7"/>
  <c r="AS59" i="7"/>
  <c r="AO59" i="7"/>
  <c r="AK59" i="7"/>
  <c r="AG59" i="7"/>
  <c r="AC59" i="7"/>
  <c r="Y59" i="7"/>
  <c r="BQ58" i="7"/>
  <c r="BM58" i="7"/>
  <c r="BI58" i="7"/>
  <c r="BE58" i="7"/>
  <c r="BA58" i="7"/>
  <c r="AW58" i="7"/>
  <c r="AS58" i="7"/>
  <c r="AO58" i="7"/>
  <c r="AK58" i="7"/>
  <c r="AG58" i="7"/>
  <c r="AC58" i="7"/>
  <c r="Y58" i="7"/>
  <c r="BQ57" i="7"/>
  <c r="BM57" i="7"/>
  <c r="BI57" i="7"/>
  <c r="BE57" i="7"/>
  <c r="BA57" i="7"/>
  <c r="AW57" i="7"/>
  <c r="AS57" i="7"/>
  <c r="AO57" i="7"/>
  <c r="AK57" i="7"/>
  <c r="AG57" i="7"/>
  <c r="AC57" i="7"/>
  <c r="Y57" i="7"/>
  <c r="BQ56" i="7"/>
  <c r="BM56" i="7"/>
  <c r="BI56" i="7"/>
  <c r="BE56" i="7"/>
  <c r="BA56" i="7"/>
  <c r="AW56" i="7"/>
  <c r="AS56" i="7"/>
  <c r="AO56" i="7"/>
  <c r="AK56" i="7"/>
  <c r="AG56" i="7"/>
  <c r="AC56" i="7"/>
  <c r="Y56" i="7"/>
  <c r="BQ55" i="7"/>
  <c r="BM55" i="7"/>
  <c r="BI55" i="7"/>
  <c r="BE55" i="7"/>
  <c r="BA55" i="7"/>
  <c r="AW55" i="7"/>
  <c r="AS55" i="7"/>
  <c r="AO55" i="7"/>
  <c r="AK55" i="7"/>
  <c r="AG55" i="7"/>
  <c r="AC55" i="7"/>
  <c r="Y55" i="7"/>
  <c r="BQ54" i="7"/>
  <c r="BM54" i="7"/>
  <c r="BI54" i="7"/>
  <c r="BE54" i="7"/>
  <c r="BA54" i="7"/>
  <c r="AW54" i="7"/>
  <c r="AS54" i="7"/>
  <c r="AO54" i="7"/>
  <c r="AK54" i="7"/>
  <c r="AG54" i="7"/>
  <c r="AC54" i="7"/>
  <c r="Y54" i="7"/>
  <c r="BQ53" i="7"/>
  <c r="BM53" i="7"/>
  <c r="BI53" i="7"/>
  <c r="BE53" i="7"/>
  <c r="BA53" i="7"/>
  <c r="AW53" i="7"/>
  <c r="AS53" i="7"/>
  <c r="AO53" i="7"/>
  <c r="AK53" i="7"/>
  <c r="AG53" i="7"/>
  <c r="AC53" i="7"/>
  <c r="Y53" i="7"/>
  <c r="BQ52" i="7"/>
  <c r="BM52" i="7"/>
  <c r="BI52" i="7"/>
  <c r="BE52" i="7"/>
  <c r="BA52" i="7"/>
  <c r="AW52" i="7"/>
  <c r="AS52" i="7"/>
  <c r="AO52" i="7"/>
  <c r="AK52" i="7"/>
  <c r="AG52" i="7"/>
  <c r="AC52" i="7"/>
  <c r="Y52" i="7"/>
  <c r="BQ51" i="7"/>
  <c r="BM51" i="7"/>
  <c r="BI51" i="7"/>
  <c r="BE51" i="7"/>
  <c r="BA51" i="7"/>
  <c r="AW51" i="7"/>
  <c r="AS51" i="7"/>
  <c r="AO51" i="7"/>
  <c r="AK51" i="7"/>
  <c r="AG51" i="7"/>
  <c r="AC51" i="7"/>
  <c r="Y51" i="7"/>
  <c r="BQ50" i="7"/>
  <c r="BM50" i="7"/>
  <c r="BI50" i="7"/>
  <c r="BE50" i="7"/>
  <c r="BA50" i="7"/>
  <c r="AW50" i="7"/>
  <c r="AS50" i="7"/>
  <c r="AO50" i="7"/>
  <c r="AK50" i="7"/>
  <c r="AG50" i="7"/>
  <c r="AC50" i="7"/>
  <c r="Y50" i="7"/>
  <c r="BQ49" i="7"/>
  <c r="BM49" i="7"/>
  <c r="BI49" i="7"/>
  <c r="BE49" i="7"/>
  <c r="BA49" i="7"/>
  <c r="AW49" i="7"/>
  <c r="AS49" i="7"/>
  <c r="AO49" i="7"/>
  <c r="AK49" i="7"/>
  <c r="AG49" i="7"/>
  <c r="AC49" i="7"/>
  <c r="Y49" i="7"/>
  <c r="BQ48" i="7"/>
  <c r="BM48" i="7"/>
  <c r="BI48" i="7"/>
  <c r="BE48" i="7"/>
  <c r="BA48" i="7"/>
  <c r="AW48" i="7"/>
  <c r="AS48" i="7"/>
  <c r="AO48" i="7"/>
  <c r="AK48" i="7"/>
  <c r="AG48" i="7"/>
  <c r="AC48" i="7"/>
  <c r="Y48" i="7"/>
  <c r="BQ47" i="7"/>
  <c r="BM47" i="7"/>
  <c r="BI47" i="7"/>
  <c r="BE47" i="7"/>
  <c r="BA47" i="7"/>
  <c r="AW47" i="7"/>
  <c r="AS47" i="7"/>
  <c r="AO47" i="7"/>
  <c r="AK47" i="7"/>
  <c r="AG47" i="7"/>
  <c r="AC47" i="7"/>
  <c r="Y47" i="7"/>
  <c r="BQ46" i="7"/>
  <c r="BM46" i="7"/>
  <c r="BI46" i="7"/>
  <c r="BE46" i="7"/>
  <c r="BA46" i="7"/>
  <c r="AW46" i="7"/>
  <c r="AS46" i="7"/>
  <c r="AO46" i="7"/>
  <c r="AK46" i="7"/>
  <c r="AG46" i="7"/>
  <c r="AC46" i="7"/>
  <c r="Y46" i="7"/>
  <c r="BQ45" i="7"/>
  <c r="BM45" i="7"/>
  <c r="BI45" i="7"/>
  <c r="BE45" i="7"/>
  <c r="BA45" i="7"/>
  <c r="AW45" i="7"/>
  <c r="AS45" i="7"/>
  <c r="AO45" i="7"/>
  <c r="AK45" i="7"/>
  <c r="AG45" i="7"/>
  <c r="AC45" i="7"/>
  <c r="Y45" i="7"/>
  <c r="BQ44" i="7"/>
  <c r="BM44" i="7"/>
  <c r="BI44" i="7"/>
  <c r="BE44" i="7"/>
  <c r="BA44" i="7"/>
  <c r="AW44" i="7"/>
  <c r="AS44" i="7"/>
  <c r="AO44" i="7"/>
  <c r="AK44" i="7"/>
  <c r="AG44" i="7"/>
  <c r="AC44" i="7"/>
  <c r="Y44" i="7"/>
  <c r="BQ43" i="7"/>
  <c r="BM43" i="7"/>
  <c r="BI43" i="7"/>
  <c r="BE43" i="7"/>
  <c r="BA43" i="7"/>
  <c r="AW43" i="7"/>
  <c r="AS43" i="7"/>
  <c r="AO43" i="7"/>
  <c r="AK43" i="7"/>
  <c r="AG43" i="7"/>
  <c r="AC43" i="7"/>
  <c r="Y43" i="7"/>
  <c r="BQ42" i="7"/>
  <c r="BM42" i="7"/>
  <c r="BI42" i="7"/>
  <c r="BE42" i="7"/>
  <c r="BA42" i="7"/>
  <c r="AW42" i="7"/>
  <c r="AS42" i="7"/>
  <c r="AO42" i="7"/>
  <c r="AK42" i="7"/>
  <c r="AG42" i="7"/>
  <c r="AC42" i="7"/>
  <c r="Y42" i="7"/>
  <c r="BQ41" i="7"/>
  <c r="BM41" i="7"/>
  <c r="BI41" i="7"/>
  <c r="BE41" i="7"/>
  <c r="BA41" i="7"/>
  <c r="AW41" i="7"/>
  <c r="AS41" i="7"/>
  <c r="AO41" i="7"/>
  <c r="AK41" i="7"/>
  <c r="AG41" i="7"/>
  <c r="AC41" i="7"/>
  <c r="Y41" i="7"/>
  <c r="BQ40" i="7"/>
  <c r="BM40" i="7"/>
  <c r="BI40" i="7"/>
  <c r="BE40" i="7"/>
  <c r="BA40" i="7"/>
  <c r="AW40" i="7"/>
  <c r="AS40" i="7"/>
  <c r="AO40" i="7"/>
  <c r="AK40" i="7"/>
  <c r="AG40" i="7"/>
  <c r="AC40" i="7"/>
  <c r="Y40" i="7"/>
  <c r="BQ39" i="7"/>
  <c r="BM39" i="7"/>
  <c r="BI39" i="7"/>
  <c r="BE39" i="7"/>
  <c r="BA39" i="7"/>
  <c r="AW39" i="7"/>
  <c r="AS39" i="7"/>
  <c r="AO39" i="7"/>
  <c r="AK39" i="7"/>
  <c r="AG39" i="7"/>
  <c r="AC39" i="7"/>
  <c r="Y39" i="7"/>
  <c r="BQ38" i="7"/>
  <c r="BM38" i="7"/>
  <c r="BI38" i="7"/>
  <c r="BE38" i="7"/>
  <c r="BA38" i="7"/>
  <c r="AW38" i="7"/>
  <c r="AS38" i="7"/>
  <c r="AO38" i="7"/>
  <c r="AK38" i="7"/>
  <c r="AG38" i="7"/>
  <c r="AC38" i="7"/>
  <c r="Y38" i="7"/>
  <c r="BQ37" i="7"/>
  <c r="BM37" i="7"/>
  <c r="BI37" i="7"/>
  <c r="BE37" i="7"/>
  <c r="BA37" i="7"/>
  <c r="AW37" i="7"/>
  <c r="AS37" i="7"/>
  <c r="AO37" i="7"/>
  <c r="AK37" i="7"/>
  <c r="AG37" i="7"/>
  <c r="AC37" i="7"/>
  <c r="Y37" i="7"/>
  <c r="BQ36" i="7"/>
  <c r="BM36" i="7"/>
  <c r="BI36" i="7"/>
  <c r="BE36" i="7"/>
  <c r="BA36" i="7"/>
  <c r="AW36" i="7"/>
  <c r="AS36" i="7"/>
  <c r="AO36" i="7"/>
  <c r="AK36" i="7"/>
  <c r="AG36" i="7"/>
  <c r="AC36" i="7"/>
  <c r="Y36" i="7"/>
  <c r="BQ35" i="7"/>
  <c r="BM35" i="7"/>
  <c r="BI35" i="7"/>
  <c r="BE35" i="7"/>
  <c r="BA35" i="7"/>
  <c r="AW35" i="7"/>
  <c r="AS35" i="7"/>
  <c r="AO35" i="7"/>
  <c r="AK35" i="7"/>
  <c r="AG35" i="7"/>
  <c r="AC35" i="7"/>
  <c r="Y35" i="7"/>
  <c r="BQ34" i="7"/>
  <c r="BM34" i="7"/>
  <c r="BI34" i="7"/>
  <c r="BE34" i="7"/>
  <c r="BA34" i="7"/>
  <c r="AW34" i="7"/>
  <c r="AS34" i="7"/>
  <c r="AO34" i="7"/>
  <c r="AK34" i="7"/>
  <c r="AG34" i="7"/>
  <c r="AC34" i="7"/>
  <c r="Y34" i="7"/>
  <c r="BQ33" i="7"/>
  <c r="BM33" i="7"/>
  <c r="BI33" i="7"/>
  <c r="BE33" i="7"/>
  <c r="BA33" i="7"/>
  <c r="AW33" i="7"/>
  <c r="AS33" i="7"/>
  <c r="AO33" i="7"/>
  <c r="AK33" i="7"/>
  <c r="AG33" i="7"/>
  <c r="AC33" i="7"/>
  <c r="Y33" i="7"/>
  <c r="BQ32" i="7"/>
  <c r="BM32" i="7"/>
  <c r="BI32" i="7"/>
  <c r="BE32" i="7"/>
  <c r="BA32" i="7"/>
  <c r="AW32" i="7"/>
  <c r="AS32" i="7"/>
  <c r="AO32" i="7"/>
  <c r="AK32" i="7"/>
  <c r="AG32" i="7"/>
  <c r="AC32" i="7"/>
  <c r="Y32" i="7"/>
  <c r="BQ31" i="7"/>
  <c r="BM31" i="7"/>
  <c r="BI31" i="7"/>
  <c r="BE31" i="7"/>
  <c r="BA31" i="7"/>
  <c r="AW31" i="7"/>
  <c r="AS31" i="7"/>
  <c r="AO31" i="7"/>
  <c r="AK31" i="7"/>
  <c r="AG31" i="7"/>
  <c r="AC31" i="7"/>
  <c r="Y31" i="7"/>
  <c r="BQ30" i="7"/>
  <c r="BM30" i="7"/>
  <c r="BI30" i="7"/>
  <c r="BE30" i="7"/>
  <c r="BA30" i="7"/>
  <c r="AW30" i="7"/>
  <c r="AS30" i="7"/>
  <c r="AO30" i="7"/>
  <c r="AK30" i="7"/>
  <c r="AG30" i="7"/>
  <c r="AC30" i="7"/>
  <c r="Y30" i="7"/>
  <c r="BQ29" i="7"/>
  <c r="BM29" i="7"/>
  <c r="BI29" i="7"/>
  <c r="BE29" i="7"/>
  <c r="BA29" i="7"/>
  <c r="AW29" i="7"/>
  <c r="AS29" i="7"/>
  <c r="AO29" i="7"/>
  <c r="AK29" i="7"/>
  <c r="AG29" i="7"/>
  <c r="AC29" i="7"/>
  <c r="Y29" i="7"/>
  <c r="BQ28" i="7"/>
  <c r="BM28" i="7"/>
  <c r="BI28" i="7"/>
  <c r="BE28" i="7"/>
  <c r="BA28" i="7"/>
  <c r="AW28" i="7"/>
  <c r="AS28" i="7"/>
  <c r="AO28" i="7"/>
  <c r="AK28" i="7"/>
  <c r="AG28" i="7"/>
  <c r="AC28" i="7"/>
  <c r="Y28" i="7"/>
  <c r="BQ27" i="7"/>
  <c r="BM27" i="7"/>
  <c r="BI27" i="7"/>
  <c r="BE27" i="7"/>
  <c r="BA27" i="7"/>
  <c r="AW27" i="7"/>
  <c r="AS27" i="7"/>
  <c r="AO27" i="7"/>
  <c r="AK27" i="7"/>
  <c r="AG27" i="7"/>
  <c r="AC27" i="7"/>
  <c r="Y27" i="7"/>
  <c r="BQ26" i="7"/>
  <c r="BM26" i="7"/>
  <c r="BI26" i="7"/>
  <c r="BE26" i="7"/>
  <c r="BA26" i="7"/>
  <c r="AW26" i="7"/>
  <c r="AS26" i="7"/>
  <c r="AO26" i="7"/>
  <c r="AK26" i="7"/>
  <c r="AG26" i="7"/>
  <c r="AC26" i="7"/>
  <c r="Y26" i="7"/>
  <c r="BQ25" i="7"/>
  <c r="BM25" i="7"/>
  <c r="BI25" i="7"/>
  <c r="BE25" i="7"/>
  <c r="BA25" i="7"/>
  <c r="AW25" i="7"/>
  <c r="AS25" i="7"/>
  <c r="AO25" i="7"/>
  <c r="AK25" i="7"/>
  <c r="AG25" i="7"/>
  <c r="AC25" i="7"/>
  <c r="Y25" i="7"/>
  <c r="BQ24" i="7"/>
  <c r="BM24" i="7"/>
  <c r="BI24" i="7"/>
  <c r="BE24" i="7"/>
  <c r="BA24" i="7"/>
  <c r="AW24" i="7"/>
  <c r="AS24" i="7"/>
  <c r="AO24" i="7"/>
  <c r="AK24" i="7"/>
  <c r="AG24" i="7"/>
  <c r="AC24" i="7"/>
  <c r="Y24" i="7"/>
  <c r="BQ23" i="7"/>
  <c r="BM23" i="7"/>
  <c r="BI23" i="7"/>
  <c r="BE23" i="7"/>
  <c r="BA23" i="7"/>
  <c r="AW23" i="7"/>
  <c r="AS23" i="7"/>
  <c r="AO23" i="7"/>
  <c r="AK23" i="7"/>
  <c r="AG23" i="7"/>
  <c r="AC23" i="7"/>
  <c r="Y23" i="7"/>
  <c r="BQ22" i="7"/>
  <c r="BM22" i="7"/>
  <c r="BI22" i="7"/>
  <c r="BE22" i="7"/>
  <c r="BA22" i="7"/>
  <c r="AW22" i="7"/>
  <c r="AS22" i="7"/>
  <c r="AO22" i="7"/>
  <c r="AK22" i="7"/>
  <c r="AG22" i="7"/>
  <c r="AC22" i="7"/>
  <c r="Y22" i="7"/>
  <c r="BQ21" i="7"/>
  <c r="BM21" i="7"/>
  <c r="BI21" i="7"/>
  <c r="BE21" i="7"/>
  <c r="BA21" i="7"/>
  <c r="AW21" i="7"/>
  <c r="AS21" i="7"/>
  <c r="AO21" i="7"/>
  <c r="AK21" i="7"/>
  <c r="AG21" i="7"/>
  <c r="AC21" i="7"/>
  <c r="Y21" i="7"/>
  <c r="BQ20" i="7"/>
  <c r="BM20" i="7"/>
  <c r="BI20" i="7"/>
  <c r="BE20" i="7"/>
  <c r="BA20" i="7"/>
  <c r="AW20" i="7"/>
  <c r="AS20" i="7"/>
  <c r="AO20" i="7"/>
  <c r="AK20" i="7"/>
  <c r="AG20" i="7"/>
  <c r="AC20" i="7"/>
  <c r="Y20" i="7"/>
  <c r="BQ19" i="7"/>
  <c r="BM19" i="7"/>
  <c r="BI19" i="7"/>
  <c r="BE19" i="7"/>
  <c r="BA19" i="7"/>
  <c r="AW19" i="7"/>
  <c r="AS19" i="7"/>
  <c r="AO19" i="7"/>
  <c r="AK19" i="7"/>
  <c r="AG19" i="7"/>
  <c r="AC19" i="7"/>
  <c r="Y19" i="7"/>
  <c r="BQ18" i="7"/>
  <c r="BM18" i="7"/>
  <c r="BI18" i="7"/>
  <c r="BE18" i="7"/>
  <c r="BA18" i="7"/>
  <c r="AW18" i="7"/>
  <c r="AS18" i="7"/>
  <c r="AO18" i="7"/>
  <c r="AK18" i="7"/>
  <c r="AG18" i="7"/>
  <c r="AC18" i="7"/>
  <c r="Y18" i="7"/>
  <c r="BQ17" i="7"/>
  <c r="BM17" i="7"/>
  <c r="BI17" i="7"/>
  <c r="BE17" i="7"/>
  <c r="BA17" i="7"/>
  <c r="AW17" i="7"/>
  <c r="AS17" i="7"/>
  <c r="AO17" i="7"/>
  <c r="AK17" i="7"/>
  <c r="AG17" i="7"/>
  <c r="AC17" i="7"/>
  <c r="Y17" i="7"/>
  <c r="BQ16" i="7"/>
  <c r="BM16" i="7"/>
  <c r="BI16" i="7"/>
  <c r="BE16" i="7"/>
  <c r="BA16" i="7"/>
  <c r="AW16" i="7"/>
  <c r="AS16" i="7"/>
  <c r="AO16" i="7"/>
  <c r="AK16" i="7"/>
  <c r="AG16" i="7"/>
  <c r="AC16" i="7"/>
  <c r="Y16" i="7"/>
  <c r="BQ15" i="7"/>
  <c r="BM15" i="7"/>
  <c r="BI15" i="7"/>
  <c r="BE15" i="7"/>
  <c r="BA15" i="7"/>
  <c r="AW15" i="7"/>
  <c r="AS15" i="7"/>
  <c r="AO15" i="7"/>
  <c r="AK15" i="7"/>
  <c r="AG15" i="7"/>
  <c r="AC15" i="7"/>
  <c r="Y15" i="7"/>
  <c r="BQ14" i="7"/>
  <c r="BM14" i="7"/>
  <c r="BI14" i="7"/>
  <c r="BE14" i="7"/>
  <c r="BA14" i="7"/>
  <c r="AW14" i="7"/>
  <c r="AS14" i="7"/>
  <c r="AO14" i="7"/>
  <c r="AK14" i="7"/>
  <c r="AG14" i="7"/>
  <c r="AC14" i="7"/>
  <c r="Y14" i="7"/>
  <c r="BQ13" i="7"/>
  <c r="BM13" i="7"/>
  <c r="BI13" i="7"/>
  <c r="BE13" i="7"/>
  <c r="BA13" i="7"/>
  <c r="AW13" i="7"/>
  <c r="AS13" i="7"/>
  <c r="AO13" i="7"/>
  <c r="AK13" i="7"/>
  <c r="AG13" i="7"/>
  <c r="AC13" i="7"/>
  <c r="Y13" i="7"/>
  <c r="BQ12" i="7"/>
  <c r="BM12" i="7"/>
  <c r="BI12" i="7"/>
  <c r="BE12" i="7"/>
  <c r="BA12" i="7"/>
  <c r="AW12" i="7"/>
  <c r="AS12" i="7"/>
  <c r="AO12" i="7"/>
  <c r="AK12" i="7"/>
  <c r="AG12" i="7"/>
  <c r="AC12" i="7"/>
  <c r="Y12" i="7"/>
  <c r="BQ11" i="7"/>
  <c r="BM11" i="7"/>
  <c r="BI11" i="7"/>
  <c r="BE11" i="7"/>
  <c r="BA11" i="7"/>
  <c r="AW11" i="7"/>
  <c r="AS11" i="7"/>
  <c r="AO11" i="7"/>
  <c r="AK11" i="7"/>
  <c r="AG11" i="7"/>
  <c r="AC11" i="7"/>
  <c r="Y11" i="7"/>
  <c r="BQ10" i="7"/>
  <c r="BM10" i="7"/>
  <c r="BI10" i="7"/>
  <c r="BE10" i="7"/>
  <c r="BA10" i="7"/>
  <c r="AW10" i="7"/>
  <c r="AS10" i="7"/>
  <c r="AO10" i="7"/>
  <c r="AK10" i="7"/>
  <c r="AG10" i="7"/>
  <c r="AC10" i="7"/>
  <c r="Y10" i="7"/>
  <c r="BQ9" i="7"/>
  <c r="BM9" i="7"/>
  <c r="BI9" i="7"/>
  <c r="BE9" i="7"/>
  <c r="BA9" i="7"/>
  <c r="AW9" i="7"/>
  <c r="AS9" i="7"/>
  <c r="AO9" i="7"/>
  <c r="AK9" i="7"/>
  <c r="AG9" i="7"/>
  <c r="AC9" i="7"/>
  <c r="Y9" i="7"/>
  <c r="BQ8" i="7"/>
  <c r="BM8" i="7"/>
  <c r="BI8" i="7"/>
  <c r="BE8" i="7"/>
  <c r="BA8" i="7"/>
  <c r="AW8" i="7"/>
  <c r="AS8" i="7"/>
  <c r="AO8" i="7"/>
  <c r="AK8" i="7"/>
  <c r="AG8" i="7"/>
  <c r="AC8" i="7"/>
  <c r="Y8" i="7"/>
  <c r="BQ7" i="7"/>
  <c r="BM7" i="7"/>
  <c r="BI7" i="7"/>
  <c r="BE7" i="7"/>
  <c r="BA7" i="7"/>
  <c r="AW7" i="7"/>
  <c r="AS7" i="7"/>
  <c r="AO7" i="7"/>
  <c r="AK7" i="7"/>
  <c r="AG7" i="7"/>
  <c r="AC7" i="7"/>
  <c r="Y7" i="7"/>
  <c r="BQ6" i="7"/>
  <c r="BM6" i="7"/>
  <c r="BI6" i="7"/>
  <c r="BE6" i="7"/>
  <c r="BA6" i="7"/>
  <c r="AW6" i="7"/>
  <c r="AS6" i="7"/>
  <c r="AO6" i="7"/>
  <c r="AK6" i="7"/>
  <c r="AG6" i="7"/>
  <c r="AC6" i="7"/>
  <c r="Y6" i="7"/>
  <c r="BQ5" i="7"/>
  <c r="BM5" i="7"/>
  <c r="BI5" i="7"/>
  <c r="BE5" i="7"/>
  <c r="BA5" i="7"/>
  <c r="AW5" i="7"/>
  <c r="AS5" i="7"/>
  <c r="AO5" i="7"/>
  <c r="AK5" i="7"/>
  <c r="AG5" i="7"/>
  <c r="AC5" i="7"/>
  <c r="Y5" i="7"/>
  <c r="BQ4" i="7"/>
  <c r="BM4" i="7"/>
  <c r="BI4" i="7"/>
  <c r="BE4" i="7"/>
  <c r="BA4" i="7"/>
  <c r="AW4" i="7"/>
  <c r="AS4" i="7"/>
  <c r="AO4" i="7"/>
  <c r="AK4" i="7"/>
  <c r="AG4" i="7"/>
  <c r="AC4" i="7"/>
  <c r="Y4" i="7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Q72" i="5"/>
  <c r="AD65" i="5"/>
  <c r="Z65" i="5"/>
  <c r="V65" i="5"/>
  <c r="R65" i="5"/>
  <c r="L65" i="5"/>
  <c r="AD64" i="5"/>
  <c r="Z64" i="5"/>
  <c r="V64" i="5"/>
  <c r="R64" i="5"/>
  <c r="L64" i="5"/>
  <c r="AD63" i="5"/>
  <c r="Z63" i="5"/>
  <c r="V63" i="5"/>
  <c r="R63" i="5"/>
  <c r="L63" i="5"/>
  <c r="AD62" i="5"/>
  <c r="Z62" i="5"/>
  <c r="V62" i="5"/>
  <c r="R62" i="5"/>
  <c r="L62" i="5"/>
  <c r="AD61" i="5"/>
  <c r="Z61" i="5"/>
  <c r="V61" i="5"/>
  <c r="R61" i="5"/>
  <c r="L61" i="5"/>
  <c r="AD60" i="5"/>
  <c r="Z60" i="5"/>
  <c r="V60" i="5"/>
  <c r="R60" i="5"/>
  <c r="L60" i="5"/>
  <c r="AD59" i="5"/>
  <c r="Z59" i="5"/>
  <c r="V59" i="5"/>
  <c r="R59" i="5"/>
  <c r="L59" i="5"/>
  <c r="AD58" i="5"/>
  <c r="Z58" i="5"/>
  <c r="V58" i="5"/>
  <c r="R58" i="5"/>
  <c r="L58" i="5"/>
  <c r="AD57" i="5"/>
  <c r="Z57" i="5"/>
  <c r="V57" i="5"/>
  <c r="R57" i="5"/>
  <c r="L57" i="5"/>
  <c r="AD56" i="5"/>
  <c r="Z56" i="5"/>
  <c r="V56" i="5"/>
  <c r="R56" i="5"/>
  <c r="L56" i="5"/>
  <c r="AD55" i="5"/>
  <c r="Z55" i="5"/>
  <c r="V55" i="5"/>
  <c r="R55" i="5"/>
  <c r="L55" i="5"/>
  <c r="AD54" i="5"/>
  <c r="Z54" i="5"/>
  <c r="V54" i="5"/>
  <c r="R54" i="5"/>
  <c r="L54" i="5"/>
  <c r="AD53" i="5"/>
  <c r="Z53" i="5"/>
  <c r="V53" i="5"/>
  <c r="R53" i="5"/>
  <c r="L53" i="5"/>
  <c r="AD52" i="5"/>
  <c r="Z52" i="5"/>
  <c r="V52" i="5"/>
  <c r="R52" i="5"/>
  <c r="L52" i="5"/>
  <c r="AD51" i="5"/>
  <c r="Z51" i="5"/>
  <c r="V51" i="5"/>
  <c r="R51" i="5"/>
  <c r="L51" i="5"/>
  <c r="AD50" i="5"/>
  <c r="Z50" i="5"/>
  <c r="V50" i="5"/>
  <c r="R50" i="5"/>
  <c r="L50" i="5"/>
  <c r="AD49" i="5"/>
  <c r="Z49" i="5"/>
  <c r="V49" i="5"/>
  <c r="R49" i="5"/>
  <c r="L49" i="5"/>
  <c r="AD48" i="5"/>
  <c r="Z48" i="5"/>
  <c r="V48" i="5"/>
  <c r="R48" i="5"/>
  <c r="L48" i="5"/>
  <c r="AD47" i="5"/>
  <c r="Z47" i="5"/>
  <c r="V47" i="5"/>
  <c r="R47" i="5"/>
  <c r="L47" i="5"/>
  <c r="AD46" i="5"/>
  <c r="Z46" i="5"/>
  <c r="V46" i="5"/>
  <c r="R46" i="5"/>
  <c r="L46" i="5"/>
  <c r="AD45" i="5"/>
  <c r="Z45" i="5"/>
  <c r="V45" i="5"/>
  <c r="R45" i="5"/>
  <c r="L45" i="5"/>
  <c r="AD44" i="5"/>
  <c r="Z44" i="5"/>
  <c r="V44" i="5"/>
  <c r="R44" i="5"/>
  <c r="L44" i="5"/>
  <c r="AD43" i="5"/>
  <c r="Z43" i="5"/>
  <c r="V43" i="5"/>
  <c r="R43" i="5"/>
  <c r="L43" i="5"/>
  <c r="AD42" i="5"/>
  <c r="Z42" i="5"/>
  <c r="V42" i="5"/>
  <c r="R42" i="5"/>
  <c r="L42" i="5"/>
  <c r="AD41" i="5"/>
  <c r="Z41" i="5"/>
  <c r="V41" i="5"/>
  <c r="R41" i="5"/>
  <c r="L41" i="5"/>
  <c r="AD40" i="5"/>
  <c r="Z40" i="5"/>
  <c r="V40" i="5"/>
  <c r="R40" i="5"/>
  <c r="L40" i="5"/>
  <c r="AD39" i="5"/>
  <c r="Z39" i="5"/>
  <c r="V39" i="5"/>
  <c r="R39" i="5"/>
  <c r="L39" i="5"/>
  <c r="AD38" i="5"/>
  <c r="Z38" i="5"/>
  <c r="V38" i="5"/>
  <c r="R38" i="5"/>
  <c r="L38" i="5"/>
  <c r="AD37" i="5"/>
  <c r="Z37" i="5"/>
  <c r="V37" i="5"/>
  <c r="R37" i="5"/>
  <c r="L37" i="5"/>
  <c r="AD36" i="5"/>
  <c r="Z36" i="5"/>
  <c r="V36" i="5"/>
  <c r="R36" i="5"/>
  <c r="L36" i="5"/>
  <c r="AD35" i="5"/>
  <c r="Z35" i="5"/>
  <c r="V35" i="5"/>
  <c r="R35" i="5"/>
  <c r="L35" i="5"/>
  <c r="AD34" i="5"/>
  <c r="Z34" i="5"/>
  <c r="V34" i="5"/>
  <c r="R34" i="5"/>
  <c r="L34" i="5"/>
  <c r="AD33" i="5"/>
  <c r="Z33" i="5"/>
  <c r="V33" i="5"/>
  <c r="R33" i="5"/>
  <c r="L33" i="5"/>
  <c r="AD32" i="5"/>
  <c r="Z32" i="5"/>
  <c r="V32" i="5"/>
  <c r="R32" i="5"/>
  <c r="L32" i="5"/>
  <c r="AD31" i="5"/>
  <c r="Z31" i="5"/>
  <c r="V31" i="5"/>
  <c r="R31" i="5"/>
  <c r="L31" i="5"/>
  <c r="AD30" i="5"/>
  <c r="Z30" i="5"/>
  <c r="V30" i="5"/>
  <c r="R30" i="5"/>
  <c r="L30" i="5"/>
  <c r="AD29" i="5"/>
  <c r="Z29" i="5"/>
  <c r="V29" i="5"/>
  <c r="R29" i="5"/>
  <c r="L29" i="5"/>
  <c r="AD28" i="5"/>
  <c r="Z28" i="5"/>
  <c r="V28" i="5"/>
  <c r="R28" i="5"/>
  <c r="L28" i="5"/>
  <c r="AD27" i="5"/>
  <c r="Z27" i="5"/>
  <c r="V27" i="5"/>
  <c r="R27" i="5"/>
  <c r="L27" i="5"/>
  <c r="AD26" i="5"/>
  <c r="Z26" i="5"/>
  <c r="V26" i="5"/>
  <c r="R26" i="5"/>
  <c r="L26" i="5"/>
  <c r="AD25" i="5"/>
  <c r="Z25" i="5"/>
  <c r="V25" i="5"/>
  <c r="R25" i="5"/>
  <c r="L25" i="5"/>
  <c r="AD24" i="5"/>
  <c r="Z24" i="5"/>
  <c r="V24" i="5"/>
  <c r="R24" i="5"/>
  <c r="L24" i="5"/>
  <c r="AD23" i="5"/>
  <c r="Z23" i="5"/>
  <c r="V23" i="5"/>
  <c r="R23" i="5"/>
  <c r="L23" i="5"/>
  <c r="AD22" i="5"/>
  <c r="Z22" i="5"/>
  <c r="V22" i="5"/>
  <c r="R22" i="5"/>
  <c r="L22" i="5"/>
  <c r="AD21" i="5"/>
  <c r="Z21" i="5"/>
  <c r="V21" i="5"/>
  <c r="R21" i="5"/>
  <c r="L21" i="5"/>
  <c r="AD20" i="5"/>
  <c r="Z20" i="5"/>
  <c r="V20" i="5"/>
  <c r="R20" i="5"/>
  <c r="L20" i="5"/>
  <c r="AD19" i="5"/>
  <c r="Z19" i="5"/>
  <c r="V19" i="5"/>
  <c r="R19" i="5"/>
  <c r="L19" i="5"/>
  <c r="AD18" i="5"/>
  <c r="Z18" i="5"/>
  <c r="V18" i="5"/>
  <c r="R18" i="5"/>
  <c r="L18" i="5"/>
  <c r="AD17" i="5"/>
  <c r="Z17" i="5"/>
  <c r="V17" i="5"/>
  <c r="R17" i="5"/>
  <c r="L17" i="5"/>
  <c r="AD16" i="5"/>
  <c r="Z16" i="5"/>
  <c r="V16" i="5"/>
  <c r="R16" i="5"/>
  <c r="L16" i="5"/>
  <c r="AD15" i="5"/>
  <c r="Z15" i="5"/>
  <c r="V15" i="5"/>
  <c r="R15" i="5"/>
  <c r="L15" i="5"/>
  <c r="AD14" i="5"/>
  <c r="Z14" i="5"/>
  <c r="V14" i="5"/>
  <c r="R14" i="5"/>
  <c r="L14" i="5"/>
  <c r="AD13" i="5"/>
  <c r="Z13" i="5"/>
  <c r="V13" i="5"/>
  <c r="R13" i="5"/>
  <c r="L13" i="5"/>
  <c r="AD12" i="5"/>
  <c r="Z12" i="5"/>
  <c r="V12" i="5"/>
  <c r="R12" i="5"/>
  <c r="L12" i="5"/>
  <c r="AD11" i="5"/>
  <c r="Z11" i="5"/>
  <c r="V11" i="5"/>
  <c r="R11" i="5"/>
  <c r="L11" i="5"/>
  <c r="AD10" i="5"/>
  <c r="Z10" i="5"/>
  <c r="V10" i="5"/>
  <c r="R10" i="5"/>
  <c r="L10" i="5"/>
  <c r="AD9" i="5"/>
  <c r="Z9" i="5"/>
  <c r="V9" i="5"/>
  <c r="R9" i="5"/>
  <c r="L9" i="5"/>
  <c r="AD8" i="5"/>
  <c r="Z8" i="5"/>
  <c r="V8" i="5"/>
  <c r="R8" i="5"/>
  <c r="L8" i="5"/>
  <c r="AD7" i="5"/>
  <c r="Z7" i="5"/>
  <c r="V7" i="5"/>
  <c r="R7" i="5"/>
  <c r="L7" i="5"/>
  <c r="AD6" i="5"/>
  <c r="Z6" i="5"/>
  <c r="V6" i="5"/>
  <c r="R6" i="5"/>
  <c r="L6" i="5"/>
  <c r="AD5" i="5"/>
  <c r="Z5" i="5"/>
  <c r="V5" i="5"/>
  <c r="R5" i="5"/>
  <c r="L5" i="5"/>
  <c r="AD4" i="5"/>
  <c r="Z4" i="5"/>
  <c r="V4" i="5"/>
  <c r="R4" i="5"/>
  <c r="L4" i="5"/>
  <c r="AC76" i="4"/>
  <c r="AD76" i="4"/>
  <c r="AE76" i="4"/>
  <c r="AF76" i="4"/>
  <c r="AG76" i="4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Z76" i="4"/>
  <c r="BA76" i="4"/>
  <c r="BB76" i="4"/>
  <c r="BC76" i="4"/>
  <c r="BD76" i="4"/>
  <c r="BE76" i="4"/>
  <c r="BF76" i="4"/>
  <c r="BG76" i="4"/>
  <c r="BH76" i="4"/>
  <c r="BI76" i="4"/>
  <c r="BJ76" i="4"/>
  <c r="BK76" i="4"/>
  <c r="BL76" i="4"/>
  <c r="BM76" i="4"/>
  <c r="BN76" i="4"/>
  <c r="BO76" i="4"/>
  <c r="BP76" i="4"/>
  <c r="BQ76" i="4"/>
  <c r="BR76" i="4"/>
  <c r="BS76" i="4"/>
  <c r="BT76" i="4"/>
  <c r="AB76" i="4"/>
  <c r="Y4" i="4"/>
  <c r="AC4" i="4"/>
  <c r="AG4" i="4"/>
  <c r="AK4" i="4"/>
  <c r="AO4" i="4"/>
  <c r="AS4" i="4"/>
  <c r="AW4" i="4"/>
  <c r="BA4" i="4"/>
  <c r="BE4" i="4"/>
  <c r="BI4" i="4"/>
  <c r="BM4" i="4"/>
  <c r="BQ4" i="4"/>
  <c r="Y5" i="4"/>
  <c r="AC5" i="4"/>
  <c r="AG5" i="4"/>
  <c r="AK5" i="4"/>
  <c r="AO5" i="4"/>
  <c r="AS5" i="4"/>
  <c r="AW5" i="4"/>
  <c r="BA5" i="4"/>
  <c r="BE5" i="4"/>
  <c r="BI5" i="4"/>
  <c r="BM5" i="4"/>
  <c r="BQ5" i="4"/>
  <c r="Y6" i="4"/>
  <c r="AC6" i="4"/>
  <c r="AG6" i="4"/>
  <c r="AK6" i="4"/>
  <c r="AO6" i="4"/>
  <c r="AS6" i="4"/>
  <c r="AW6" i="4"/>
  <c r="BA6" i="4"/>
  <c r="BE6" i="4"/>
  <c r="BI6" i="4"/>
  <c r="BM6" i="4"/>
  <c r="BQ6" i="4"/>
  <c r="Y7" i="4"/>
  <c r="AC7" i="4"/>
  <c r="AG7" i="4"/>
  <c r="AK7" i="4"/>
  <c r="AO7" i="4"/>
  <c r="AS7" i="4"/>
  <c r="AW7" i="4"/>
  <c r="BA7" i="4"/>
  <c r="BE7" i="4"/>
  <c r="BI7" i="4"/>
  <c r="BM7" i="4"/>
  <c r="BQ7" i="4"/>
  <c r="Y8" i="4"/>
  <c r="AC8" i="4"/>
  <c r="AG8" i="4"/>
  <c r="AK8" i="4"/>
  <c r="AO8" i="4"/>
  <c r="AS8" i="4"/>
  <c r="AW8" i="4"/>
  <c r="BA8" i="4"/>
  <c r="BE8" i="4"/>
  <c r="BI8" i="4"/>
  <c r="BM8" i="4"/>
  <c r="BQ8" i="4"/>
  <c r="Y9" i="4"/>
  <c r="AC9" i="4"/>
  <c r="AG9" i="4"/>
  <c r="AK9" i="4"/>
  <c r="AO9" i="4"/>
  <c r="AS9" i="4"/>
  <c r="AW9" i="4"/>
  <c r="BA9" i="4"/>
  <c r="BE9" i="4"/>
  <c r="BI9" i="4"/>
  <c r="BM9" i="4"/>
  <c r="BQ9" i="4"/>
  <c r="Y10" i="4"/>
  <c r="AC10" i="4"/>
  <c r="AG10" i="4"/>
  <c r="AK10" i="4"/>
  <c r="AO10" i="4"/>
  <c r="AS10" i="4"/>
  <c r="AW10" i="4"/>
  <c r="BA10" i="4"/>
  <c r="BE10" i="4"/>
  <c r="BI10" i="4"/>
  <c r="BM10" i="4"/>
  <c r="BQ10" i="4"/>
  <c r="Y11" i="4"/>
  <c r="AC11" i="4"/>
  <c r="AG11" i="4"/>
  <c r="AK11" i="4"/>
  <c r="AO11" i="4"/>
  <c r="AS11" i="4"/>
  <c r="AW11" i="4"/>
  <c r="BA11" i="4"/>
  <c r="BE11" i="4"/>
  <c r="BI11" i="4"/>
  <c r="BM11" i="4"/>
  <c r="BQ11" i="4"/>
  <c r="Y12" i="4"/>
  <c r="AC12" i="4"/>
  <c r="AG12" i="4"/>
  <c r="AK12" i="4"/>
  <c r="AO12" i="4"/>
  <c r="AS12" i="4"/>
  <c r="AW12" i="4"/>
  <c r="BA12" i="4"/>
  <c r="BE12" i="4"/>
  <c r="BI12" i="4"/>
  <c r="BM12" i="4"/>
  <c r="BQ12" i="4"/>
  <c r="Y13" i="4"/>
  <c r="AC13" i="4"/>
  <c r="AG13" i="4"/>
  <c r="AK13" i="4"/>
  <c r="AO13" i="4"/>
  <c r="AS13" i="4"/>
  <c r="AW13" i="4"/>
  <c r="BA13" i="4"/>
  <c r="BE13" i="4"/>
  <c r="BI13" i="4"/>
  <c r="BM13" i="4"/>
  <c r="BQ13" i="4"/>
  <c r="Y14" i="4"/>
  <c r="AC14" i="4"/>
  <c r="AG14" i="4"/>
  <c r="AK14" i="4"/>
  <c r="AO14" i="4"/>
  <c r="AS14" i="4"/>
  <c r="AW14" i="4"/>
  <c r="BA14" i="4"/>
  <c r="BE14" i="4"/>
  <c r="BI14" i="4"/>
  <c r="BM14" i="4"/>
  <c r="BQ14" i="4"/>
  <c r="Y15" i="4"/>
  <c r="AC15" i="4"/>
  <c r="AG15" i="4"/>
  <c r="AK15" i="4"/>
  <c r="AO15" i="4"/>
  <c r="AS15" i="4"/>
  <c r="AW15" i="4"/>
  <c r="BA15" i="4"/>
  <c r="BE15" i="4"/>
  <c r="BI15" i="4"/>
  <c r="BM15" i="4"/>
  <c r="BQ15" i="4"/>
  <c r="Y16" i="4"/>
  <c r="AC16" i="4"/>
  <c r="AG16" i="4"/>
  <c r="AK16" i="4"/>
  <c r="AO16" i="4"/>
  <c r="AS16" i="4"/>
  <c r="AW16" i="4"/>
  <c r="BA16" i="4"/>
  <c r="BE16" i="4"/>
  <c r="BI16" i="4"/>
  <c r="BM16" i="4"/>
  <c r="BQ16" i="4"/>
  <c r="Y17" i="4"/>
  <c r="AC17" i="4"/>
  <c r="AG17" i="4"/>
  <c r="AK17" i="4"/>
  <c r="AO17" i="4"/>
  <c r="AS17" i="4"/>
  <c r="AW17" i="4"/>
  <c r="BA17" i="4"/>
  <c r="BE17" i="4"/>
  <c r="BI17" i="4"/>
  <c r="BM17" i="4"/>
  <c r="BQ17" i="4"/>
  <c r="Y18" i="4"/>
  <c r="AC18" i="4"/>
  <c r="AG18" i="4"/>
  <c r="AK18" i="4"/>
  <c r="AO18" i="4"/>
  <c r="AS18" i="4"/>
  <c r="AW18" i="4"/>
  <c r="BA18" i="4"/>
  <c r="BE18" i="4"/>
  <c r="BI18" i="4"/>
  <c r="BM18" i="4"/>
  <c r="BQ18" i="4"/>
  <c r="Y19" i="4"/>
  <c r="AC19" i="4"/>
  <c r="AG19" i="4"/>
  <c r="AK19" i="4"/>
  <c r="AO19" i="4"/>
  <c r="AS19" i="4"/>
  <c r="AW19" i="4"/>
  <c r="BA19" i="4"/>
  <c r="BE19" i="4"/>
  <c r="BI19" i="4"/>
  <c r="BM19" i="4"/>
  <c r="BQ19" i="4"/>
  <c r="Y20" i="4"/>
  <c r="AC20" i="4"/>
  <c r="AG20" i="4"/>
  <c r="AK20" i="4"/>
  <c r="AO20" i="4"/>
  <c r="AS20" i="4"/>
  <c r="AW20" i="4"/>
  <c r="BA20" i="4"/>
  <c r="BE20" i="4"/>
  <c r="BI20" i="4"/>
  <c r="BM20" i="4"/>
  <c r="BQ20" i="4"/>
  <c r="Y21" i="4"/>
  <c r="AC21" i="4"/>
  <c r="AG21" i="4"/>
  <c r="AK21" i="4"/>
  <c r="AO21" i="4"/>
  <c r="AS21" i="4"/>
  <c r="AW21" i="4"/>
  <c r="BA21" i="4"/>
  <c r="BE21" i="4"/>
  <c r="BI21" i="4"/>
  <c r="BM21" i="4"/>
  <c r="BQ21" i="4"/>
  <c r="Y22" i="4"/>
  <c r="AC22" i="4"/>
  <c r="AG22" i="4"/>
  <c r="AK22" i="4"/>
  <c r="AO22" i="4"/>
  <c r="AS22" i="4"/>
  <c r="AW22" i="4"/>
  <c r="BA22" i="4"/>
  <c r="BE22" i="4"/>
  <c r="BI22" i="4"/>
  <c r="BM22" i="4"/>
  <c r="BQ22" i="4"/>
  <c r="Y23" i="4"/>
  <c r="AC23" i="4"/>
  <c r="AG23" i="4"/>
  <c r="AK23" i="4"/>
  <c r="AO23" i="4"/>
  <c r="AS23" i="4"/>
  <c r="AW23" i="4"/>
  <c r="BA23" i="4"/>
  <c r="BE23" i="4"/>
  <c r="BI23" i="4"/>
  <c r="BM23" i="4"/>
  <c r="BQ23" i="4"/>
  <c r="Y24" i="4"/>
  <c r="AC24" i="4"/>
  <c r="AG24" i="4"/>
  <c r="AK24" i="4"/>
  <c r="AO24" i="4"/>
  <c r="AS24" i="4"/>
  <c r="AW24" i="4"/>
  <c r="BA24" i="4"/>
  <c r="BE24" i="4"/>
  <c r="BI24" i="4"/>
  <c r="BM24" i="4"/>
  <c r="BQ24" i="4"/>
  <c r="Y25" i="4"/>
  <c r="AC25" i="4"/>
  <c r="AG25" i="4"/>
  <c r="AK25" i="4"/>
  <c r="AO25" i="4"/>
  <c r="AS25" i="4"/>
  <c r="AW25" i="4"/>
  <c r="BA25" i="4"/>
  <c r="BE25" i="4"/>
  <c r="BI25" i="4"/>
  <c r="BM25" i="4"/>
  <c r="BQ25" i="4"/>
  <c r="Y26" i="4"/>
  <c r="AC26" i="4"/>
  <c r="AG26" i="4"/>
  <c r="AK26" i="4"/>
  <c r="AO26" i="4"/>
  <c r="AS26" i="4"/>
  <c r="AW26" i="4"/>
  <c r="BA26" i="4"/>
  <c r="BE26" i="4"/>
  <c r="BI26" i="4"/>
  <c r="BM26" i="4"/>
  <c r="BQ26" i="4"/>
  <c r="Y27" i="4"/>
  <c r="AC27" i="4"/>
  <c r="AG27" i="4"/>
  <c r="AK27" i="4"/>
  <c r="AO27" i="4"/>
  <c r="AS27" i="4"/>
  <c r="AW27" i="4"/>
  <c r="BA27" i="4"/>
  <c r="BE27" i="4"/>
  <c r="BI27" i="4"/>
  <c r="BM27" i="4"/>
  <c r="BQ27" i="4"/>
  <c r="Y28" i="4"/>
  <c r="AC28" i="4"/>
  <c r="AG28" i="4"/>
  <c r="AK28" i="4"/>
  <c r="AO28" i="4"/>
  <c r="AS28" i="4"/>
  <c r="AW28" i="4"/>
  <c r="BA28" i="4"/>
  <c r="BE28" i="4"/>
  <c r="BI28" i="4"/>
  <c r="BM28" i="4"/>
  <c r="BQ28" i="4"/>
  <c r="Y29" i="4"/>
  <c r="AC29" i="4"/>
  <c r="AG29" i="4"/>
  <c r="AK29" i="4"/>
  <c r="AO29" i="4"/>
  <c r="AS29" i="4"/>
  <c r="AW29" i="4"/>
  <c r="BA29" i="4"/>
  <c r="BE29" i="4"/>
  <c r="BI29" i="4"/>
  <c r="BM29" i="4"/>
  <c r="BQ29" i="4"/>
  <c r="Y30" i="4"/>
  <c r="AC30" i="4"/>
  <c r="AG30" i="4"/>
  <c r="AK30" i="4"/>
  <c r="AO30" i="4"/>
  <c r="AS30" i="4"/>
  <c r="AW30" i="4"/>
  <c r="BA30" i="4"/>
  <c r="BE30" i="4"/>
  <c r="BI30" i="4"/>
  <c r="BM30" i="4"/>
  <c r="BQ30" i="4"/>
  <c r="Y31" i="4"/>
  <c r="AC31" i="4"/>
  <c r="AG31" i="4"/>
  <c r="AK31" i="4"/>
  <c r="AO31" i="4"/>
  <c r="AS31" i="4"/>
  <c r="AW31" i="4"/>
  <c r="BA31" i="4"/>
  <c r="BE31" i="4"/>
  <c r="BI31" i="4"/>
  <c r="BM31" i="4"/>
  <c r="BQ31" i="4"/>
  <c r="Y32" i="4"/>
  <c r="AC32" i="4"/>
  <c r="AG32" i="4"/>
  <c r="AK32" i="4"/>
  <c r="AO32" i="4"/>
  <c r="AS32" i="4"/>
  <c r="AW32" i="4"/>
  <c r="BA32" i="4"/>
  <c r="BE32" i="4"/>
  <c r="BI32" i="4"/>
  <c r="BM32" i="4"/>
  <c r="BQ32" i="4"/>
  <c r="Y33" i="4"/>
  <c r="AC33" i="4"/>
  <c r="AG33" i="4"/>
  <c r="AK33" i="4"/>
  <c r="AO33" i="4"/>
  <c r="AS33" i="4"/>
  <c r="AW33" i="4"/>
  <c r="BA33" i="4"/>
  <c r="BE33" i="4"/>
  <c r="BI33" i="4"/>
  <c r="BM33" i="4"/>
  <c r="BQ33" i="4"/>
  <c r="Y34" i="4"/>
  <c r="AC34" i="4"/>
  <c r="AG34" i="4"/>
  <c r="AK34" i="4"/>
  <c r="AO34" i="4"/>
  <c r="AS34" i="4"/>
  <c r="AW34" i="4"/>
  <c r="BA34" i="4"/>
  <c r="BE34" i="4"/>
  <c r="BI34" i="4"/>
  <c r="BM34" i="4"/>
  <c r="BQ34" i="4"/>
  <c r="Y35" i="4"/>
  <c r="AC35" i="4"/>
  <c r="AG35" i="4"/>
  <c r="AK35" i="4"/>
  <c r="AO35" i="4"/>
  <c r="AS35" i="4"/>
  <c r="AW35" i="4"/>
  <c r="BA35" i="4"/>
  <c r="BE35" i="4"/>
  <c r="BI35" i="4"/>
  <c r="BM35" i="4"/>
  <c r="BQ35" i="4"/>
  <c r="Y36" i="4"/>
  <c r="AC36" i="4"/>
  <c r="AG36" i="4"/>
  <c r="AK36" i="4"/>
  <c r="AO36" i="4"/>
  <c r="AS36" i="4"/>
  <c r="AW36" i="4"/>
  <c r="BA36" i="4"/>
  <c r="BE36" i="4"/>
  <c r="BI36" i="4"/>
  <c r="BM36" i="4"/>
  <c r="BQ36" i="4"/>
  <c r="Y37" i="4"/>
  <c r="AC37" i="4"/>
  <c r="AG37" i="4"/>
  <c r="AK37" i="4"/>
  <c r="AO37" i="4"/>
  <c r="AS37" i="4"/>
  <c r="AW37" i="4"/>
  <c r="BA37" i="4"/>
  <c r="BE37" i="4"/>
  <c r="BI37" i="4"/>
  <c r="BM37" i="4"/>
  <c r="BQ37" i="4"/>
  <c r="Y38" i="4"/>
  <c r="AC38" i="4"/>
  <c r="AG38" i="4"/>
  <c r="AK38" i="4"/>
  <c r="AO38" i="4"/>
  <c r="AS38" i="4"/>
  <c r="AW38" i="4"/>
  <c r="BA38" i="4"/>
  <c r="BE38" i="4"/>
  <c r="BI38" i="4"/>
  <c r="BM38" i="4"/>
  <c r="BQ38" i="4"/>
  <c r="Y39" i="4"/>
  <c r="AC39" i="4"/>
  <c r="AG39" i="4"/>
  <c r="AK39" i="4"/>
  <c r="AO39" i="4"/>
  <c r="AS39" i="4"/>
  <c r="AW39" i="4"/>
  <c r="BA39" i="4"/>
  <c r="BE39" i="4"/>
  <c r="BI39" i="4"/>
  <c r="BM39" i="4"/>
  <c r="BQ39" i="4"/>
  <c r="Y40" i="4"/>
  <c r="AC40" i="4"/>
  <c r="AG40" i="4"/>
  <c r="AK40" i="4"/>
  <c r="AO40" i="4"/>
  <c r="AS40" i="4"/>
  <c r="AW40" i="4"/>
  <c r="BA40" i="4"/>
  <c r="BE40" i="4"/>
  <c r="BI40" i="4"/>
  <c r="BM40" i="4"/>
  <c r="BQ40" i="4"/>
  <c r="Y41" i="4"/>
  <c r="AC41" i="4"/>
  <c r="AG41" i="4"/>
  <c r="AK41" i="4"/>
  <c r="AO41" i="4"/>
  <c r="AS41" i="4"/>
  <c r="AW41" i="4"/>
  <c r="BA41" i="4"/>
  <c r="BE41" i="4"/>
  <c r="BI41" i="4"/>
  <c r="BM41" i="4"/>
  <c r="BQ41" i="4"/>
  <c r="Y42" i="4"/>
  <c r="AC42" i="4"/>
  <c r="AG42" i="4"/>
  <c r="AK42" i="4"/>
  <c r="AO42" i="4"/>
  <c r="AS42" i="4"/>
  <c r="AW42" i="4"/>
  <c r="BA42" i="4"/>
  <c r="BE42" i="4"/>
  <c r="BI42" i="4"/>
  <c r="BM42" i="4"/>
  <c r="BQ42" i="4"/>
  <c r="Y43" i="4"/>
  <c r="AC43" i="4"/>
  <c r="AG43" i="4"/>
  <c r="AK43" i="4"/>
  <c r="AO43" i="4"/>
  <c r="AS43" i="4"/>
  <c r="AW43" i="4"/>
  <c r="BA43" i="4"/>
  <c r="BE43" i="4"/>
  <c r="BI43" i="4"/>
  <c r="BM43" i="4"/>
  <c r="BQ43" i="4"/>
  <c r="Y44" i="4"/>
  <c r="AC44" i="4"/>
  <c r="AG44" i="4"/>
  <c r="AK44" i="4"/>
  <c r="AO44" i="4"/>
  <c r="AS44" i="4"/>
  <c r="AW44" i="4"/>
  <c r="BA44" i="4"/>
  <c r="BE44" i="4"/>
  <c r="BI44" i="4"/>
  <c r="BM44" i="4"/>
  <c r="BQ44" i="4"/>
  <c r="Y45" i="4"/>
  <c r="AC45" i="4"/>
  <c r="AG45" i="4"/>
  <c r="AK45" i="4"/>
  <c r="AO45" i="4"/>
  <c r="AS45" i="4"/>
  <c r="AW45" i="4"/>
  <c r="BA45" i="4"/>
  <c r="BE45" i="4"/>
  <c r="BI45" i="4"/>
  <c r="BM45" i="4"/>
  <c r="BQ45" i="4"/>
  <c r="Y46" i="4"/>
  <c r="AC46" i="4"/>
  <c r="AG46" i="4"/>
  <c r="AK46" i="4"/>
  <c r="AO46" i="4"/>
  <c r="AS46" i="4"/>
  <c r="AW46" i="4"/>
  <c r="BA46" i="4"/>
  <c r="BE46" i="4"/>
  <c r="BI46" i="4"/>
  <c r="BM46" i="4"/>
  <c r="BQ46" i="4"/>
  <c r="Y47" i="4"/>
  <c r="AC47" i="4"/>
  <c r="AG47" i="4"/>
  <c r="AK47" i="4"/>
  <c r="AO47" i="4"/>
  <c r="AS47" i="4"/>
  <c r="AW47" i="4"/>
  <c r="BA47" i="4"/>
  <c r="BE47" i="4"/>
  <c r="BI47" i="4"/>
  <c r="BM47" i="4"/>
  <c r="BQ47" i="4"/>
  <c r="Y48" i="4"/>
  <c r="AC48" i="4"/>
  <c r="AG48" i="4"/>
  <c r="AK48" i="4"/>
  <c r="AO48" i="4"/>
  <c r="AS48" i="4"/>
  <c r="AW48" i="4"/>
  <c r="BA48" i="4"/>
  <c r="BE48" i="4"/>
  <c r="BI48" i="4"/>
  <c r="BM48" i="4"/>
  <c r="BQ48" i="4"/>
  <c r="Y49" i="4"/>
  <c r="AC49" i="4"/>
  <c r="AG49" i="4"/>
  <c r="AK49" i="4"/>
  <c r="AO49" i="4"/>
  <c r="AS49" i="4"/>
  <c r="AW49" i="4"/>
  <c r="BA49" i="4"/>
  <c r="BE49" i="4"/>
  <c r="BI49" i="4"/>
  <c r="BM49" i="4"/>
  <c r="BQ49" i="4"/>
  <c r="Y50" i="4"/>
  <c r="AC50" i="4"/>
  <c r="AG50" i="4"/>
  <c r="AK50" i="4"/>
  <c r="AO50" i="4"/>
  <c r="AS50" i="4"/>
  <c r="AW50" i="4"/>
  <c r="BA50" i="4"/>
  <c r="BE50" i="4"/>
  <c r="BI50" i="4"/>
  <c r="BM50" i="4"/>
  <c r="BQ50" i="4"/>
  <c r="Y51" i="4"/>
  <c r="AC51" i="4"/>
  <c r="AG51" i="4"/>
  <c r="AK51" i="4"/>
  <c r="AO51" i="4"/>
  <c r="AS51" i="4"/>
  <c r="AW51" i="4"/>
  <c r="BA51" i="4"/>
  <c r="BE51" i="4"/>
  <c r="BI51" i="4"/>
  <c r="BM51" i="4"/>
  <c r="BQ51" i="4"/>
  <c r="Y52" i="4"/>
  <c r="AC52" i="4"/>
  <c r="AG52" i="4"/>
  <c r="AK52" i="4"/>
  <c r="AO52" i="4"/>
  <c r="AS52" i="4"/>
  <c r="AW52" i="4"/>
  <c r="BA52" i="4"/>
  <c r="BE52" i="4"/>
  <c r="BI52" i="4"/>
  <c r="BM52" i="4"/>
  <c r="BQ52" i="4"/>
  <c r="Y53" i="4"/>
  <c r="AC53" i="4"/>
  <c r="AG53" i="4"/>
  <c r="AK53" i="4"/>
  <c r="AO53" i="4"/>
  <c r="AS53" i="4"/>
  <c r="AW53" i="4"/>
  <c r="BA53" i="4"/>
  <c r="BE53" i="4"/>
  <c r="BI53" i="4"/>
  <c r="BM53" i="4"/>
  <c r="BQ53" i="4"/>
  <c r="Y54" i="4"/>
  <c r="AC54" i="4"/>
  <c r="AG54" i="4"/>
  <c r="AK54" i="4"/>
  <c r="AO54" i="4"/>
  <c r="AS54" i="4"/>
  <c r="AW54" i="4"/>
  <c r="BA54" i="4"/>
  <c r="BE54" i="4"/>
  <c r="BI54" i="4"/>
  <c r="BM54" i="4"/>
  <c r="BQ54" i="4"/>
  <c r="Y55" i="4"/>
  <c r="AC55" i="4"/>
  <c r="AG55" i="4"/>
  <c r="AK55" i="4"/>
  <c r="AO55" i="4"/>
  <c r="AS55" i="4"/>
  <c r="AW55" i="4"/>
  <c r="BA55" i="4"/>
  <c r="BE55" i="4"/>
  <c r="BI55" i="4"/>
  <c r="BM55" i="4"/>
  <c r="BQ55" i="4"/>
  <c r="Y56" i="4"/>
  <c r="AC56" i="4"/>
  <c r="AG56" i="4"/>
  <c r="AK56" i="4"/>
  <c r="AO56" i="4"/>
  <c r="AS56" i="4"/>
  <c r="AW56" i="4"/>
  <c r="BA56" i="4"/>
  <c r="BE56" i="4"/>
  <c r="BI56" i="4"/>
  <c r="BM56" i="4"/>
  <c r="BQ56" i="4"/>
  <c r="Y57" i="4"/>
  <c r="AC57" i="4"/>
  <c r="AG57" i="4"/>
  <c r="AK57" i="4"/>
  <c r="AO57" i="4"/>
  <c r="AS57" i="4"/>
  <c r="AW57" i="4"/>
  <c r="BA57" i="4"/>
  <c r="BE57" i="4"/>
  <c r="BI57" i="4"/>
  <c r="BM57" i="4"/>
  <c r="BQ57" i="4"/>
  <c r="Y58" i="4"/>
  <c r="AC58" i="4"/>
  <c r="AG58" i="4"/>
  <c r="AK58" i="4"/>
  <c r="AO58" i="4"/>
  <c r="AS58" i="4"/>
  <c r="AW58" i="4"/>
  <c r="BA58" i="4"/>
  <c r="BE58" i="4"/>
  <c r="BI58" i="4"/>
  <c r="BM58" i="4"/>
  <c r="BQ58" i="4"/>
  <c r="Y59" i="4"/>
  <c r="AC59" i="4"/>
  <c r="AG59" i="4"/>
  <c r="AK59" i="4"/>
  <c r="AO59" i="4"/>
  <c r="AS59" i="4"/>
  <c r="AW59" i="4"/>
  <c r="BA59" i="4"/>
  <c r="BE59" i="4"/>
  <c r="BI59" i="4"/>
  <c r="BM59" i="4"/>
  <c r="BQ59" i="4"/>
  <c r="Y60" i="4"/>
  <c r="AC60" i="4"/>
  <c r="AG60" i="4"/>
  <c r="AK60" i="4"/>
  <c r="AO60" i="4"/>
  <c r="AS60" i="4"/>
  <c r="AW60" i="4"/>
  <c r="BA60" i="4"/>
  <c r="BE60" i="4"/>
  <c r="BI60" i="4"/>
  <c r="BM60" i="4"/>
  <c r="BQ60" i="4"/>
  <c r="Y61" i="4"/>
  <c r="AC61" i="4"/>
  <c r="AG61" i="4"/>
  <c r="AK61" i="4"/>
  <c r="AO61" i="4"/>
  <c r="AS61" i="4"/>
  <c r="AW61" i="4"/>
  <c r="BA61" i="4"/>
  <c r="BE61" i="4"/>
  <c r="BI61" i="4"/>
  <c r="BM61" i="4"/>
  <c r="BQ61" i="4"/>
  <c r="Y62" i="4"/>
  <c r="AC62" i="4"/>
  <c r="AG62" i="4"/>
  <c r="AK62" i="4"/>
  <c r="AO62" i="4"/>
  <c r="AS62" i="4"/>
  <c r="AW62" i="4"/>
  <c r="BA62" i="4"/>
  <c r="BE62" i="4"/>
  <c r="BI62" i="4"/>
  <c r="BM62" i="4"/>
  <c r="BQ62" i="4"/>
  <c r="Y63" i="4"/>
  <c r="AC63" i="4"/>
  <c r="AG63" i="4"/>
  <c r="AK63" i="4"/>
  <c r="AO63" i="4"/>
  <c r="AS63" i="4"/>
  <c r="AW63" i="4"/>
  <c r="BA63" i="4"/>
  <c r="BE63" i="4"/>
  <c r="BI63" i="4"/>
  <c r="BM63" i="4"/>
  <c r="BQ63" i="4"/>
  <c r="Y64" i="4"/>
  <c r="AC64" i="4"/>
  <c r="AG64" i="4"/>
  <c r="AK64" i="4"/>
  <c r="AO64" i="4"/>
  <c r="AS64" i="4"/>
  <c r="AW64" i="4"/>
  <c r="BA64" i="4"/>
  <c r="BE64" i="4"/>
  <c r="BI64" i="4"/>
  <c r="BM64" i="4"/>
  <c r="BQ64" i="4"/>
  <c r="AG65" i="4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4" i="3"/>
  <c r="Y4" i="3"/>
  <c r="AO66" i="3" l="1"/>
  <c r="AO68" i="3" s="1"/>
  <c r="AK66" i="3"/>
  <c r="AK65" i="7"/>
  <c r="AL11" i="7" s="1"/>
  <c r="W33" i="8"/>
  <c r="M31" i="8"/>
  <c r="M7" i="8"/>
  <c r="M18" i="8"/>
  <c r="W46" i="8"/>
  <c r="AD66" i="8"/>
  <c r="AE45" i="8" s="1"/>
  <c r="AE28" i="8"/>
  <c r="Z66" i="8"/>
  <c r="AA57" i="8" s="1"/>
  <c r="M52" i="8"/>
  <c r="W54" i="8"/>
  <c r="W36" i="8"/>
  <c r="W14" i="8"/>
  <c r="W61" i="8"/>
  <c r="W24" i="8"/>
  <c r="M30" i="8"/>
  <c r="W43" i="8"/>
  <c r="W47" i="8"/>
  <c r="M38" i="8"/>
  <c r="M16" i="8"/>
  <c r="W18" i="8"/>
  <c r="W39" i="8"/>
  <c r="M62" i="8"/>
  <c r="R66" i="8"/>
  <c r="S6" i="8" s="1"/>
  <c r="L66" i="8"/>
  <c r="M27" i="8" s="1"/>
  <c r="V66" i="8"/>
  <c r="W16" i="8" s="1"/>
  <c r="M50" i="8"/>
  <c r="M64" i="8"/>
  <c r="W31" i="8"/>
  <c r="M13" i="8"/>
  <c r="M17" i="8"/>
  <c r="M21" i="8"/>
  <c r="M25" i="8"/>
  <c r="M29" i="8"/>
  <c r="M33" i="8"/>
  <c r="M57" i="8"/>
  <c r="M61" i="8"/>
  <c r="AT49" i="7"/>
  <c r="BN54" i="7"/>
  <c r="BN24" i="7"/>
  <c r="BN36" i="7"/>
  <c r="BF7" i="7"/>
  <c r="AK67" i="7"/>
  <c r="AL47" i="7"/>
  <c r="AL12" i="7"/>
  <c r="AL63" i="7"/>
  <c r="AL61" i="7"/>
  <c r="AL16" i="7"/>
  <c r="AL28" i="7"/>
  <c r="AL8" i="7"/>
  <c r="BN9" i="7"/>
  <c r="BN22" i="7"/>
  <c r="BN39" i="7"/>
  <c r="AT25" i="7"/>
  <c r="AL64" i="7"/>
  <c r="AM64" i="7" s="1"/>
  <c r="AN64" i="7" s="1"/>
  <c r="BN47" i="7"/>
  <c r="AP5" i="7"/>
  <c r="AP13" i="7"/>
  <c r="AL36" i="7"/>
  <c r="AL37" i="7"/>
  <c r="AM37" i="7" s="1"/>
  <c r="AN37" i="7" s="1"/>
  <c r="AL39" i="7"/>
  <c r="AH19" i="7"/>
  <c r="AT22" i="7"/>
  <c r="AD30" i="7"/>
  <c r="BB33" i="7"/>
  <c r="AP39" i="7"/>
  <c r="AL43" i="7"/>
  <c r="BN8" i="7"/>
  <c r="BQ65" i="7"/>
  <c r="BR8" i="7" s="1"/>
  <c r="AD17" i="7"/>
  <c r="BN35" i="7"/>
  <c r="AX41" i="7"/>
  <c r="AL60" i="7"/>
  <c r="AL4" i="7"/>
  <c r="AL21" i="7"/>
  <c r="AL17" i="7"/>
  <c r="AM17" i="7" s="1"/>
  <c r="AN17" i="7" s="1"/>
  <c r="AD38" i="7"/>
  <c r="AL59" i="7"/>
  <c r="AM59" i="7" s="1"/>
  <c r="AN59" i="7" s="1"/>
  <c r="AO65" i="7"/>
  <c r="AP23" i="7" s="1"/>
  <c r="AL13" i="7"/>
  <c r="AL9" i="7"/>
  <c r="AP63" i="7"/>
  <c r="AP14" i="7"/>
  <c r="AP22" i="7"/>
  <c r="BJ31" i="7"/>
  <c r="AL38" i="7"/>
  <c r="AT14" i="7"/>
  <c r="AL23" i="7"/>
  <c r="AL41" i="7"/>
  <c r="AT5" i="7"/>
  <c r="AL45" i="7"/>
  <c r="AM45" i="7" s="1"/>
  <c r="AN45" i="7" s="1"/>
  <c r="AL19" i="7"/>
  <c r="AL20" i="7"/>
  <c r="AL29" i="7"/>
  <c r="AT41" i="7"/>
  <c r="AT42" i="7"/>
  <c r="AP43" i="7"/>
  <c r="AP45" i="7"/>
  <c r="AD52" i="7"/>
  <c r="BN62" i="7"/>
  <c r="AL53" i="7"/>
  <c r="AL55" i="7"/>
  <c r="AL44" i="7"/>
  <c r="AL46" i="7"/>
  <c r="AD22" i="7"/>
  <c r="AT24" i="7"/>
  <c r="AL40" i="7"/>
  <c r="AL52" i="7"/>
  <c r="AL54" i="7"/>
  <c r="AL7" i="7"/>
  <c r="BA65" i="7"/>
  <c r="BB49" i="7" s="1"/>
  <c r="AH6" i="7"/>
  <c r="AT10" i="7"/>
  <c r="AL27" i="7"/>
  <c r="AM27" i="7" s="1"/>
  <c r="AN27" i="7" s="1"/>
  <c r="BN30" i="7"/>
  <c r="AL57" i="7"/>
  <c r="AG65" i="7"/>
  <c r="AH54" i="7" s="1"/>
  <c r="AD5" i="7"/>
  <c r="AD12" i="7"/>
  <c r="AD29" i="7"/>
  <c r="AL14" i="7"/>
  <c r="AM14" i="7" s="1"/>
  <c r="AN14" i="7" s="1"/>
  <c r="BN15" i="7"/>
  <c r="BN27" i="7"/>
  <c r="AL62" i="7"/>
  <c r="BE65" i="7"/>
  <c r="BF34" i="7" s="1"/>
  <c r="AL5" i="7"/>
  <c r="AL32" i="7"/>
  <c r="AM32" i="7" s="1"/>
  <c r="AH60" i="7"/>
  <c r="Y65" i="7"/>
  <c r="Z6" i="7" s="1"/>
  <c r="AL18" i="7"/>
  <c r="AH52" i="7"/>
  <c r="AD57" i="7"/>
  <c r="BJ22" i="7"/>
  <c r="AD27" i="7"/>
  <c r="BN28" i="7"/>
  <c r="AP46" i="7"/>
  <c r="AT31" i="7"/>
  <c r="AD49" i="7"/>
  <c r="AT9" i="7"/>
  <c r="AP28" i="7"/>
  <c r="AD53" i="7"/>
  <c r="AH4" i="7"/>
  <c r="AH5" i="7"/>
  <c r="AL6" i="7"/>
  <c r="AP7" i="7"/>
  <c r="Z10" i="7"/>
  <c r="AL15" i="7"/>
  <c r="AL26" i="7"/>
  <c r="AM26" i="7" s="1"/>
  <c r="AN26" i="7" s="1"/>
  <c r="AS65" i="7"/>
  <c r="AT40" i="7" s="1"/>
  <c r="BN34" i="7"/>
  <c r="AD25" i="7"/>
  <c r="AD44" i="7"/>
  <c r="AP6" i="7"/>
  <c r="AL10" i="7"/>
  <c r="AM10" i="7" s="1"/>
  <c r="AN10" i="7" s="1"/>
  <c r="AD18" i="7"/>
  <c r="AP19" i="7"/>
  <c r="AH32" i="7"/>
  <c r="AH33" i="7"/>
  <c r="AH34" i="7"/>
  <c r="AL51" i="7"/>
  <c r="BM65" i="7"/>
  <c r="BN33" i="7" s="1"/>
  <c r="AL31" i="7"/>
  <c r="AM31" i="7" s="1"/>
  <c r="AN31" i="7" s="1"/>
  <c r="BN4" i="7"/>
  <c r="AH7" i="7"/>
  <c r="AT21" i="7"/>
  <c r="AL22" i="7"/>
  <c r="AL50" i="7"/>
  <c r="BN51" i="7"/>
  <c r="AD61" i="7"/>
  <c r="AD62" i="7"/>
  <c r="AD64" i="7"/>
  <c r="AW65" i="7"/>
  <c r="AX20" i="7" s="1"/>
  <c r="AX11" i="7"/>
  <c r="AT19" i="7"/>
  <c r="AT30" i="7"/>
  <c r="AL33" i="7"/>
  <c r="AL48" i="7"/>
  <c r="AT52" i="7"/>
  <c r="AH22" i="7"/>
  <c r="AP30" i="7"/>
  <c r="AT39" i="7"/>
  <c r="AD45" i="7"/>
  <c r="AT57" i="7"/>
  <c r="AT13" i="7"/>
  <c r="AL24" i="7"/>
  <c r="AT55" i="7"/>
  <c r="BN21" i="7"/>
  <c r="AT28" i="7"/>
  <c r="AN32" i="7"/>
  <c r="AX37" i="7"/>
  <c r="BJ50" i="7"/>
  <c r="BJ32" i="7"/>
  <c r="AD36" i="7"/>
  <c r="AH44" i="7"/>
  <c r="AH45" i="7"/>
  <c r="AL34" i="7"/>
  <c r="AM34" i="7" s="1"/>
  <c r="AN34" i="7" s="1"/>
  <c r="AP50" i="7"/>
  <c r="AT26" i="7"/>
  <c r="BN59" i="7"/>
  <c r="AT15" i="7"/>
  <c r="BN50" i="7"/>
  <c r="AL56" i="7"/>
  <c r="AM56" i="7" s="1"/>
  <c r="AN56" i="7" s="1"/>
  <c r="AP60" i="7"/>
  <c r="AD21" i="7"/>
  <c r="AT4" i="7"/>
  <c r="AL30" i="7"/>
  <c r="BN41" i="7"/>
  <c r="AT59" i="7"/>
  <c r="AL58" i="7"/>
  <c r="AC65" i="7"/>
  <c r="AD32" i="7" s="1"/>
  <c r="BI65" i="7"/>
  <c r="BJ59" i="7" s="1"/>
  <c r="AL49" i="7"/>
  <c r="AM49" i="7" s="1"/>
  <c r="AN49" i="7" s="1"/>
  <c r="AT50" i="7"/>
  <c r="AP54" i="7"/>
  <c r="AD4" i="7"/>
  <c r="BB32" i="7"/>
  <c r="AL35" i="7"/>
  <c r="AL42" i="7"/>
  <c r="AT61" i="7"/>
  <c r="W50" i="5"/>
  <c r="W34" i="5"/>
  <c r="L66" i="5"/>
  <c r="M26" i="5" s="1"/>
  <c r="AE13" i="5"/>
  <c r="AE50" i="5"/>
  <c r="Z66" i="5"/>
  <c r="AA13" i="5" s="1"/>
  <c r="AA4" i="5"/>
  <c r="V66" i="5"/>
  <c r="W62" i="5" s="1"/>
  <c r="W49" i="5"/>
  <c r="W24" i="5"/>
  <c r="W13" i="5"/>
  <c r="AE22" i="5"/>
  <c r="AA26" i="5"/>
  <c r="AE44" i="5"/>
  <c r="M62" i="5"/>
  <c r="R66" i="5"/>
  <c r="S52" i="5" s="1"/>
  <c r="S48" i="5"/>
  <c r="W51" i="5"/>
  <c r="AA59" i="5"/>
  <c r="AD66" i="5"/>
  <c r="AE9" i="5" s="1"/>
  <c r="M34" i="5"/>
  <c r="W30" i="5"/>
  <c r="W55" i="5"/>
  <c r="AA62" i="5"/>
  <c r="BQ65" i="4"/>
  <c r="AO65" i="4"/>
  <c r="AH63" i="4"/>
  <c r="BR10" i="4"/>
  <c r="BR18" i="4"/>
  <c r="BR7" i="4"/>
  <c r="BR15" i="4"/>
  <c r="BR30" i="4"/>
  <c r="BR5" i="4"/>
  <c r="BR12" i="4"/>
  <c r="BR23" i="4"/>
  <c r="BR36" i="4"/>
  <c r="BS36" i="4" s="1"/>
  <c r="BT36" i="4" s="1"/>
  <c r="BR41" i="4"/>
  <c r="BS41" i="4" s="1"/>
  <c r="BT41" i="4" s="1"/>
  <c r="BR6" i="4"/>
  <c r="BS6" i="4" s="1"/>
  <c r="BT6" i="4" s="1"/>
  <c r="BR46" i="4"/>
  <c r="BS46" i="4" s="1"/>
  <c r="BT46" i="4" s="1"/>
  <c r="BR55" i="4"/>
  <c r="BS55" i="4" s="1"/>
  <c r="BT55" i="4" s="1"/>
  <c r="BR17" i="4"/>
  <c r="BR39" i="4"/>
  <c r="BR35" i="4"/>
  <c r="BR33" i="4"/>
  <c r="BR49" i="4"/>
  <c r="BR61" i="4"/>
  <c r="BR9" i="4"/>
  <c r="BR4" i="4"/>
  <c r="BR62" i="4"/>
  <c r="BR63" i="4"/>
  <c r="BR64" i="4"/>
  <c r="BR53" i="4"/>
  <c r="BS53" i="4" s="1"/>
  <c r="BT53" i="4" s="1"/>
  <c r="BR56" i="4"/>
  <c r="BS56" i="4" s="1"/>
  <c r="BT56" i="4" s="1"/>
  <c r="BR13" i="4"/>
  <c r="BS13" i="4" s="1"/>
  <c r="BT13" i="4" s="1"/>
  <c r="BR22" i="4"/>
  <c r="BS22" i="4" s="1"/>
  <c r="BT22" i="4" s="1"/>
  <c r="BR27" i="4"/>
  <c r="BS27" i="4" s="1"/>
  <c r="BT27" i="4" s="1"/>
  <c r="BR19" i="4"/>
  <c r="BR38" i="4"/>
  <c r="BR58" i="4"/>
  <c r="BR48" i="4"/>
  <c r="BR21" i="4"/>
  <c r="BR43" i="4"/>
  <c r="BR40" i="4"/>
  <c r="BR24" i="4"/>
  <c r="BR57" i="4"/>
  <c r="BR37" i="4"/>
  <c r="BQ67" i="4"/>
  <c r="BR44" i="4"/>
  <c r="BS44" i="4" s="1"/>
  <c r="BT44" i="4" s="1"/>
  <c r="BR54" i="4"/>
  <c r="BS54" i="4" s="1"/>
  <c r="BT54" i="4" s="1"/>
  <c r="BR29" i="4"/>
  <c r="BS29" i="4" s="1"/>
  <c r="BT29" i="4" s="1"/>
  <c r="BR47" i="4"/>
  <c r="BS47" i="4" s="1"/>
  <c r="BT47" i="4" s="1"/>
  <c r="BR42" i="4"/>
  <c r="BS42" i="4" s="1"/>
  <c r="BT42" i="4" s="1"/>
  <c r="BR14" i="4"/>
  <c r="BR8" i="4"/>
  <c r="BR45" i="4"/>
  <c r="AP6" i="4"/>
  <c r="AP14" i="4"/>
  <c r="AP22" i="4"/>
  <c r="AP27" i="4"/>
  <c r="AQ27" i="4" s="1"/>
  <c r="AR27" i="4" s="1"/>
  <c r="AP11" i="4"/>
  <c r="AQ11" i="4" s="1"/>
  <c r="AR11" i="4" s="1"/>
  <c r="AP19" i="4"/>
  <c r="AQ19" i="4" s="1"/>
  <c r="AR19" i="4" s="1"/>
  <c r="AP13" i="4"/>
  <c r="AP33" i="4"/>
  <c r="AP38" i="4"/>
  <c r="AP24" i="4"/>
  <c r="AP31" i="4"/>
  <c r="AP43" i="4"/>
  <c r="AP7" i="4"/>
  <c r="AP8" i="4"/>
  <c r="AP20" i="4"/>
  <c r="AP18" i="4"/>
  <c r="AP42" i="4"/>
  <c r="AP35" i="4"/>
  <c r="AP52" i="4"/>
  <c r="AP12" i="4"/>
  <c r="AQ12" i="4" s="1"/>
  <c r="AR12" i="4" s="1"/>
  <c r="AP16" i="4"/>
  <c r="AQ16" i="4" s="1"/>
  <c r="AR16" i="4" s="1"/>
  <c r="AP23" i="4"/>
  <c r="AQ23" i="4" s="1"/>
  <c r="AR23" i="4" s="1"/>
  <c r="AP32" i="4"/>
  <c r="AP40" i="4"/>
  <c r="AP53" i="4"/>
  <c r="AP37" i="4"/>
  <c r="AP46" i="4"/>
  <c r="AP5" i="4"/>
  <c r="AP28" i="4"/>
  <c r="AP50" i="4"/>
  <c r="AP36" i="4"/>
  <c r="AP47" i="4"/>
  <c r="AP9" i="4"/>
  <c r="AP15" i="4"/>
  <c r="AO67" i="4"/>
  <c r="AP41" i="4"/>
  <c r="AQ41" i="4" s="1"/>
  <c r="AR41" i="4" s="1"/>
  <c r="AP54" i="4"/>
  <c r="AQ54" i="4" s="1"/>
  <c r="AR54" i="4" s="1"/>
  <c r="AP34" i="4"/>
  <c r="AQ34" i="4" s="1"/>
  <c r="AR34" i="4" s="1"/>
  <c r="AP45" i="4"/>
  <c r="AP30" i="4"/>
  <c r="AP25" i="4"/>
  <c r="AP51" i="4"/>
  <c r="AP39" i="4"/>
  <c r="AP63" i="4"/>
  <c r="AP64" i="4"/>
  <c r="AP17" i="4"/>
  <c r="AP58" i="4"/>
  <c r="AP10" i="4"/>
  <c r="AP4" i="4"/>
  <c r="AP48" i="4"/>
  <c r="AP26" i="4"/>
  <c r="AP59" i="4"/>
  <c r="AQ59" i="4" s="1"/>
  <c r="AR59" i="4" s="1"/>
  <c r="AP56" i="4"/>
  <c r="AQ56" i="4" s="1"/>
  <c r="AR56" i="4" s="1"/>
  <c r="AP21" i="4"/>
  <c r="AQ21" i="4" s="1"/>
  <c r="AR21" i="4" s="1"/>
  <c r="AP49" i="4"/>
  <c r="AP44" i="4"/>
  <c r="AP61" i="4"/>
  <c r="AP29" i="4"/>
  <c r="AP55" i="4"/>
  <c r="AP62" i="4"/>
  <c r="AH10" i="4"/>
  <c r="AI10" i="4" s="1"/>
  <c r="AJ10" i="4" s="1"/>
  <c r="AH18" i="4"/>
  <c r="AH30" i="4"/>
  <c r="AH7" i="4"/>
  <c r="AH15" i="4"/>
  <c r="AH24" i="4"/>
  <c r="AH29" i="4"/>
  <c r="AH46" i="4"/>
  <c r="AH16" i="4"/>
  <c r="AH35" i="4"/>
  <c r="AH4" i="4"/>
  <c r="AH55" i="4"/>
  <c r="AH20" i="4"/>
  <c r="AH40" i="4"/>
  <c r="AG67" i="4"/>
  <c r="AI63" i="4" s="1"/>
  <c r="AJ63" i="4" s="1"/>
  <c r="AH6" i="4"/>
  <c r="AI6" i="4" s="1"/>
  <c r="AJ6" i="4" s="1"/>
  <c r="AH11" i="4"/>
  <c r="AI11" i="4" s="1"/>
  <c r="AJ11" i="4" s="1"/>
  <c r="AH37" i="4"/>
  <c r="AH44" i="4"/>
  <c r="AH45" i="4"/>
  <c r="AH51" i="4"/>
  <c r="AH58" i="4"/>
  <c r="AH61" i="4"/>
  <c r="AH27" i="4"/>
  <c r="AH42" i="4"/>
  <c r="AH47" i="4"/>
  <c r="AH13" i="4"/>
  <c r="AH52" i="4"/>
  <c r="AH59" i="4"/>
  <c r="AH17" i="4"/>
  <c r="AH26" i="4"/>
  <c r="AH48" i="4"/>
  <c r="AI48" i="4" s="1"/>
  <c r="AJ48" i="4" s="1"/>
  <c r="AH12" i="4"/>
  <c r="AI12" i="4" s="1"/>
  <c r="AJ12" i="4" s="1"/>
  <c r="AH19" i="4"/>
  <c r="AH14" i="4"/>
  <c r="AH57" i="4"/>
  <c r="Y65" i="4"/>
  <c r="Z58" i="4" s="1"/>
  <c r="BR50" i="4"/>
  <c r="AD35" i="4"/>
  <c r="BR59" i="4"/>
  <c r="AH34" i="4"/>
  <c r="BR52" i="4"/>
  <c r="BM65" i="4"/>
  <c r="BN18" i="4" s="1"/>
  <c r="BN59" i="4"/>
  <c r="BI65" i="4"/>
  <c r="BA65" i="4"/>
  <c r="BB7" i="4"/>
  <c r="BR31" i="4"/>
  <c r="BS31" i="4" s="1"/>
  <c r="BT31" i="4" s="1"/>
  <c r="BR16" i="4"/>
  <c r="AH39" i="4"/>
  <c r="AS65" i="4"/>
  <c r="AT21" i="4" s="1"/>
  <c r="AP60" i="4"/>
  <c r="AH8" i="4"/>
  <c r="AC65" i="4"/>
  <c r="AD50" i="4" s="1"/>
  <c r="AH62" i="4"/>
  <c r="AH60" i="4"/>
  <c r="AH53" i="4"/>
  <c r="AH36" i="4"/>
  <c r="AH23" i="4"/>
  <c r="AK65" i="4"/>
  <c r="AL17" i="4" s="1"/>
  <c r="BR51" i="4"/>
  <c r="BS51" i="4" s="1"/>
  <c r="BT51" i="4" s="1"/>
  <c r="AD45" i="4"/>
  <c r="AH28" i="4"/>
  <c r="AH64" i="4"/>
  <c r="BR26" i="4"/>
  <c r="AH56" i="4"/>
  <c r="AH54" i="4"/>
  <c r="AH5" i="4"/>
  <c r="AH41" i="4"/>
  <c r="BR28" i="4"/>
  <c r="AH21" i="4"/>
  <c r="AW65" i="4"/>
  <c r="AX41" i="4" s="1"/>
  <c r="BE65" i="4"/>
  <c r="BF57" i="4" s="1"/>
  <c r="BR32" i="4"/>
  <c r="AH31" i="4"/>
  <c r="BR20" i="4"/>
  <c r="AH50" i="4"/>
  <c r="BR34" i="4"/>
  <c r="AH32" i="4"/>
  <c r="BR25" i="4"/>
  <c r="BR11" i="4"/>
  <c r="AP57" i="4"/>
  <c r="AH33" i="4"/>
  <c r="AH22" i="4"/>
  <c r="BR60" i="4"/>
  <c r="AH49" i="4"/>
  <c r="AT18" i="4"/>
  <c r="AH43" i="4"/>
  <c r="AH38" i="4"/>
  <c r="BN4" i="4"/>
  <c r="AH25" i="4"/>
  <c r="AH9" i="4"/>
  <c r="AL31" i="4"/>
  <c r="AG66" i="3"/>
  <c r="AH65" i="3" s="1"/>
  <c r="AC66" i="3"/>
  <c r="AD16" i="3" s="1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AL35" i="3" l="1"/>
  <c r="AK68" i="3"/>
  <c r="AP9" i="3"/>
  <c r="AL4" i="3"/>
  <c r="AP24" i="3"/>
  <c r="AQ24" i="3" s="1"/>
  <c r="AR24" i="3" s="1"/>
  <c r="AP8" i="3"/>
  <c r="AP36" i="3"/>
  <c r="AP56" i="3"/>
  <c r="AQ56" i="3" s="1"/>
  <c r="AR56" i="3" s="1"/>
  <c r="AP25" i="3"/>
  <c r="AQ25" i="3" s="1"/>
  <c r="AR25" i="3" s="1"/>
  <c r="AP40" i="3"/>
  <c r="AQ40" i="3" s="1"/>
  <c r="AR40" i="3" s="1"/>
  <c r="AP7" i="3"/>
  <c r="AQ7" i="3" s="1"/>
  <c r="AR7" i="3" s="1"/>
  <c r="AP23" i="3"/>
  <c r="AQ23" i="3" s="1"/>
  <c r="AR23" i="3" s="1"/>
  <c r="AP39" i="3"/>
  <c r="AQ39" i="3" s="1"/>
  <c r="AR39" i="3" s="1"/>
  <c r="AP55" i="3"/>
  <c r="AQ55" i="3" s="1"/>
  <c r="AR55" i="3" s="1"/>
  <c r="AP28" i="3"/>
  <c r="AQ28" i="3" s="1"/>
  <c r="AR28" i="3" s="1"/>
  <c r="AP60" i="3"/>
  <c r="AP62" i="3"/>
  <c r="AP31" i="3"/>
  <c r="AP47" i="3"/>
  <c r="AQ47" i="3" s="1"/>
  <c r="AR47" i="3" s="1"/>
  <c r="AP63" i="3"/>
  <c r="AP32" i="3"/>
  <c r="AQ32" i="3" s="1"/>
  <c r="AR32" i="3" s="1"/>
  <c r="AP64" i="3"/>
  <c r="AP33" i="3"/>
  <c r="AP65" i="3"/>
  <c r="AQ65" i="3" s="1"/>
  <c r="AR65" i="3" s="1"/>
  <c r="AP18" i="3"/>
  <c r="AQ18" i="3" s="1"/>
  <c r="AR18" i="3" s="1"/>
  <c r="AP34" i="3"/>
  <c r="AQ34" i="3" s="1"/>
  <c r="AR34" i="3" s="1"/>
  <c r="AP50" i="3"/>
  <c r="AQ50" i="3" s="1"/>
  <c r="AR50" i="3" s="1"/>
  <c r="AR4" i="3"/>
  <c r="AP19" i="3"/>
  <c r="AQ19" i="3" s="1"/>
  <c r="AR19" i="3" s="1"/>
  <c r="AP51" i="3"/>
  <c r="AQ51" i="3" s="1"/>
  <c r="AR51" i="3" s="1"/>
  <c r="AP26" i="3"/>
  <c r="AQ26" i="3" s="1"/>
  <c r="AR26" i="3" s="1"/>
  <c r="AP11" i="3"/>
  <c r="AP27" i="3"/>
  <c r="AP43" i="3"/>
  <c r="AP59" i="3"/>
  <c r="AQ59" i="3" s="1"/>
  <c r="AR59" i="3" s="1"/>
  <c r="AP12" i="3"/>
  <c r="AP44" i="3"/>
  <c r="AQ44" i="3" s="1"/>
  <c r="AR44" i="3" s="1"/>
  <c r="AP13" i="3"/>
  <c r="AP29" i="3"/>
  <c r="AP45" i="3"/>
  <c r="AQ45" i="3" s="1"/>
  <c r="AR45" i="3" s="1"/>
  <c r="AP61" i="3"/>
  <c r="AQ61" i="3" s="1"/>
  <c r="AR61" i="3" s="1"/>
  <c r="AP14" i="3"/>
  <c r="AQ14" i="3" s="1"/>
  <c r="AR14" i="3" s="1"/>
  <c r="AP30" i="3"/>
  <c r="AQ30" i="3" s="1"/>
  <c r="AR30" i="3" s="1"/>
  <c r="AP46" i="3"/>
  <c r="AQ46" i="3" s="1"/>
  <c r="AR46" i="3" s="1"/>
  <c r="AP15" i="3"/>
  <c r="AQ15" i="3" s="1"/>
  <c r="AR15" i="3" s="1"/>
  <c r="AP16" i="3"/>
  <c r="AQ16" i="3" s="1"/>
  <c r="AR16" i="3" s="1"/>
  <c r="AP48" i="3"/>
  <c r="AQ48" i="3" s="1"/>
  <c r="AR48" i="3" s="1"/>
  <c r="AP17" i="3"/>
  <c r="AP49" i="3"/>
  <c r="AP35" i="3"/>
  <c r="AP10" i="3"/>
  <c r="AQ10" i="3" s="1"/>
  <c r="AR10" i="3" s="1"/>
  <c r="AP42" i="3"/>
  <c r="AP58" i="3"/>
  <c r="AQ58" i="3" s="1"/>
  <c r="AR58" i="3" s="1"/>
  <c r="AQ9" i="3"/>
  <c r="AR9" i="3" s="1"/>
  <c r="AP5" i="3"/>
  <c r="AQ5" i="3" s="1"/>
  <c r="AR5" i="3" s="1"/>
  <c r="AP21" i="3"/>
  <c r="AQ21" i="3" s="1"/>
  <c r="AR21" i="3" s="1"/>
  <c r="AP37" i="3"/>
  <c r="AQ37" i="3" s="1"/>
  <c r="AR37" i="3" s="1"/>
  <c r="AP53" i="3"/>
  <c r="AQ53" i="3" s="1"/>
  <c r="AR53" i="3" s="1"/>
  <c r="AP20" i="3"/>
  <c r="AQ20" i="3" s="1"/>
  <c r="AR20" i="3" s="1"/>
  <c r="AP52" i="3"/>
  <c r="AQ52" i="3" s="1"/>
  <c r="AR52" i="3" s="1"/>
  <c r="AP6" i="3"/>
  <c r="AQ6" i="3" s="1"/>
  <c r="AR6" i="3" s="1"/>
  <c r="AP22" i="3"/>
  <c r="AQ22" i="3" s="1"/>
  <c r="AR22" i="3" s="1"/>
  <c r="AP38" i="3"/>
  <c r="AQ38" i="3" s="1"/>
  <c r="AR38" i="3" s="1"/>
  <c r="AP54" i="3"/>
  <c r="AP57" i="3"/>
  <c r="AP41" i="3"/>
  <c r="AD5" i="3"/>
  <c r="AH4" i="3"/>
  <c r="AL43" i="3"/>
  <c r="AL62" i="3"/>
  <c r="AL44" i="3"/>
  <c r="AL31" i="3"/>
  <c r="AL26" i="3"/>
  <c r="AL14" i="3"/>
  <c r="AL64" i="3"/>
  <c r="AL42" i="3"/>
  <c r="AL30" i="3"/>
  <c r="AL65" i="3"/>
  <c r="AL58" i="3"/>
  <c r="AL46" i="3"/>
  <c r="AL37" i="3"/>
  <c r="AL55" i="3"/>
  <c r="AL33" i="3"/>
  <c r="AL50" i="3"/>
  <c r="AL15" i="3"/>
  <c r="AL18" i="3"/>
  <c r="AL39" i="3"/>
  <c r="AL12" i="3"/>
  <c r="AL8" i="3"/>
  <c r="AL27" i="3"/>
  <c r="AL19" i="3"/>
  <c r="AL6" i="3"/>
  <c r="AL24" i="3"/>
  <c r="AL60" i="3"/>
  <c r="AL56" i="3"/>
  <c r="AL57" i="3"/>
  <c r="AL61" i="3"/>
  <c r="AL16" i="3"/>
  <c r="AL53" i="3"/>
  <c r="AL22" i="3"/>
  <c r="AL40" i="3"/>
  <c r="AL47" i="3"/>
  <c r="AL51" i="3"/>
  <c r="AL21" i="3"/>
  <c r="AL38" i="3"/>
  <c r="AL9" i="3"/>
  <c r="AL49" i="3"/>
  <c r="AL20" i="3"/>
  <c r="AL7" i="3"/>
  <c r="AL23" i="3"/>
  <c r="AL48" i="3"/>
  <c r="AL54" i="3"/>
  <c r="AL25" i="3"/>
  <c r="AL13" i="3"/>
  <c r="AL36" i="3"/>
  <c r="AL32" i="3"/>
  <c r="AL11" i="3"/>
  <c r="AL59" i="3"/>
  <c r="AL41" i="3"/>
  <c r="AL29" i="3"/>
  <c r="AL52" i="3"/>
  <c r="AL5" i="3"/>
  <c r="AL63" i="3"/>
  <c r="AL34" i="3"/>
  <c r="AL28" i="3"/>
  <c r="AL10" i="3"/>
  <c r="AL45" i="3"/>
  <c r="AL17" i="3"/>
  <c r="AD50" i="3"/>
  <c r="AD60" i="3"/>
  <c r="AD13" i="3"/>
  <c r="AD29" i="3"/>
  <c r="AD14" i="3"/>
  <c r="AD30" i="3"/>
  <c r="AE57" i="8"/>
  <c r="AE61" i="8"/>
  <c r="M47" i="8"/>
  <c r="M59" i="8"/>
  <c r="M35" i="8"/>
  <c r="M65" i="8"/>
  <c r="W19" i="8"/>
  <c r="M34" i="8"/>
  <c r="W8" i="8"/>
  <c r="W5" i="8"/>
  <c r="W49" i="8"/>
  <c r="M56" i="8"/>
  <c r="S7" i="8"/>
  <c r="AA61" i="8"/>
  <c r="AE53" i="8"/>
  <c r="AA54" i="8"/>
  <c r="AA32" i="8"/>
  <c r="AA5" i="8"/>
  <c r="S64" i="8"/>
  <c r="AE59" i="8"/>
  <c r="AE41" i="8"/>
  <c r="AE12" i="8"/>
  <c r="S48" i="8"/>
  <c r="AE33" i="8"/>
  <c r="AF33" i="8" s="1"/>
  <c r="AG33" i="8" s="1"/>
  <c r="AE27" i="8"/>
  <c r="AE17" i="8"/>
  <c r="W57" i="8"/>
  <c r="W35" i="8"/>
  <c r="M55" i="8"/>
  <c r="AE47" i="8"/>
  <c r="AA63" i="8"/>
  <c r="M39" i="8"/>
  <c r="W53" i="8"/>
  <c r="AE49" i="8"/>
  <c r="AE62" i="8"/>
  <c r="AA4" i="8"/>
  <c r="AA35" i="8"/>
  <c r="AE6" i="8"/>
  <c r="AA46" i="8"/>
  <c r="AB46" i="8" s="1"/>
  <c r="AC46" i="8" s="1"/>
  <c r="AA22" i="8"/>
  <c r="AE10" i="8"/>
  <c r="AE56" i="8"/>
  <c r="AE58" i="8"/>
  <c r="M53" i="8"/>
  <c r="M48" i="8"/>
  <c r="N48" i="8" s="1"/>
  <c r="Q48" i="8" s="1"/>
  <c r="S4" i="8"/>
  <c r="AA19" i="8"/>
  <c r="M36" i="8"/>
  <c r="S13" i="8"/>
  <c r="W58" i="8"/>
  <c r="W45" i="8"/>
  <c r="AE9" i="8"/>
  <c r="AA64" i="8"/>
  <c r="AA6" i="8"/>
  <c r="AE23" i="8"/>
  <c r="AA8" i="8"/>
  <c r="AE60" i="8"/>
  <c r="W15" i="8"/>
  <c r="S21" i="8"/>
  <c r="M49" i="8"/>
  <c r="W23" i="8"/>
  <c r="S5" i="8"/>
  <c r="AA23" i="8"/>
  <c r="AE31" i="8"/>
  <c r="M63" i="8"/>
  <c r="AA51" i="8"/>
  <c r="W64" i="8"/>
  <c r="S16" i="8"/>
  <c r="AE65" i="8"/>
  <c r="AA36" i="8"/>
  <c r="AA20" i="8"/>
  <c r="AB20" i="8" s="1"/>
  <c r="AC20" i="8" s="1"/>
  <c r="AE63" i="8"/>
  <c r="M45" i="8"/>
  <c r="AA10" i="8"/>
  <c r="M58" i="8"/>
  <c r="W7" i="8"/>
  <c r="W11" i="8"/>
  <c r="AA60" i="8"/>
  <c r="AB60" i="8" s="1"/>
  <c r="AC60" i="8" s="1"/>
  <c r="AA42" i="8"/>
  <c r="S39" i="8"/>
  <c r="S19" i="8"/>
  <c r="S43" i="8"/>
  <c r="AE29" i="8"/>
  <c r="AE7" i="8"/>
  <c r="AE40" i="8"/>
  <c r="S24" i="8"/>
  <c r="AE4" i="8"/>
  <c r="AF4" i="8" s="1"/>
  <c r="AG4" i="8" s="1"/>
  <c r="AE54" i="8"/>
  <c r="S65" i="8"/>
  <c r="S58" i="8"/>
  <c r="S14" i="8"/>
  <c r="AE55" i="8"/>
  <c r="AE52" i="8"/>
  <c r="AE5" i="8"/>
  <c r="W63" i="8"/>
  <c r="W21" i="8"/>
  <c r="AE32" i="8"/>
  <c r="AE24" i="8"/>
  <c r="W29" i="8"/>
  <c r="AE64" i="8"/>
  <c r="AE46" i="8"/>
  <c r="AE37" i="8"/>
  <c r="M4" i="8"/>
  <c r="AA41" i="8"/>
  <c r="AE36" i="8"/>
  <c r="W20" i="8"/>
  <c r="AE16" i="8"/>
  <c r="M20" i="8"/>
  <c r="AE42" i="8"/>
  <c r="S59" i="8"/>
  <c r="M41" i="8"/>
  <c r="M54" i="8"/>
  <c r="M12" i="8"/>
  <c r="M6" i="8"/>
  <c r="W50" i="8"/>
  <c r="M11" i="8"/>
  <c r="AA52" i="8"/>
  <c r="W10" i="8"/>
  <c r="S11" i="8"/>
  <c r="M37" i="8"/>
  <c r="M51" i="8"/>
  <c r="M43" i="8"/>
  <c r="N43" i="8" s="1"/>
  <c r="Q43" i="8" s="1"/>
  <c r="M10" i="8"/>
  <c r="N10" i="8" s="1"/>
  <c r="Q10" i="8" s="1"/>
  <c r="AA17" i="8"/>
  <c r="M32" i="8"/>
  <c r="W60" i="8"/>
  <c r="AA45" i="8"/>
  <c r="BB19" i="7"/>
  <c r="BJ17" i="7"/>
  <c r="BB47" i="7"/>
  <c r="AH14" i="7"/>
  <c r="AH23" i="7"/>
  <c r="BJ37" i="7"/>
  <c r="BF25" i="7"/>
  <c r="AH30" i="7"/>
  <c r="AH27" i="7"/>
  <c r="BJ16" i="7"/>
  <c r="AH49" i="7"/>
  <c r="AD16" i="7"/>
  <c r="BJ64" i="7"/>
  <c r="AT33" i="7"/>
  <c r="BB15" i="7"/>
  <c r="BC15" i="7" s="1"/>
  <c r="BD15" i="7" s="1"/>
  <c r="BF24" i="7"/>
  <c r="BG24" i="7" s="1"/>
  <c r="BH24" i="7" s="1"/>
  <c r="BJ55" i="7"/>
  <c r="BF30" i="7"/>
  <c r="AD42" i="7"/>
  <c r="BF17" i="7"/>
  <c r="BJ25" i="7"/>
  <c r="AP32" i="7"/>
  <c r="AD13" i="7"/>
  <c r="BB27" i="7"/>
  <c r="AH37" i="7"/>
  <c r="AD34" i="7"/>
  <c r="AP10" i="7"/>
  <c r="AD8" i="7"/>
  <c r="AE8" i="7" s="1"/>
  <c r="AF8" i="7" s="1"/>
  <c r="AT46" i="7"/>
  <c r="AU46" i="7" s="1"/>
  <c r="AV46" i="7" s="1"/>
  <c r="AH31" i="7"/>
  <c r="BB62" i="7"/>
  <c r="BF8" i="7"/>
  <c r="BJ46" i="7"/>
  <c r="BJ45" i="7"/>
  <c r="BF56" i="7"/>
  <c r="BJ44" i="7"/>
  <c r="AH53" i="7"/>
  <c r="AD48" i="7"/>
  <c r="AT17" i="7"/>
  <c r="AT11" i="7"/>
  <c r="AT6" i="7"/>
  <c r="AH11" i="7"/>
  <c r="AH15" i="7"/>
  <c r="AD19" i="7"/>
  <c r="AP18" i="7"/>
  <c r="BN48" i="7"/>
  <c r="BO48" i="7" s="1"/>
  <c r="BP48" i="7" s="1"/>
  <c r="AT27" i="7"/>
  <c r="AU27" i="7" s="1"/>
  <c r="AV27" i="7" s="1"/>
  <c r="AH9" i="7"/>
  <c r="BN56" i="7"/>
  <c r="AT53" i="7"/>
  <c r="AP4" i="7"/>
  <c r="AL25" i="7"/>
  <c r="AM25" i="7" s="1"/>
  <c r="AN25" i="7" s="1"/>
  <c r="BF9" i="7"/>
  <c r="BJ15" i="7"/>
  <c r="AD28" i="7"/>
  <c r="BJ26" i="7"/>
  <c r="AD24" i="7"/>
  <c r="AD31" i="7"/>
  <c r="AT8" i="7"/>
  <c r="AT58" i="7"/>
  <c r="AU58" i="7" s="1"/>
  <c r="AV58" i="7" s="1"/>
  <c r="AM15" i="7"/>
  <c r="AN15" i="7" s="1"/>
  <c r="AD14" i="7"/>
  <c r="AE14" i="7" s="1"/>
  <c r="AF14" i="7" s="1"/>
  <c r="BN16" i="7"/>
  <c r="AX12" i="7"/>
  <c r="BB9" i="7"/>
  <c r="AP61" i="7"/>
  <c r="AM43" i="7"/>
  <c r="AN43" i="7" s="1"/>
  <c r="BJ41" i="7"/>
  <c r="BN46" i="7"/>
  <c r="AM11" i="7"/>
  <c r="AN11" i="7" s="1"/>
  <c r="AM35" i="7"/>
  <c r="AN35" i="7" s="1"/>
  <c r="AM30" i="7"/>
  <c r="AN30" i="7" s="1"/>
  <c r="BR53" i="7"/>
  <c r="AP37" i="7"/>
  <c r="BJ34" i="7"/>
  <c r="BF36" i="7"/>
  <c r="AX31" i="7"/>
  <c r="BB6" i="7"/>
  <c r="BC6" i="7" s="1"/>
  <c r="BD6" i="7" s="1"/>
  <c r="BJ62" i="7"/>
  <c r="AM38" i="7"/>
  <c r="AN38" i="7" s="1"/>
  <c r="AM13" i="7"/>
  <c r="AN13" i="7" s="1"/>
  <c r="BF6" i="7"/>
  <c r="AM39" i="7"/>
  <c r="AN39" i="7" s="1"/>
  <c r="AM47" i="7"/>
  <c r="AN47" i="7" s="1"/>
  <c r="BJ61" i="7"/>
  <c r="BR23" i="7"/>
  <c r="BR4" i="7"/>
  <c r="AX22" i="7"/>
  <c r="AX45" i="7"/>
  <c r="AX47" i="7"/>
  <c r="BJ4" i="7"/>
  <c r="AP49" i="7"/>
  <c r="BJ8" i="7"/>
  <c r="AD11" i="7"/>
  <c r="AE11" i="7" s="1"/>
  <c r="AF11" i="7" s="1"/>
  <c r="BN29" i="7"/>
  <c r="BO29" i="7" s="1"/>
  <c r="BP29" i="7" s="1"/>
  <c r="AD20" i="7"/>
  <c r="AE20" i="7" s="1"/>
  <c r="AF20" i="7" s="1"/>
  <c r="AP59" i="7"/>
  <c r="AT18" i="7"/>
  <c r="BJ27" i="7"/>
  <c r="BR38" i="7"/>
  <c r="BJ63" i="7"/>
  <c r="AX26" i="7"/>
  <c r="BJ43" i="7"/>
  <c r="AT43" i="7"/>
  <c r="AD46" i="7"/>
  <c r="AE46" i="7" s="1"/>
  <c r="AF46" i="7" s="1"/>
  <c r="AM36" i="7"/>
  <c r="AN36" i="7" s="1"/>
  <c r="BF46" i="7"/>
  <c r="BR20" i="7"/>
  <c r="BN58" i="7"/>
  <c r="AX19" i="7"/>
  <c r="BR52" i="7"/>
  <c r="AP26" i="7"/>
  <c r="AQ26" i="7" s="1"/>
  <c r="AR26" i="7" s="1"/>
  <c r="AM6" i="7"/>
  <c r="AN6" i="7" s="1"/>
  <c r="AM46" i="7"/>
  <c r="AN46" i="7" s="1"/>
  <c r="AM41" i="7"/>
  <c r="AN41" i="7" s="1"/>
  <c r="BJ48" i="7"/>
  <c r="BB11" i="7"/>
  <c r="BJ12" i="7"/>
  <c r="AM8" i="7"/>
  <c r="AN8" i="7" s="1"/>
  <c r="AD10" i="7"/>
  <c r="BJ10" i="7"/>
  <c r="BB41" i="7"/>
  <c r="BC41" i="7" s="1"/>
  <c r="BD41" i="7" s="1"/>
  <c r="AD59" i="7"/>
  <c r="AX18" i="7"/>
  <c r="AT23" i="7"/>
  <c r="AU23" i="7" s="1"/>
  <c r="AV23" i="7" s="1"/>
  <c r="AP9" i="7"/>
  <c r="BF12" i="7"/>
  <c r="BJ7" i="7"/>
  <c r="AM44" i="7"/>
  <c r="AN44" i="7" s="1"/>
  <c r="AX27" i="7"/>
  <c r="AM23" i="7"/>
  <c r="AN23" i="7" s="1"/>
  <c r="AD40" i="7"/>
  <c r="AM21" i="7"/>
  <c r="AN21" i="7" s="1"/>
  <c r="AT45" i="7"/>
  <c r="AT64" i="7"/>
  <c r="AP21" i="7"/>
  <c r="BN5" i="7"/>
  <c r="BN20" i="7"/>
  <c r="AX25" i="7"/>
  <c r="AM58" i="7"/>
  <c r="AN58" i="7" s="1"/>
  <c r="AX62" i="7"/>
  <c r="AX36" i="7"/>
  <c r="AM48" i="7"/>
  <c r="AN48" i="7" s="1"/>
  <c r="AD58" i="7"/>
  <c r="AE58" i="7" s="1"/>
  <c r="AF58" i="7" s="1"/>
  <c r="AP17" i="7"/>
  <c r="BJ21" i="7"/>
  <c r="BB51" i="7"/>
  <c r="AX43" i="7"/>
  <c r="BJ5" i="7"/>
  <c r="AM57" i="7"/>
  <c r="AN57" i="7" s="1"/>
  <c r="AM7" i="7"/>
  <c r="AN7" i="7" s="1"/>
  <c r="AM55" i="7"/>
  <c r="AN55" i="7" s="1"/>
  <c r="BB23" i="7"/>
  <c r="BB21" i="7"/>
  <c r="BR10" i="7"/>
  <c r="AT16" i="7"/>
  <c r="AU16" i="7" s="1"/>
  <c r="AV16" i="7" s="1"/>
  <c r="AX15" i="7"/>
  <c r="AT62" i="7"/>
  <c r="BF19" i="7"/>
  <c r="AM28" i="7"/>
  <c r="AN28" i="7" s="1"/>
  <c r="BN12" i="7"/>
  <c r="AM29" i="7"/>
  <c r="AN29" i="7" s="1"/>
  <c r="AX46" i="7"/>
  <c r="BJ60" i="7"/>
  <c r="BF43" i="7"/>
  <c r="AD9" i="7"/>
  <c r="BN55" i="7"/>
  <c r="BF45" i="7"/>
  <c r="AH35" i="7"/>
  <c r="AM5" i="7"/>
  <c r="AN5" i="7" s="1"/>
  <c r="AP52" i="7"/>
  <c r="AM54" i="7"/>
  <c r="AN54" i="7" s="1"/>
  <c r="AM20" i="7"/>
  <c r="AN20" i="7" s="1"/>
  <c r="BR19" i="7"/>
  <c r="AM9" i="7"/>
  <c r="AN9" i="7" s="1"/>
  <c r="AM4" i="7"/>
  <c r="AN4" i="7" s="1"/>
  <c r="BN13" i="7"/>
  <c r="AT34" i="7"/>
  <c r="AM16" i="7"/>
  <c r="AN16" i="7" s="1"/>
  <c r="AD54" i="7"/>
  <c r="AX24" i="7"/>
  <c r="AX17" i="7"/>
  <c r="AX34" i="7"/>
  <c r="BJ14" i="7"/>
  <c r="AX57" i="7"/>
  <c r="BB42" i="7"/>
  <c r="AM24" i="7"/>
  <c r="AN24" i="7" s="1"/>
  <c r="AM50" i="7"/>
  <c r="AN50" i="7" s="1"/>
  <c r="AM51" i="7"/>
  <c r="AN51" i="7" s="1"/>
  <c r="BR58" i="7"/>
  <c r="BS58" i="7" s="1"/>
  <c r="BT58" i="7" s="1"/>
  <c r="AP44" i="7"/>
  <c r="AM18" i="7"/>
  <c r="AN18" i="7" s="1"/>
  <c r="BF49" i="7"/>
  <c r="AM52" i="7"/>
  <c r="AN52" i="7" s="1"/>
  <c r="AM53" i="7"/>
  <c r="AN53" i="7" s="1"/>
  <c r="AM19" i="7"/>
  <c r="AN19" i="7" s="1"/>
  <c r="BB54" i="7"/>
  <c r="AM60" i="7"/>
  <c r="AN60" i="7" s="1"/>
  <c r="AP27" i="7"/>
  <c r="BJ23" i="7"/>
  <c r="AM61" i="7"/>
  <c r="AN61" i="7" s="1"/>
  <c r="BJ52" i="7"/>
  <c r="AD50" i="7"/>
  <c r="BJ19" i="7"/>
  <c r="BJ33" i="7"/>
  <c r="Z38" i="7"/>
  <c r="AX48" i="7"/>
  <c r="AD51" i="7"/>
  <c r="AE51" i="7" s="1"/>
  <c r="AF51" i="7" s="1"/>
  <c r="AD7" i="7"/>
  <c r="AM62" i="7"/>
  <c r="AN62" i="7" s="1"/>
  <c r="AP35" i="7"/>
  <c r="AT48" i="7"/>
  <c r="AX14" i="7"/>
  <c r="AT35" i="7"/>
  <c r="BN44" i="7"/>
  <c r="BN14" i="7"/>
  <c r="BO14" i="7" s="1"/>
  <c r="BP14" i="7" s="1"/>
  <c r="BN60" i="7"/>
  <c r="BF55" i="7"/>
  <c r="AM63" i="7"/>
  <c r="AN63" i="7" s="1"/>
  <c r="AT47" i="7"/>
  <c r="AM42" i="7"/>
  <c r="AN42" i="7" s="1"/>
  <c r="BF57" i="7"/>
  <c r="AD37" i="7"/>
  <c r="AE37" i="7" s="1"/>
  <c r="AF37" i="7" s="1"/>
  <c r="AM33" i="7"/>
  <c r="AN33" i="7" s="1"/>
  <c r="AM22" i="7"/>
  <c r="AN22" i="7" s="1"/>
  <c r="AP47" i="7"/>
  <c r="AT36" i="7"/>
  <c r="AD6" i="7"/>
  <c r="AM40" i="7"/>
  <c r="AN40" i="7" s="1"/>
  <c r="BF39" i="7"/>
  <c r="BJ13" i="7"/>
  <c r="BJ11" i="7"/>
  <c r="BN42" i="7"/>
  <c r="BO42" i="7" s="1"/>
  <c r="BP42" i="7" s="1"/>
  <c r="BF10" i="7"/>
  <c r="BN57" i="7"/>
  <c r="BO57" i="7" s="1"/>
  <c r="BP57" i="7" s="1"/>
  <c r="BJ53" i="7"/>
  <c r="AP55" i="7"/>
  <c r="AM12" i="7"/>
  <c r="AN12" i="7" s="1"/>
  <c r="BJ36" i="7"/>
  <c r="S28" i="8"/>
  <c r="S12" i="8"/>
  <c r="S61" i="8"/>
  <c r="S56" i="8"/>
  <c r="S36" i="8"/>
  <c r="S34" i="8"/>
  <c r="S31" i="8"/>
  <c r="AA48" i="8"/>
  <c r="AA37" i="8"/>
  <c r="AA18" i="8"/>
  <c r="AA11" i="8"/>
  <c r="AA56" i="8"/>
  <c r="AA16" i="8"/>
  <c r="S33" i="8"/>
  <c r="AA30" i="8"/>
  <c r="W30" i="8"/>
  <c r="W59" i="8"/>
  <c r="AA62" i="8"/>
  <c r="AD68" i="8"/>
  <c r="AE48" i="8"/>
  <c r="AE44" i="8"/>
  <c r="AF44" i="8" s="1"/>
  <c r="AG44" i="8" s="1"/>
  <c r="AE14" i="8"/>
  <c r="AF14" i="8" s="1"/>
  <c r="AG14" i="8" s="1"/>
  <c r="AE8" i="8"/>
  <c r="AF8" i="8" s="1"/>
  <c r="AG8" i="8" s="1"/>
  <c r="AE22" i="8"/>
  <c r="AE26" i="8"/>
  <c r="AE30" i="8"/>
  <c r="AE38" i="8"/>
  <c r="AE18" i="8"/>
  <c r="AE11" i="8"/>
  <c r="AE51" i="8"/>
  <c r="AA50" i="8"/>
  <c r="AE35" i="8"/>
  <c r="W65" i="8"/>
  <c r="AA65" i="8"/>
  <c r="R68" i="8"/>
  <c r="S53" i="8"/>
  <c r="T53" i="8" s="1"/>
  <c r="U53" i="8" s="1"/>
  <c r="S50" i="8"/>
  <c r="T50" i="8" s="1"/>
  <c r="U50" i="8" s="1"/>
  <c r="S47" i="8"/>
  <c r="S57" i="8"/>
  <c r="S51" i="8"/>
  <c r="S17" i="8"/>
  <c r="S26" i="8"/>
  <c r="S54" i="8"/>
  <c r="S9" i="8"/>
  <c r="S29" i="8"/>
  <c r="V68" i="8"/>
  <c r="X16" i="8" s="1"/>
  <c r="Y16" i="8" s="1"/>
  <c r="W40" i="8"/>
  <c r="W37" i="8"/>
  <c r="W34" i="8"/>
  <c r="W28" i="8"/>
  <c r="W25" i="8"/>
  <c r="W22" i="8"/>
  <c r="W38" i="8"/>
  <c r="W12" i="8"/>
  <c r="W6" i="8"/>
  <c r="W41" i="8"/>
  <c r="W52" i="8"/>
  <c r="W17" i="8"/>
  <c r="W9" i="8"/>
  <c r="W44" i="8"/>
  <c r="W4" i="8"/>
  <c r="W55" i="8"/>
  <c r="AA49" i="8"/>
  <c r="S60" i="8"/>
  <c r="AA53" i="8"/>
  <c r="S55" i="8"/>
  <c r="AE34" i="8"/>
  <c r="N62" i="8"/>
  <c r="Q62" i="8" s="1"/>
  <c r="N59" i="8"/>
  <c r="Q59" i="8" s="1"/>
  <c r="S52" i="8"/>
  <c r="S10" i="8"/>
  <c r="AA47" i="8"/>
  <c r="AA29" i="8"/>
  <c r="AB29" i="8" s="1"/>
  <c r="AC29" i="8" s="1"/>
  <c r="S37" i="8"/>
  <c r="S22" i="8"/>
  <c r="S20" i="8"/>
  <c r="S63" i="8"/>
  <c r="S40" i="8"/>
  <c r="M60" i="8"/>
  <c r="L68" i="8"/>
  <c r="N64" i="8" s="1"/>
  <c r="Q64" i="8" s="1"/>
  <c r="M14" i="8"/>
  <c r="AA26" i="8"/>
  <c r="AA13" i="8"/>
  <c r="W51" i="8"/>
  <c r="AA39" i="8"/>
  <c r="S23" i="8"/>
  <c r="AE43" i="8"/>
  <c r="AA40" i="8"/>
  <c r="AE39" i="8"/>
  <c r="M24" i="8"/>
  <c r="S25" i="8"/>
  <c r="AA44" i="8"/>
  <c r="AE15" i="8"/>
  <c r="M8" i="8"/>
  <c r="M28" i="8"/>
  <c r="N61" i="8"/>
  <c r="Q61" i="8" s="1"/>
  <c r="S42" i="8"/>
  <c r="S45" i="8"/>
  <c r="S30" i="8"/>
  <c r="S41" i="8"/>
  <c r="AA58" i="8"/>
  <c r="AA34" i="8"/>
  <c r="S27" i="8"/>
  <c r="AA38" i="8"/>
  <c r="M9" i="8"/>
  <c r="W27" i="8"/>
  <c r="M44" i="8"/>
  <c r="M46" i="8"/>
  <c r="AE13" i="8"/>
  <c r="AF13" i="8" s="1"/>
  <c r="AG13" i="8" s="1"/>
  <c r="W32" i="8"/>
  <c r="AE25" i="8"/>
  <c r="S46" i="8"/>
  <c r="S35" i="8"/>
  <c r="S8" i="8"/>
  <c r="M19" i="8"/>
  <c r="AE19" i="8"/>
  <c r="W62" i="8"/>
  <c r="AE20" i="8"/>
  <c r="W42" i="8"/>
  <c r="AE21" i="8"/>
  <c r="W48" i="8"/>
  <c r="S15" i="8"/>
  <c r="X18" i="8"/>
  <c r="Y18" i="8" s="1"/>
  <c r="AB32" i="8"/>
  <c r="AC32" i="8" s="1"/>
  <c r="S38" i="8"/>
  <c r="T38" i="8" s="1"/>
  <c r="U38" i="8" s="1"/>
  <c r="S44" i="8"/>
  <c r="S49" i="8"/>
  <c r="Z68" i="8"/>
  <c r="AB51" i="8" s="1"/>
  <c r="AC51" i="8" s="1"/>
  <c r="AA27" i="8"/>
  <c r="AA24" i="8"/>
  <c r="AB24" i="8" s="1"/>
  <c r="AC24" i="8" s="1"/>
  <c r="AA21" i="8"/>
  <c r="AB21" i="8" s="1"/>
  <c r="AC21" i="8" s="1"/>
  <c r="AA15" i="8"/>
  <c r="AA12" i="8"/>
  <c r="AA9" i="8"/>
  <c r="AA28" i="8"/>
  <c r="AA7" i="8"/>
  <c r="AA31" i="8"/>
  <c r="AA25" i="8"/>
  <c r="AA33" i="8"/>
  <c r="S18" i="8"/>
  <c r="M5" i="8"/>
  <c r="AA14" i="8"/>
  <c r="S32" i="8"/>
  <c r="W26" i="8"/>
  <c r="M42" i="8"/>
  <c r="M22" i="8"/>
  <c r="S62" i="8"/>
  <c r="W13" i="8"/>
  <c r="AA59" i="8"/>
  <c r="M23" i="8"/>
  <c r="AA55" i="8"/>
  <c r="M26" i="8"/>
  <c r="M15" i="8"/>
  <c r="M40" i="8"/>
  <c r="AA43" i="8"/>
  <c r="AE50" i="8"/>
  <c r="W56" i="8"/>
  <c r="Z48" i="7"/>
  <c r="BK4" i="7"/>
  <c r="BL4" i="7" s="1"/>
  <c r="Z36" i="7"/>
  <c r="Z37" i="7"/>
  <c r="Z63" i="7"/>
  <c r="Z29" i="7"/>
  <c r="Z56" i="7"/>
  <c r="Z9" i="7"/>
  <c r="BR25" i="7"/>
  <c r="BR30" i="7"/>
  <c r="BR49" i="7"/>
  <c r="Z34" i="7"/>
  <c r="Z17" i="7"/>
  <c r="AI23" i="7"/>
  <c r="AJ23" i="7" s="1"/>
  <c r="BR27" i="7"/>
  <c r="AE12" i="7"/>
  <c r="AF12" i="7" s="1"/>
  <c r="AI6" i="7"/>
  <c r="AJ6" i="7" s="1"/>
  <c r="BR60" i="7"/>
  <c r="BS60" i="7" s="1"/>
  <c r="BT60" i="7" s="1"/>
  <c r="BR61" i="7"/>
  <c r="BR31" i="7"/>
  <c r="BA67" i="7"/>
  <c r="BC19" i="7" s="1"/>
  <c r="BD19" i="7" s="1"/>
  <c r="BB39" i="7"/>
  <c r="BB56" i="7"/>
  <c r="BB10" i="7"/>
  <c r="BC10" i="7" s="1"/>
  <c r="BD10" i="7" s="1"/>
  <c r="BB55" i="7"/>
  <c r="BC55" i="7" s="1"/>
  <c r="BD55" i="7" s="1"/>
  <c r="BB52" i="7"/>
  <c r="BB24" i="7"/>
  <c r="BC24" i="7" s="1"/>
  <c r="BD24" i="7" s="1"/>
  <c r="BB46" i="7"/>
  <c r="BC46" i="7" s="1"/>
  <c r="BD46" i="7" s="1"/>
  <c r="BB17" i="7"/>
  <c r="BB44" i="7"/>
  <c r="Z53" i="7"/>
  <c r="Z18" i="7"/>
  <c r="BR56" i="7"/>
  <c r="BB12" i="7"/>
  <c r="BC12" i="7" s="1"/>
  <c r="BD12" i="7" s="1"/>
  <c r="BB7" i="7"/>
  <c r="BR64" i="7"/>
  <c r="AG67" i="7"/>
  <c r="AI53" i="7" s="1"/>
  <c r="AJ53" i="7" s="1"/>
  <c r="AH36" i="7"/>
  <c r="AI36" i="7" s="1"/>
  <c r="AJ36" i="7" s="1"/>
  <c r="AH16" i="7"/>
  <c r="AI16" i="7" s="1"/>
  <c r="AJ16" i="7" s="1"/>
  <c r="AH51" i="7"/>
  <c r="AH39" i="7"/>
  <c r="AH58" i="7"/>
  <c r="AH42" i="7"/>
  <c r="AH40" i="7"/>
  <c r="AH63" i="7"/>
  <c r="AH61" i="7"/>
  <c r="AH12" i="7"/>
  <c r="Z39" i="7"/>
  <c r="BR12" i="7"/>
  <c r="BR44" i="7"/>
  <c r="BB18" i="7"/>
  <c r="BC18" i="7" s="1"/>
  <c r="BD18" i="7" s="1"/>
  <c r="Z4" i="7"/>
  <c r="AA4" i="7" s="1"/>
  <c r="AB4" i="7" s="1"/>
  <c r="AH43" i="7"/>
  <c r="AH20" i="7"/>
  <c r="BR9" i="7"/>
  <c r="BF22" i="7"/>
  <c r="BF58" i="7"/>
  <c r="BR35" i="7"/>
  <c r="BS35" i="7" s="1"/>
  <c r="BT35" i="7" s="1"/>
  <c r="AH50" i="7"/>
  <c r="AH57" i="7"/>
  <c r="BR29" i="7"/>
  <c r="BB64" i="7"/>
  <c r="BB40" i="7"/>
  <c r="BR37" i="7"/>
  <c r="BR7" i="7"/>
  <c r="BR45" i="7"/>
  <c r="BS45" i="7" s="1"/>
  <c r="BT45" i="7" s="1"/>
  <c r="Z54" i="7"/>
  <c r="AA54" i="7" s="1"/>
  <c r="AB54" i="7" s="1"/>
  <c r="BF42" i="7"/>
  <c r="BG42" i="7" s="1"/>
  <c r="BH42" i="7" s="1"/>
  <c r="Z21" i="7"/>
  <c r="Z61" i="7"/>
  <c r="Z62" i="7"/>
  <c r="BB37" i="7"/>
  <c r="BB14" i="7"/>
  <c r="BF32" i="7"/>
  <c r="AX61" i="7"/>
  <c r="BR17" i="7"/>
  <c r="Z12" i="7"/>
  <c r="BB26" i="7"/>
  <c r="BC26" i="7" s="1"/>
  <c r="BD26" i="7" s="1"/>
  <c r="AX10" i="7"/>
  <c r="BR48" i="7"/>
  <c r="BF16" i="7"/>
  <c r="BF18" i="7"/>
  <c r="AH64" i="7"/>
  <c r="Z15" i="7"/>
  <c r="Z60" i="7"/>
  <c r="BB60" i="7"/>
  <c r="BB35" i="7"/>
  <c r="BB63" i="7"/>
  <c r="AP51" i="7"/>
  <c r="BB5" i="7"/>
  <c r="AP15" i="7"/>
  <c r="BB34" i="7"/>
  <c r="BC34" i="7" s="1"/>
  <c r="BD34" i="7" s="1"/>
  <c r="Z44" i="7"/>
  <c r="BB50" i="7"/>
  <c r="BR33" i="7"/>
  <c r="BR43" i="7"/>
  <c r="BB28" i="7"/>
  <c r="AX44" i="7"/>
  <c r="Z58" i="7"/>
  <c r="BB43" i="7"/>
  <c r="BC43" i="7" s="1"/>
  <c r="BD43" i="7" s="1"/>
  <c r="Z13" i="7"/>
  <c r="AX54" i="7"/>
  <c r="BB29" i="7"/>
  <c r="BC29" i="7" s="1"/>
  <c r="BD29" i="7" s="1"/>
  <c r="AH46" i="7"/>
  <c r="AI46" i="7" s="1"/>
  <c r="AJ46" i="7" s="1"/>
  <c r="BB38" i="7"/>
  <c r="BB59" i="7"/>
  <c r="BB61" i="7"/>
  <c r="AS67" i="7"/>
  <c r="AU13" i="7" s="1"/>
  <c r="AV13" i="7" s="1"/>
  <c r="AT54" i="7"/>
  <c r="AT63" i="7"/>
  <c r="AT44" i="7"/>
  <c r="AT51" i="7"/>
  <c r="AT37" i="7"/>
  <c r="AT60" i="7"/>
  <c r="AT32" i="7"/>
  <c r="BN49" i="7"/>
  <c r="BR28" i="7"/>
  <c r="AX60" i="7"/>
  <c r="BN6" i="7"/>
  <c r="Z20" i="7"/>
  <c r="Z5" i="7"/>
  <c r="AP11" i="7"/>
  <c r="BR11" i="7"/>
  <c r="BN7" i="7"/>
  <c r="BO7" i="7" s="1"/>
  <c r="BP7" i="7" s="1"/>
  <c r="BB45" i="7"/>
  <c r="AP41" i="7"/>
  <c r="AX13" i="7"/>
  <c r="BF59" i="7"/>
  <c r="AH18" i="7"/>
  <c r="Z22" i="7"/>
  <c r="AA22" i="7" s="1"/>
  <c r="AB22" i="7" s="1"/>
  <c r="BF35" i="7"/>
  <c r="AH29" i="7"/>
  <c r="BR13" i="7"/>
  <c r="AC67" i="7"/>
  <c r="AE57" i="7" s="1"/>
  <c r="AF57" i="7" s="1"/>
  <c r="AD39" i="7"/>
  <c r="AD41" i="7"/>
  <c r="AE41" i="7" s="1"/>
  <c r="AF41" i="7" s="1"/>
  <c r="AD63" i="7"/>
  <c r="AE63" i="7" s="1"/>
  <c r="AF63" i="7" s="1"/>
  <c r="AD55" i="7"/>
  <c r="AE55" i="7" s="1"/>
  <c r="AF55" i="7" s="1"/>
  <c r="AD56" i="7"/>
  <c r="AD33" i="7"/>
  <c r="AD15" i="7"/>
  <c r="BB58" i="7"/>
  <c r="BC58" i="7" s="1"/>
  <c r="BD58" i="7" s="1"/>
  <c r="AX4" i="7"/>
  <c r="BF48" i="7"/>
  <c r="BJ24" i="7"/>
  <c r="AX38" i="7"/>
  <c r="AX42" i="7"/>
  <c r="AX7" i="7"/>
  <c r="AX64" i="7"/>
  <c r="Z11" i="7"/>
  <c r="AT56" i="7"/>
  <c r="BR46" i="7"/>
  <c r="BN53" i="7"/>
  <c r="BO53" i="7" s="1"/>
  <c r="BP53" i="7" s="1"/>
  <c r="BJ39" i="7"/>
  <c r="BB4" i="7"/>
  <c r="BR36" i="7"/>
  <c r="AH8" i="7"/>
  <c r="Z33" i="7"/>
  <c r="BR32" i="7"/>
  <c r="Z50" i="7"/>
  <c r="AH28" i="7"/>
  <c r="BN19" i="7"/>
  <c r="AD35" i="7"/>
  <c r="BN18" i="7"/>
  <c r="BJ57" i="7"/>
  <c r="AH26" i="7"/>
  <c r="BB22" i="7"/>
  <c r="AE45" i="7"/>
  <c r="AF45" i="7" s="1"/>
  <c r="AE59" i="7"/>
  <c r="AF59" i="7" s="1"/>
  <c r="Y67" i="7"/>
  <c r="Z43" i="7"/>
  <c r="AA43" i="7" s="1"/>
  <c r="AB43" i="7" s="1"/>
  <c r="Z45" i="7"/>
  <c r="Z59" i="7"/>
  <c r="AA59" i="7" s="1"/>
  <c r="AB59" i="7" s="1"/>
  <c r="Z19" i="7"/>
  <c r="Z24" i="7"/>
  <c r="Z47" i="7"/>
  <c r="Z32" i="7"/>
  <c r="Z42" i="7"/>
  <c r="Z35" i="7"/>
  <c r="AE10" i="7"/>
  <c r="AF10" i="7" s="1"/>
  <c r="AI45" i="7"/>
  <c r="AJ45" i="7" s="1"/>
  <c r="Z55" i="7"/>
  <c r="AU21" i="7"/>
  <c r="AV21" i="7" s="1"/>
  <c r="Z51" i="7"/>
  <c r="Z31" i="7"/>
  <c r="Z23" i="7"/>
  <c r="Z28" i="7"/>
  <c r="BC49" i="7"/>
  <c r="BD49" i="7" s="1"/>
  <c r="BQ67" i="7"/>
  <c r="BS8" i="7" s="1"/>
  <c r="BT8" i="7" s="1"/>
  <c r="BR57" i="7"/>
  <c r="BS57" i="7" s="1"/>
  <c r="BT57" i="7" s="1"/>
  <c r="BR50" i="7"/>
  <c r="BS50" i="7" s="1"/>
  <c r="BT50" i="7" s="1"/>
  <c r="BR22" i="7"/>
  <c r="BR41" i="7"/>
  <c r="BR59" i="7"/>
  <c r="BR40" i="7"/>
  <c r="BR51" i="7"/>
  <c r="BR15" i="7"/>
  <c r="BR6" i="7"/>
  <c r="BR39" i="7"/>
  <c r="BR62" i="7"/>
  <c r="BR34" i="7"/>
  <c r="BR21" i="7"/>
  <c r="Z57" i="7"/>
  <c r="AI33" i="7"/>
  <c r="AJ33" i="7" s="1"/>
  <c r="Z49" i="7"/>
  <c r="BR42" i="7"/>
  <c r="BR14" i="7"/>
  <c r="BS14" i="7" s="1"/>
  <c r="BT14" i="7" s="1"/>
  <c r="BR63" i="7"/>
  <c r="BR18" i="7"/>
  <c r="Z41" i="7"/>
  <c r="AI7" i="7"/>
  <c r="AJ7" i="7" s="1"/>
  <c r="AI4" i="7"/>
  <c r="AJ4" i="7" s="1"/>
  <c r="Z64" i="7"/>
  <c r="AE16" i="7"/>
  <c r="AF16" i="7" s="1"/>
  <c r="Z8" i="7"/>
  <c r="BR5" i="7"/>
  <c r="BS5" i="7" s="1"/>
  <c r="BT5" i="7" s="1"/>
  <c r="BO8" i="7"/>
  <c r="BP8" i="7" s="1"/>
  <c r="AE30" i="7"/>
  <c r="AF30" i="7" s="1"/>
  <c r="Z26" i="7"/>
  <c r="BB20" i="7"/>
  <c r="BC20" i="7" s="1"/>
  <c r="BD20" i="7" s="1"/>
  <c r="Z25" i="7"/>
  <c r="AH10" i="7"/>
  <c r="BE67" i="7"/>
  <c r="BG7" i="7" s="1"/>
  <c r="BH7" i="7" s="1"/>
  <c r="BF33" i="7"/>
  <c r="BG33" i="7" s="1"/>
  <c r="BH33" i="7" s="1"/>
  <c r="BF38" i="7"/>
  <c r="BG38" i="7" s="1"/>
  <c r="BH38" i="7" s="1"/>
  <c r="BF51" i="7"/>
  <c r="BG51" i="7" s="1"/>
  <c r="BH51" i="7" s="1"/>
  <c r="BF5" i="7"/>
  <c r="BG5" i="7" s="1"/>
  <c r="BH5" i="7" s="1"/>
  <c r="BF60" i="7"/>
  <c r="BG60" i="7" s="1"/>
  <c r="BH60" i="7" s="1"/>
  <c r="BF53" i="7"/>
  <c r="BF27" i="7"/>
  <c r="BF37" i="7"/>
  <c r="BF20" i="7"/>
  <c r="BF13" i="7"/>
  <c r="BF14" i="7"/>
  <c r="BF11" i="7"/>
  <c r="BF63" i="7"/>
  <c r="BF28" i="7"/>
  <c r="BF31" i="7"/>
  <c r="BB16" i="7"/>
  <c r="BC16" i="7" s="1"/>
  <c r="BD16" i="7" s="1"/>
  <c r="BR26" i="7"/>
  <c r="AE54" i="7"/>
  <c r="AF54" i="7" s="1"/>
  <c r="AW67" i="7"/>
  <c r="AX21" i="7"/>
  <c r="AX63" i="7"/>
  <c r="AX58" i="7"/>
  <c r="AX56" i="7"/>
  <c r="AX40" i="7"/>
  <c r="AX28" i="7"/>
  <c r="AX50" i="7"/>
  <c r="AX29" i="7"/>
  <c r="AX5" i="7"/>
  <c r="AX8" i="7"/>
  <c r="AX30" i="7"/>
  <c r="AH55" i="7"/>
  <c r="BF26" i="7"/>
  <c r="AX59" i="7"/>
  <c r="BR24" i="7"/>
  <c r="BB8" i="7"/>
  <c r="BF52" i="7"/>
  <c r="BB48" i="7"/>
  <c r="AH56" i="7"/>
  <c r="BF4" i="7"/>
  <c r="AX51" i="7"/>
  <c r="AH24" i="7"/>
  <c r="AO67" i="7"/>
  <c r="AQ23" i="7" s="1"/>
  <c r="AR23" i="7" s="1"/>
  <c r="AP64" i="7"/>
  <c r="AQ64" i="7" s="1"/>
  <c r="AR64" i="7" s="1"/>
  <c r="AP24" i="7"/>
  <c r="AP8" i="7"/>
  <c r="AP48" i="7"/>
  <c r="AP33" i="7"/>
  <c r="AP42" i="7"/>
  <c r="AP40" i="7"/>
  <c r="AP58" i="7"/>
  <c r="AP12" i="7"/>
  <c r="AP20" i="7"/>
  <c r="AP62" i="7"/>
  <c r="AX52" i="7"/>
  <c r="Z52" i="7"/>
  <c r="Z7" i="7"/>
  <c r="BR47" i="7"/>
  <c r="BS47" i="7" s="1"/>
  <c r="BT47" i="7" s="1"/>
  <c r="Z27" i="7"/>
  <c r="BF29" i="7"/>
  <c r="BB53" i="7"/>
  <c r="BB36" i="7"/>
  <c r="AP53" i="7"/>
  <c r="BF21" i="7"/>
  <c r="Z46" i="7"/>
  <c r="AP25" i="7"/>
  <c r="BF54" i="7"/>
  <c r="AE50" i="7"/>
  <c r="AF50" i="7" s="1"/>
  <c r="BM67" i="7"/>
  <c r="BO33" i="7" s="1"/>
  <c r="BP33" i="7" s="1"/>
  <c r="BN61" i="7"/>
  <c r="BN52" i="7"/>
  <c r="BO52" i="7" s="1"/>
  <c r="BP52" i="7" s="1"/>
  <c r="BN26" i="7"/>
  <c r="BN37" i="7"/>
  <c r="BN64" i="7"/>
  <c r="BN43" i="7"/>
  <c r="BN45" i="7"/>
  <c r="BN38" i="7"/>
  <c r="BN10" i="7"/>
  <c r="AP16" i="7"/>
  <c r="BB13" i="7"/>
  <c r="AH38" i="7"/>
  <c r="AX49" i="7"/>
  <c r="BN17" i="7"/>
  <c r="Z16" i="7"/>
  <c r="BB30" i="7"/>
  <c r="BF15" i="7"/>
  <c r="BF50" i="7"/>
  <c r="BF61" i="7"/>
  <c r="BR55" i="7"/>
  <c r="AX16" i="7"/>
  <c r="BI67" i="7"/>
  <c r="BK46" i="7" s="1"/>
  <c r="BL46" i="7" s="1"/>
  <c r="BJ56" i="7"/>
  <c r="BJ47" i="7"/>
  <c r="BJ49" i="7"/>
  <c r="BJ30" i="7"/>
  <c r="BJ40" i="7"/>
  <c r="BJ35" i="7"/>
  <c r="BJ42" i="7"/>
  <c r="AT20" i="7"/>
  <c r="AH47" i="7"/>
  <c r="BR54" i="7"/>
  <c r="BS54" i="7" s="1"/>
  <c r="BT54" i="7" s="1"/>
  <c r="BJ51" i="7"/>
  <c r="BB57" i="7"/>
  <c r="AT29" i="7"/>
  <c r="AX39" i="7"/>
  <c r="BF47" i="7"/>
  <c r="AX9" i="7"/>
  <c r="AH13" i="7"/>
  <c r="BN23" i="7"/>
  <c r="AH17" i="7"/>
  <c r="AP57" i="7"/>
  <c r="BB25" i="7"/>
  <c r="AH59" i="7"/>
  <c r="AP56" i="7"/>
  <c r="BN40" i="7"/>
  <c r="BJ38" i="7"/>
  <c r="BJ58" i="7"/>
  <c r="AT38" i="7"/>
  <c r="AX32" i="7"/>
  <c r="BJ29" i="7"/>
  <c r="AP31" i="7"/>
  <c r="BF40" i="7"/>
  <c r="BR16" i="7"/>
  <c r="BN11" i="7"/>
  <c r="AT12" i="7"/>
  <c r="Z14" i="7"/>
  <c r="BF44" i="7"/>
  <c r="AX6" i="7"/>
  <c r="AP38" i="7"/>
  <c r="AD26" i="7"/>
  <c r="AE26" i="7" s="1"/>
  <c r="AF26" i="7" s="1"/>
  <c r="AD47" i="7"/>
  <c r="AE47" i="7" s="1"/>
  <c r="AF47" i="7" s="1"/>
  <c r="AH62" i="7"/>
  <c r="AI62" i="7" s="1"/>
  <c r="AJ62" i="7" s="1"/>
  <c r="BJ9" i="7"/>
  <c r="BJ20" i="7"/>
  <c r="BF64" i="7"/>
  <c r="AD43" i="7"/>
  <c r="AH48" i="7"/>
  <c r="AX55" i="7"/>
  <c r="BN31" i="7"/>
  <c r="AD60" i="7"/>
  <c r="AD23" i="7"/>
  <c r="Z40" i="7"/>
  <c r="BJ6" i="7"/>
  <c r="AH25" i="7"/>
  <c r="AH41" i="7"/>
  <c r="BN32" i="7"/>
  <c r="BF62" i="7"/>
  <c r="AX23" i="7"/>
  <c r="BB31" i="7"/>
  <c r="BC31" i="7" s="1"/>
  <c r="BD31" i="7" s="1"/>
  <c r="AH21" i="7"/>
  <c r="BF41" i="7"/>
  <c r="BN63" i="7"/>
  <c r="AT7" i="7"/>
  <c r="AX35" i="7"/>
  <c r="AX33" i="7"/>
  <c r="BJ28" i="7"/>
  <c r="BJ18" i="7"/>
  <c r="AP29" i="7"/>
  <c r="BJ54" i="7"/>
  <c r="AP36" i="7"/>
  <c r="Z30" i="7"/>
  <c r="AX53" i="7"/>
  <c r="BF23" i="7"/>
  <c r="BN25" i="7"/>
  <c r="BO25" i="7" s="1"/>
  <c r="BP25" i="7" s="1"/>
  <c r="AP34" i="7"/>
  <c r="AE36" i="5"/>
  <c r="M19" i="5"/>
  <c r="M25" i="5"/>
  <c r="AE8" i="5"/>
  <c r="M7" i="5"/>
  <c r="W59" i="5"/>
  <c r="W43" i="5"/>
  <c r="M21" i="5"/>
  <c r="AE58" i="5"/>
  <c r="M35" i="5"/>
  <c r="M13" i="5"/>
  <c r="M41" i="5"/>
  <c r="M65" i="5"/>
  <c r="M46" i="5"/>
  <c r="AE59" i="5"/>
  <c r="M33" i="5"/>
  <c r="M50" i="5"/>
  <c r="M40" i="5"/>
  <c r="M56" i="5"/>
  <c r="M60" i="5"/>
  <c r="M12" i="5"/>
  <c r="W31" i="5"/>
  <c r="W56" i="5"/>
  <c r="M14" i="5"/>
  <c r="M9" i="5"/>
  <c r="AE30" i="5"/>
  <c r="M57" i="5"/>
  <c r="M17" i="5"/>
  <c r="AE24" i="5"/>
  <c r="M8" i="5"/>
  <c r="W46" i="5"/>
  <c r="M5" i="5"/>
  <c r="M38" i="5"/>
  <c r="M36" i="5"/>
  <c r="W29" i="5"/>
  <c r="M63" i="5"/>
  <c r="M59" i="5"/>
  <c r="W10" i="5"/>
  <c r="M51" i="5"/>
  <c r="M10" i="5"/>
  <c r="M18" i="5"/>
  <c r="W47" i="5"/>
  <c r="M43" i="5"/>
  <c r="M49" i="5"/>
  <c r="M23" i="5"/>
  <c r="AE60" i="5"/>
  <c r="AA33" i="5"/>
  <c r="W53" i="5"/>
  <c r="W35" i="5"/>
  <c r="M29" i="5"/>
  <c r="W52" i="5"/>
  <c r="M64" i="5"/>
  <c r="W36" i="5"/>
  <c r="AE5" i="5"/>
  <c r="AE61" i="5"/>
  <c r="AE40" i="5"/>
  <c r="AA10" i="5"/>
  <c r="M52" i="5"/>
  <c r="AA30" i="5"/>
  <c r="W19" i="5"/>
  <c r="M45" i="5"/>
  <c r="N45" i="5" s="1"/>
  <c r="Q45" i="5" s="1"/>
  <c r="M11" i="5"/>
  <c r="AA60" i="5"/>
  <c r="M48" i="5"/>
  <c r="AE35" i="5"/>
  <c r="W26" i="5"/>
  <c r="AA28" i="5"/>
  <c r="W17" i="5"/>
  <c r="AE4" i="5"/>
  <c r="AE21" i="5"/>
  <c r="AE49" i="5"/>
  <c r="AE6" i="5"/>
  <c r="S65" i="5"/>
  <c r="AA52" i="5"/>
  <c r="AB52" i="5" s="1"/>
  <c r="AC52" i="5" s="1"/>
  <c r="AE39" i="5"/>
  <c r="AE43" i="5"/>
  <c r="AE15" i="5"/>
  <c r="AA44" i="5"/>
  <c r="AA35" i="5"/>
  <c r="AE31" i="5"/>
  <c r="AE47" i="5"/>
  <c r="AA32" i="5"/>
  <c r="AE25" i="5"/>
  <c r="M53" i="5"/>
  <c r="M4" i="5"/>
  <c r="AE16" i="5"/>
  <c r="AE57" i="5"/>
  <c r="M28" i="5"/>
  <c r="M15" i="5"/>
  <c r="N15" i="5" s="1"/>
  <c r="Q15" i="5" s="1"/>
  <c r="AE12" i="5"/>
  <c r="AF12" i="5" s="1"/>
  <c r="AG12" i="5" s="1"/>
  <c r="AE19" i="5"/>
  <c r="AE26" i="5"/>
  <c r="AE64" i="5"/>
  <c r="AE11" i="5"/>
  <c r="AE34" i="5"/>
  <c r="AA38" i="5"/>
  <c r="AA54" i="5"/>
  <c r="M22" i="5"/>
  <c r="AA49" i="5"/>
  <c r="AA41" i="5"/>
  <c r="AE27" i="5"/>
  <c r="M61" i="5"/>
  <c r="AE32" i="5"/>
  <c r="M20" i="5"/>
  <c r="S22" i="5"/>
  <c r="M44" i="5"/>
  <c r="AE41" i="5"/>
  <c r="AA19" i="5"/>
  <c r="AA45" i="5"/>
  <c r="AB45" i="5" s="1"/>
  <c r="AC45" i="5" s="1"/>
  <c r="AE33" i="5"/>
  <c r="AE38" i="5"/>
  <c r="AE56" i="5"/>
  <c r="AF56" i="5" s="1"/>
  <c r="AG56" i="5" s="1"/>
  <c r="W21" i="5"/>
  <c r="M39" i="5"/>
  <c r="W57" i="5"/>
  <c r="M31" i="5"/>
  <c r="S16" i="5"/>
  <c r="AE17" i="5"/>
  <c r="S33" i="5"/>
  <c r="AA42" i="5"/>
  <c r="S21" i="5"/>
  <c r="M37" i="5"/>
  <c r="AA48" i="5"/>
  <c r="AB48" i="5" s="1"/>
  <c r="AC48" i="5" s="1"/>
  <c r="W9" i="5"/>
  <c r="S63" i="5"/>
  <c r="AA25" i="5"/>
  <c r="AB25" i="5" s="1"/>
  <c r="AC25" i="5" s="1"/>
  <c r="W48" i="5"/>
  <c r="AA17" i="5"/>
  <c r="AE10" i="5"/>
  <c r="AE62" i="5"/>
  <c r="S27" i="5"/>
  <c r="S7" i="5"/>
  <c r="S43" i="5"/>
  <c r="S54" i="5"/>
  <c r="AA8" i="5"/>
  <c r="W15" i="5"/>
  <c r="W27" i="5"/>
  <c r="S26" i="5"/>
  <c r="AA18" i="5"/>
  <c r="AF50" i="5"/>
  <c r="AG50" i="5" s="1"/>
  <c r="S10" i="5"/>
  <c r="AA51" i="5"/>
  <c r="W32" i="5"/>
  <c r="AA36" i="5"/>
  <c r="S61" i="5"/>
  <c r="AA6" i="5"/>
  <c r="S32" i="5"/>
  <c r="W44" i="5"/>
  <c r="AA43" i="5"/>
  <c r="AE65" i="5"/>
  <c r="W61" i="5"/>
  <c r="S36" i="5"/>
  <c r="W65" i="5"/>
  <c r="S42" i="5"/>
  <c r="S15" i="5"/>
  <c r="S57" i="5"/>
  <c r="AB44" i="5"/>
  <c r="AC44" i="5" s="1"/>
  <c r="S13" i="5"/>
  <c r="Z68" i="5"/>
  <c r="AA31" i="5"/>
  <c r="AA64" i="5"/>
  <c r="AB64" i="5" s="1"/>
  <c r="AC64" i="5" s="1"/>
  <c r="AA61" i="5"/>
  <c r="AB61" i="5" s="1"/>
  <c r="AC61" i="5" s="1"/>
  <c r="AA20" i="5"/>
  <c r="AB20" i="5" s="1"/>
  <c r="AC20" i="5" s="1"/>
  <c r="AA9" i="5"/>
  <c r="AB9" i="5" s="1"/>
  <c r="AC9" i="5" s="1"/>
  <c r="AA24" i="5"/>
  <c r="AA12" i="5"/>
  <c r="AA39" i="5"/>
  <c r="S24" i="5"/>
  <c r="S30" i="5"/>
  <c r="V68" i="5"/>
  <c r="X36" i="5" s="1"/>
  <c r="Y36" i="5" s="1"/>
  <c r="W12" i="5"/>
  <c r="W22" i="5"/>
  <c r="W4" i="5"/>
  <c r="W33" i="5"/>
  <c r="X33" i="5" s="1"/>
  <c r="Y33" i="5" s="1"/>
  <c r="S12" i="5"/>
  <c r="AA40" i="5"/>
  <c r="S39" i="5"/>
  <c r="W58" i="5"/>
  <c r="S31" i="5"/>
  <c r="W16" i="5"/>
  <c r="S8" i="5"/>
  <c r="W41" i="5"/>
  <c r="AE45" i="5"/>
  <c r="S23" i="5"/>
  <c r="AA50" i="5"/>
  <c r="AA57" i="5"/>
  <c r="W60" i="5"/>
  <c r="S51" i="5"/>
  <c r="W6" i="5"/>
  <c r="W25" i="5"/>
  <c r="AA22" i="5"/>
  <c r="S59" i="5"/>
  <c r="S19" i="5"/>
  <c r="L68" i="5"/>
  <c r="M27" i="5"/>
  <c r="N27" i="5" s="1"/>
  <c r="Q27" i="5" s="1"/>
  <c r="M42" i="5"/>
  <c r="M16" i="5"/>
  <c r="M6" i="5"/>
  <c r="M32" i="5"/>
  <c r="M54" i="5"/>
  <c r="S45" i="5"/>
  <c r="AA11" i="5"/>
  <c r="W28" i="5"/>
  <c r="AF39" i="5"/>
  <c r="AG39" i="5" s="1"/>
  <c r="X50" i="5"/>
  <c r="Y50" i="5" s="1"/>
  <c r="AB54" i="5"/>
  <c r="AC54" i="5" s="1"/>
  <c r="S28" i="5"/>
  <c r="S11" i="5"/>
  <c r="AA15" i="5"/>
  <c r="AA55" i="5"/>
  <c r="S44" i="5"/>
  <c r="S20" i="5"/>
  <c r="AA56" i="5"/>
  <c r="W14" i="5"/>
  <c r="S38" i="5"/>
  <c r="S58" i="5"/>
  <c r="S18" i="5"/>
  <c r="S60" i="5"/>
  <c r="S34" i="5"/>
  <c r="S40" i="5"/>
  <c r="W8" i="5"/>
  <c r="W45" i="5"/>
  <c r="AA47" i="5"/>
  <c r="S56" i="5"/>
  <c r="W42" i="5"/>
  <c r="AD68" i="5"/>
  <c r="AF17" i="5" s="1"/>
  <c r="AG17" i="5" s="1"/>
  <c r="AE48" i="5"/>
  <c r="AE18" i="5"/>
  <c r="AE7" i="5"/>
  <c r="AE28" i="5"/>
  <c r="AF28" i="5" s="1"/>
  <c r="AG28" i="5" s="1"/>
  <c r="AE63" i="5"/>
  <c r="AE54" i="5"/>
  <c r="AF54" i="5" s="1"/>
  <c r="AG54" i="5" s="1"/>
  <c r="AE20" i="5"/>
  <c r="AE51" i="5"/>
  <c r="S29" i="5"/>
  <c r="AA46" i="5"/>
  <c r="AA29" i="5"/>
  <c r="AA53" i="5"/>
  <c r="W7" i="5"/>
  <c r="AA21" i="5"/>
  <c r="M55" i="5"/>
  <c r="W54" i="5"/>
  <c r="AE14" i="5"/>
  <c r="AE52" i="5"/>
  <c r="M30" i="5"/>
  <c r="W38" i="5"/>
  <c r="AE55" i="5"/>
  <c r="W37" i="5"/>
  <c r="N56" i="5"/>
  <c r="Q56" i="5" s="1"/>
  <c r="R68" i="5"/>
  <c r="T52" i="5" s="1"/>
  <c r="U52" i="5" s="1"/>
  <c r="S37" i="5"/>
  <c r="S14" i="5"/>
  <c r="S35" i="5"/>
  <c r="S17" i="5"/>
  <c r="S41" i="5"/>
  <c r="S62" i="5"/>
  <c r="S49" i="5"/>
  <c r="S25" i="5"/>
  <c r="S47" i="5"/>
  <c r="AA16" i="5"/>
  <c r="AA23" i="5"/>
  <c r="N21" i="5"/>
  <c r="Q21" i="5" s="1"/>
  <c r="S5" i="5"/>
  <c r="N43" i="5"/>
  <c r="Q43" i="5" s="1"/>
  <c r="W11" i="5"/>
  <c r="X11" i="5" s="1"/>
  <c r="Y11" i="5" s="1"/>
  <c r="AA7" i="5"/>
  <c r="W18" i="5"/>
  <c r="W39" i="5"/>
  <c r="AA65" i="5"/>
  <c r="AA27" i="5"/>
  <c r="W64" i="5"/>
  <c r="S55" i="5"/>
  <c r="AA34" i="5"/>
  <c r="AB34" i="5" s="1"/>
  <c r="AC34" i="5" s="1"/>
  <c r="AA58" i="5"/>
  <c r="AB58" i="5" s="1"/>
  <c r="AC58" i="5" s="1"/>
  <c r="W20" i="5"/>
  <c r="S64" i="5"/>
  <c r="AA14" i="5"/>
  <c r="S6" i="5"/>
  <c r="S9" i="5"/>
  <c r="W63" i="5"/>
  <c r="S50" i="5"/>
  <c r="AE37" i="5"/>
  <c r="M24" i="5"/>
  <c r="W23" i="5"/>
  <c r="AA63" i="5"/>
  <c r="AB63" i="5" s="1"/>
  <c r="AC63" i="5" s="1"/>
  <c r="AE53" i="5"/>
  <c r="S4" i="5"/>
  <c r="M47" i="5"/>
  <c r="M58" i="5"/>
  <c r="AE42" i="5"/>
  <c r="W5" i="5"/>
  <c r="AA37" i="5"/>
  <c r="AE46" i="5"/>
  <c r="S46" i="5"/>
  <c r="AE29" i="5"/>
  <c r="W40" i="5"/>
  <c r="AA5" i="5"/>
  <c r="AE23" i="5"/>
  <c r="S53" i="5"/>
  <c r="AI21" i="4"/>
  <c r="AJ21" i="4" s="1"/>
  <c r="BS28" i="4"/>
  <c r="BT28" i="4" s="1"/>
  <c r="BS11" i="4"/>
  <c r="BT11" i="4" s="1"/>
  <c r="AI26" i="4"/>
  <c r="AJ26" i="4" s="1"/>
  <c r="BS25" i="4"/>
  <c r="BT25" i="4" s="1"/>
  <c r="Z59" i="4"/>
  <c r="AD54" i="4"/>
  <c r="BN30" i="4"/>
  <c r="AL37" i="4"/>
  <c r="BS52" i="4"/>
  <c r="BT52" i="4" s="1"/>
  <c r="BS62" i="4"/>
  <c r="BT62" i="4" s="1"/>
  <c r="BS59" i="4"/>
  <c r="BT59" i="4" s="1"/>
  <c r="BN60" i="4"/>
  <c r="BS40" i="4"/>
  <c r="BT40" i="4" s="1"/>
  <c r="AI49" i="4"/>
  <c r="AJ49" i="4" s="1"/>
  <c r="BS48" i="4"/>
  <c r="BT48" i="4" s="1"/>
  <c r="AI41" i="4"/>
  <c r="AJ41" i="4" s="1"/>
  <c r="AL40" i="4"/>
  <c r="AI5" i="4"/>
  <c r="AJ5" i="4" s="1"/>
  <c r="BS57" i="4"/>
  <c r="BT57" i="4" s="1"/>
  <c r="BS34" i="4"/>
  <c r="BT34" i="4" s="1"/>
  <c r="BS30" i="4"/>
  <c r="BT30" i="4" s="1"/>
  <c r="BN21" i="4"/>
  <c r="BS61" i="4"/>
  <c r="BT61" i="4" s="1"/>
  <c r="BS45" i="4"/>
  <c r="BT45" i="4" s="1"/>
  <c r="AI36" i="4"/>
  <c r="AJ36" i="4" s="1"/>
  <c r="AI53" i="4"/>
  <c r="AJ53" i="4" s="1"/>
  <c r="AL56" i="4"/>
  <c r="BS5" i="4"/>
  <c r="BT5" i="4" s="1"/>
  <c r="AI60" i="4"/>
  <c r="AJ60" i="4" s="1"/>
  <c r="BS24" i="4"/>
  <c r="BT24" i="4" s="1"/>
  <c r="AI62" i="4"/>
  <c r="AJ62" i="4" s="1"/>
  <c r="BS15" i="4"/>
  <c r="BT15" i="4" s="1"/>
  <c r="AD55" i="4"/>
  <c r="BS50" i="4"/>
  <c r="BT50" i="4" s="1"/>
  <c r="BS7" i="4"/>
  <c r="BT7" i="4" s="1"/>
  <c r="AD53" i="4"/>
  <c r="AI58" i="4"/>
  <c r="AJ58" i="4" s="1"/>
  <c r="BS21" i="4"/>
  <c r="BT21" i="4" s="1"/>
  <c r="BS49" i="4"/>
  <c r="BT49" i="4" s="1"/>
  <c r="BS26" i="4"/>
  <c r="BT26" i="4" s="1"/>
  <c r="AI51" i="4"/>
  <c r="AJ51" i="4" s="1"/>
  <c r="BS33" i="4"/>
  <c r="BT33" i="4" s="1"/>
  <c r="AI57" i="4"/>
  <c r="AJ57" i="4" s="1"/>
  <c r="AI45" i="4"/>
  <c r="AJ45" i="4" s="1"/>
  <c r="BS58" i="4"/>
  <c r="BT58" i="4" s="1"/>
  <c r="BS35" i="4"/>
  <c r="BT35" i="4" s="1"/>
  <c r="AI22" i="4"/>
  <c r="AJ22" i="4" s="1"/>
  <c r="AI64" i="4"/>
  <c r="AJ64" i="4" s="1"/>
  <c r="AI39" i="4"/>
  <c r="AJ39" i="4" s="1"/>
  <c r="AI14" i="4"/>
  <c r="AJ14" i="4" s="1"/>
  <c r="AI44" i="4"/>
  <c r="AJ44" i="4" s="1"/>
  <c r="AI30" i="4"/>
  <c r="AJ30" i="4" s="1"/>
  <c r="BS8" i="4"/>
  <c r="BT8" i="4" s="1"/>
  <c r="BS38" i="4"/>
  <c r="BT38" i="4" s="1"/>
  <c r="BS39" i="4"/>
  <c r="BT39" i="4" s="1"/>
  <c r="AI23" i="4"/>
  <c r="AJ23" i="4" s="1"/>
  <c r="AL45" i="4"/>
  <c r="AL54" i="4"/>
  <c r="BS4" i="4"/>
  <c r="BT4" i="4" s="1"/>
  <c r="BS9" i="4"/>
  <c r="BT9" i="4" s="1"/>
  <c r="BS43" i="4"/>
  <c r="BT43" i="4" s="1"/>
  <c r="AI24" i="4"/>
  <c r="AJ24" i="4" s="1"/>
  <c r="BS18" i="4"/>
  <c r="BT18" i="4" s="1"/>
  <c r="Z57" i="4"/>
  <c r="AI15" i="4"/>
  <c r="AJ15" i="4" s="1"/>
  <c r="BS10" i="4"/>
  <c r="BT10" i="4" s="1"/>
  <c r="BS60" i="4"/>
  <c r="BT60" i="4" s="1"/>
  <c r="BS20" i="4"/>
  <c r="BT20" i="4" s="1"/>
  <c r="AI7" i="4"/>
  <c r="AJ7" i="4" s="1"/>
  <c r="AI33" i="4"/>
  <c r="AJ33" i="4" s="1"/>
  <c r="BS32" i="4"/>
  <c r="BT32" i="4" s="1"/>
  <c r="BS16" i="4"/>
  <c r="BT16" i="4" s="1"/>
  <c r="AI19" i="4"/>
  <c r="AJ19" i="4" s="1"/>
  <c r="AI37" i="4"/>
  <c r="AJ37" i="4" s="1"/>
  <c r="AI18" i="4"/>
  <c r="AJ18" i="4" s="1"/>
  <c r="BS14" i="4"/>
  <c r="BT14" i="4" s="1"/>
  <c r="BS19" i="4"/>
  <c r="BT19" i="4" s="1"/>
  <c r="BS17" i="4"/>
  <c r="BT17" i="4" s="1"/>
  <c r="AX55" i="4"/>
  <c r="BB5" i="4"/>
  <c r="BB13" i="4"/>
  <c r="BC13" i="4" s="1"/>
  <c r="BD13" i="4" s="1"/>
  <c r="BB21" i="4"/>
  <c r="BC21" i="4" s="1"/>
  <c r="BD21" i="4" s="1"/>
  <c r="BB31" i="4"/>
  <c r="BC31" i="4" s="1"/>
  <c r="BD31" i="4" s="1"/>
  <c r="BB10" i="4"/>
  <c r="BC10" i="4" s="1"/>
  <c r="BD10" i="4" s="1"/>
  <c r="BB18" i="4"/>
  <c r="BC18" i="4" s="1"/>
  <c r="BD18" i="4" s="1"/>
  <c r="BB25" i="4"/>
  <c r="BB16" i="4"/>
  <c r="BB22" i="4"/>
  <c r="BB29" i="4"/>
  <c r="BB4" i="4"/>
  <c r="BB32" i="4"/>
  <c r="BB36" i="4"/>
  <c r="BB17" i="4"/>
  <c r="BB28" i="4"/>
  <c r="BB50" i="4"/>
  <c r="BB9" i="4"/>
  <c r="BB19" i="4"/>
  <c r="BC19" i="4" s="1"/>
  <c r="BD19" i="4" s="1"/>
  <c r="BB41" i="4"/>
  <c r="BC41" i="4" s="1"/>
  <c r="BD41" i="4" s="1"/>
  <c r="BB43" i="4"/>
  <c r="BC43" i="4" s="1"/>
  <c r="BD43" i="4" s="1"/>
  <c r="BB48" i="4"/>
  <c r="BC48" i="4" s="1"/>
  <c r="BD48" i="4" s="1"/>
  <c r="BB62" i="4"/>
  <c r="BC62" i="4" s="1"/>
  <c r="BD62" i="4" s="1"/>
  <c r="BB59" i="4"/>
  <c r="BB6" i="4"/>
  <c r="BB63" i="4"/>
  <c r="BB64" i="4"/>
  <c r="BB49" i="4"/>
  <c r="BB52" i="4"/>
  <c r="BB23" i="4"/>
  <c r="BB8" i="4"/>
  <c r="BB12" i="4"/>
  <c r="BB61" i="4"/>
  <c r="BA67" i="4"/>
  <c r="BC7" i="4" s="1"/>
  <c r="BD7" i="4" s="1"/>
  <c r="BB54" i="4"/>
  <c r="BC54" i="4" s="1"/>
  <c r="BD54" i="4" s="1"/>
  <c r="BB34" i="4"/>
  <c r="BC34" i="4" s="1"/>
  <c r="BD34" i="4" s="1"/>
  <c r="BB44" i="4"/>
  <c r="BC44" i="4" s="1"/>
  <c r="BD44" i="4" s="1"/>
  <c r="BB15" i="4"/>
  <c r="BC15" i="4" s="1"/>
  <c r="BD15" i="4" s="1"/>
  <c r="BB39" i="4"/>
  <c r="BC39" i="4" s="1"/>
  <c r="BD39" i="4" s="1"/>
  <c r="BB47" i="4"/>
  <c r="BB30" i="4"/>
  <c r="BB11" i="4"/>
  <c r="BB46" i="4"/>
  <c r="BB35" i="4"/>
  <c r="BB20" i="4"/>
  <c r="BB40" i="4"/>
  <c r="BB53" i="4"/>
  <c r="BB60" i="4"/>
  <c r="BB45" i="4"/>
  <c r="BJ6" i="4"/>
  <c r="BJ14" i="4"/>
  <c r="BJ28" i="4"/>
  <c r="BJ11" i="4"/>
  <c r="BJ19" i="4"/>
  <c r="BJ22" i="4"/>
  <c r="BJ8" i="4"/>
  <c r="BJ21" i="4"/>
  <c r="BK21" i="4" s="1"/>
  <c r="BL21" i="4" s="1"/>
  <c r="BJ44" i="4"/>
  <c r="BJ33" i="4"/>
  <c r="BJ15" i="4"/>
  <c r="BJ5" i="4"/>
  <c r="BJ10" i="4"/>
  <c r="BJ35" i="4"/>
  <c r="BJ30" i="4"/>
  <c r="BJ13" i="4"/>
  <c r="BJ47" i="4"/>
  <c r="BJ4" i="4"/>
  <c r="BJ27" i="4"/>
  <c r="BJ38" i="4"/>
  <c r="BJ50" i="4"/>
  <c r="BJ57" i="4"/>
  <c r="BJ60" i="4"/>
  <c r="BJ37" i="4"/>
  <c r="BK37" i="4" s="1"/>
  <c r="BL37" i="4" s="1"/>
  <c r="BJ54" i="4"/>
  <c r="BJ17" i="4"/>
  <c r="BJ51" i="4"/>
  <c r="BJ34" i="4"/>
  <c r="BJ40" i="4"/>
  <c r="BJ43" i="4"/>
  <c r="BJ29" i="4"/>
  <c r="BJ36" i="4"/>
  <c r="BJ41" i="4"/>
  <c r="BJ45" i="4"/>
  <c r="BJ46" i="4"/>
  <c r="BJ26" i="4"/>
  <c r="BJ52" i="4"/>
  <c r="BJ7" i="4"/>
  <c r="BI67" i="4"/>
  <c r="BJ25" i="4"/>
  <c r="BK25" i="4" s="1"/>
  <c r="BL25" i="4" s="1"/>
  <c r="BJ63" i="4"/>
  <c r="BJ59" i="4"/>
  <c r="BJ62" i="4"/>
  <c r="BJ16" i="4"/>
  <c r="BJ18" i="4"/>
  <c r="BJ49" i="4"/>
  <c r="BJ12" i="4"/>
  <c r="BJ9" i="4"/>
  <c r="AT37" i="4"/>
  <c r="AQ52" i="4"/>
  <c r="AR52" i="4" s="1"/>
  <c r="AQ22" i="4"/>
  <c r="AR22" i="4" s="1"/>
  <c r="AQ48" i="4"/>
  <c r="AR48" i="4" s="1"/>
  <c r="AT59" i="4"/>
  <c r="AQ9" i="4"/>
  <c r="AR9" i="4" s="1"/>
  <c r="BN45" i="4"/>
  <c r="AD4" i="4"/>
  <c r="AD12" i="4"/>
  <c r="AD20" i="4"/>
  <c r="AD9" i="4"/>
  <c r="AE9" i="4" s="1"/>
  <c r="AF9" i="4" s="1"/>
  <c r="AD17" i="4"/>
  <c r="AE17" i="4" s="1"/>
  <c r="AF17" i="4" s="1"/>
  <c r="AD28" i="4"/>
  <c r="AE28" i="4" s="1"/>
  <c r="AF28" i="4" s="1"/>
  <c r="AD10" i="4"/>
  <c r="AE10" i="4" s="1"/>
  <c r="AF10" i="4" s="1"/>
  <c r="AD11" i="4"/>
  <c r="AE11" i="4" s="1"/>
  <c r="AF11" i="4" s="1"/>
  <c r="AD34" i="4"/>
  <c r="AD39" i="4"/>
  <c r="AD5" i="4"/>
  <c r="AD14" i="4"/>
  <c r="AD15" i="4"/>
  <c r="AD27" i="4"/>
  <c r="AD19" i="4"/>
  <c r="AD46" i="4"/>
  <c r="AD13" i="4"/>
  <c r="AD30" i="4"/>
  <c r="AD52" i="4"/>
  <c r="AD6" i="4"/>
  <c r="AE6" i="4" s="1"/>
  <c r="AF6" i="4" s="1"/>
  <c r="AD8" i="4"/>
  <c r="AE8" i="4" s="1"/>
  <c r="AF8" i="4" s="1"/>
  <c r="AD56" i="4"/>
  <c r="AE56" i="4" s="1"/>
  <c r="AF56" i="4" s="1"/>
  <c r="AD21" i="4"/>
  <c r="AE21" i="4" s="1"/>
  <c r="AF21" i="4" s="1"/>
  <c r="AD24" i="4"/>
  <c r="AE24" i="4" s="1"/>
  <c r="AF24" i="4" s="1"/>
  <c r="AD32" i="4"/>
  <c r="AD49" i="4"/>
  <c r="AD48" i="4"/>
  <c r="AD43" i="4"/>
  <c r="AD38" i="4"/>
  <c r="AD57" i="4"/>
  <c r="AD22" i="4"/>
  <c r="AD33" i="4"/>
  <c r="AD36" i="4"/>
  <c r="AD44" i="4"/>
  <c r="AD58" i="4"/>
  <c r="AD47" i="4"/>
  <c r="AE47" i="4" s="1"/>
  <c r="AF47" i="4" s="1"/>
  <c r="AD16" i="4"/>
  <c r="AE16" i="4" s="1"/>
  <c r="AF16" i="4" s="1"/>
  <c r="AD60" i="4"/>
  <c r="AE60" i="4" s="1"/>
  <c r="AF60" i="4" s="1"/>
  <c r="AD63" i="4"/>
  <c r="AE63" i="4" s="1"/>
  <c r="AF63" i="4" s="1"/>
  <c r="AD40" i="4"/>
  <c r="AE40" i="4" s="1"/>
  <c r="AF40" i="4" s="1"/>
  <c r="AD62" i="4"/>
  <c r="AD42" i="4"/>
  <c r="AD61" i="4"/>
  <c r="AD31" i="4"/>
  <c r="AD64" i="4"/>
  <c r="AD18" i="4"/>
  <c r="AD37" i="4"/>
  <c r="AC67" i="4"/>
  <c r="AE54" i="4" s="1"/>
  <c r="AF54" i="4" s="1"/>
  <c r="AD25" i="4"/>
  <c r="AD7" i="4"/>
  <c r="BB58" i="4"/>
  <c r="BJ53" i="4"/>
  <c r="AQ58" i="4"/>
  <c r="AR58" i="4" s="1"/>
  <c r="AQ36" i="4"/>
  <c r="AR36" i="4" s="1"/>
  <c r="AQ20" i="4"/>
  <c r="AR20" i="4" s="1"/>
  <c r="AI8" i="4"/>
  <c r="AJ8" i="4" s="1"/>
  <c r="AI17" i="4"/>
  <c r="AJ17" i="4" s="1"/>
  <c r="AI40" i="4"/>
  <c r="AJ40" i="4" s="1"/>
  <c r="AX22" i="4"/>
  <c r="AQ17" i="4"/>
  <c r="AR17" i="4" s="1"/>
  <c r="AQ50" i="4"/>
  <c r="AR50" i="4" s="1"/>
  <c r="AQ8" i="4"/>
  <c r="AR8" i="4" s="1"/>
  <c r="AT54" i="4"/>
  <c r="AX26" i="4"/>
  <c r="BN44" i="4"/>
  <c r="AD26" i="4"/>
  <c r="AD59" i="4"/>
  <c r="AE59" i="4" s="1"/>
  <c r="AF59" i="4" s="1"/>
  <c r="AL18" i="4"/>
  <c r="BJ48" i="4"/>
  <c r="AI56" i="4"/>
  <c r="AJ56" i="4" s="1"/>
  <c r="BB24" i="4"/>
  <c r="BC24" i="4" s="1"/>
  <c r="BD24" i="4" s="1"/>
  <c r="BB42" i="4"/>
  <c r="BC42" i="4" s="1"/>
  <c r="BD42" i="4" s="1"/>
  <c r="BB57" i="4"/>
  <c r="BC57" i="4" s="1"/>
  <c r="BD57" i="4" s="1"/>
  <c r="AI59" i="4"/>
  <c r="AJ59" i="4" s="1"/>
  <c r="AI20" i="4"/>
  <c r="AJ20" i="4" s="1"/>
  <c r="AQ64" i="4"/>
  <c r="AR64" i="4" s="1"/>
  <c r="AQ28" i="4"/>
  <c r="AR28" i="4" s="1"/>
  <c r="AQ7" i="4"/>
  <c r="AR7" i="4" s="1"/>
  <c r="AD51" i="4"/>
  <c r="AI9" i="4"/>
  <c r="AJ9" i="4" s="1"/>
  <c r="BN11" i="4"/>
  <c r="BN46" i="4"/>
  <c r="BJ32" i="4"/>
  <c r="BJ42" i="4"/>
  <c r="AI31" i="4"/>
  <c r="AJ31" i="4" s="1"/>
  <c r="AD41" i="4"/>
  <c r="AE41" i="4" s="1"/>
  <c r="AF41" i="4" s="1"/>
  <c r="AI54" i="4"/>
  <c r="AJ54" i="4" s="1"/>
  <c r="BJ64" i="4"/>
  <c r="BK64" i="4" s="1"/>
  <c r="BL64" i="4" s="1"/>
  <c r="AX11" i="4"/>
  <c r="AQ60" i="4"/>
  <c r="AR60" i="4" s="1"/>
  <c r="BN19" i="4"/>
  <c r="AL14" i="4"/>
  <c r="AI52" i="4"/>
  <c r="AJ52" i="4" s="1"/>
  <c r="AI55" i="4"/>
  <c r="AJ55" i="4" s="1"/>
  <c r="AQ62" i="4"/>
  <c r="AR62" i="4" s="1"/>
  <c r="AQ63" i="4"/>
  <c r="AR63" i="4" s="1"/>
  <c r="AQ5" i="4"/>
  <c r="AR5" i="4" s="1"/>
  <c r="AQ43" i="4"/>
  <c r="AR43" i="4" s="1"/>
  <c r="BJ61" i="4"/>
  <c r="AE50" i="4"/>
  <c r="AF50" i="4" s="1"/>
  <c r="AT30" i="4"/>
  <c r="BJ20" i="4"/>
  <c r="BK20" i="4" s="1"/>
  <c r="BL20" i="4" s="1"/>
  <c r="AQ26" i="4"/>
  <c r="AR26" i="4" s="1"/>
  <c r="AX46" i="4"/>
  <c r="AQ57" i="4"/>
  <c r="AR57" i="4" s="1"/>
  <c r="BN49" i="4"/>
  <c r="AQ47" i="4"/>
  <c r="AR47" i="4" s="1"/>
  <c r="BN35" i="4"/>
  <c r="BJ23" i="4"/>
  <c r="BN47" i="4"/>
  <c r="AL51" i="4"/>
  <c r="BJ24" i="4"/>
  <c r="AI50" i="4"/>
  <c r="AJ50" i="4" s="1"/>
  <c r="BN29" i="4"/>
  <c r="AQ55" i="4"/>
  <c r="AR55" i="4" s="1"/>
  <c r="AQ39" i="4"/>
  <c r="AR39" i="4" s="1"/>
  <c r="AD23" i="4"/>
  <c r="AE23" i="4" s="1"/>
  <c r="AF23" i="4" s="1"/>
  <c r="AI38" i="4"/>
  <c r="AJ38" i="4" s="1"/>
  <c r="BB56" i="4"/>
  <c r="AI47" i="4"/>
  <c r="AJ47" i="4" s="1"/>
  <c r="AQ51" i="4"/>
  <c r="AR51" i="4" s="1"/>
  <c r="AI43" i="4"/>
  <c r="AJ43" i="4" s="1"/>
  <c r="AI42" i="4"/>
  <c r="AJ42" i="4" s="1"/>
  <c r="AI16" i="4"/>
  <c r="AJ16" i="4" s="1"/>
  <c r="AQ61" i="4"/>
  <c r="AR61" i="4" s="1"/>
  <c r="AQ25" i="4"/>
  <c r="AR25" i="4" s="1"/>
  <c r="AQ53" i="4"/>
  <c r="AR53" i="4" s="1"/>
  <c r="AQ38" i="4"/>
  <c r="AR38" i="4" s="1"/>
  <c r="BJ56" i="4"/>
  <c r="AX7" i="4"/>
  <c r="AX15" i="4"/>
  <c r="AX4" i="4"/>
  <c r="AX12" i="4"/>
  <c r="AX20" i="4"/>
  <c r="AY20" i="4" s="1"/>
  <c r="AZ20" i="4" s="1"/>
  <c r="AX29" i="4"/>
  <c r="AY29" i="4" s="1"/>
  <c r="AZ29" i="4" s="1"/>
  <c r="AX23" i="4"/>
  <c r="AY23" i="4" s="1"/>
  <c r="AZ23" i="4" s="1"/>
  <c r="AX35" i="4"/>
  <c r="AX5" i="4"/>
  <c r="AX40" i="4"/>
  <c r="AX18" i="4"/>
  <c r="AX49" i="4"/>
  <c r="AX8" i="4"/>
  <c r="AX25" i="4"/>
  <c r="AX39" i="4"/>
  <c r="AX19" i="4"/>
  <c r="AX56" i="4"/>
  <c r="AX52" i="4"/>
  <c r="AX59" i="4"/>
  <c r="AW67" i="4"/>
  <c r="AY41" i="4" s="1"/>
  <c r="AZ41" i="4" s="1"/>
  <c r="AX16" i="4"/>
  <c r="AY16" i="4" s="1"/>
  <c r="AZ16" i="4" s="1"/>
  <c r="AX14" i="4"/>
  <c r="AY14" i="4" s="1"/>
  <c r="AZ14" i="4" s="1"/>
  <c r="AX21" i="4"/>
  <c r="AY21" i="4" s="1"/>
  <c r="AZ21" i="4" s="1"/>
  <c r="AX31" i="4"/>
  <c r="AX10" i="4"/>
  <c r="AX28" i="4"/>
  <c r="AX53" i="4"/>
  <c r="AX47" i="4"/>
  <c r="AX45" i="4"/>
  <c r="AX51" i="4"/>
  <c r="AX61" i="4"/>
  <c r="AX6" i="4"/>
  <c r="AX37" i="4"/>
  <c r="AX9" i="4"/>
  <c r="AX50" i="4"/>
  <c r="AX42" i="4"/>
  <c r="AX62" i="4"/>
  <c r="AY62" i="4" s="1"/>
  <c r="AZ62" i="4" s="1"/>
  <c r="AX64" i="4"/>
  <c r="AY64" i="4" s="1"/>
  <c r="AZ64" i="4" s="1"/>
  <c r="AX57" i="4"/>
  <c r="AY57" i="4" s="1"/>
  <c r="AZ57" i="4" s="1"/>
  <c r="AX63" i="4"/>
  <c r="AX43" i="4"/>
  <c r="AX27" i="4"/>
  <c r="AX58" i="4"/>
  <c r="AX32" i="4"/>
  <c r="AX33" i="4"/>
  <c r="AX48" i="4"/>
  <c r="AT9" i="4"/>
  <c r="AT17" i="4"/>
  <c r="AT23" i="4"/>
  <c r="AT6" i="4"/>
  <c r="AT14" i="4"/>
  <c r="AT12" i="4"/>
  <c r="AT39" i="4"/>
  <c r="AT13" i="4"/>
  <c r="AT24" i="4"/>
  <c r="AT48" i="4"/>
  <c r="AT53" i="4"/>
  <c r="AT7" i="4"/>
  <c r="AT22" i="4"/>
  <c r="AT31" i="4"/>
  <c r="AT38" i="4"/>
  <c r="AT16" i="4"/>
  <c r="AT56" i="4"/>
  <c r="AT50" i="4"/>
  <c r="AT35" i="4"/>
  <c r="AS67" i="4"/>
  <c r="AU21" i="4" s="1"/>
  <c r="AV21" i="4" s="1"/>
  <c r="AT33" i="4"/>
  <c r="AT5" i="4"/>
  <c r="AT60" i="4"/>
  <c r="AT57" i="4"/>
  <c r="AT11" i="4"/>
  <c r="AT20" i="4"/>
  <c r="AT25" i="4"/>
  <c r="AT42" i="4"/>
  <c r="AT8" i="4"/>
  <c r="AT62" i="4"/>
  <c r="AT29" i="4"/>
  <c r="AT51" i="4"/>
  <c r="AT61" i="4"/>
  <c r="AT40" i="4"/>
  <c r="AT45" i="4"/>
  <c r="AT10" i="4"/>
  <c r="AT32" i="4"/>
  <c r="AT4" i="4"/>
  <c r="AT43" i="4"/>
  <c r="AT55" i="4"/>
  <c r="AT52" i="4"/>
  <c r="AT63" i="4"/>
  <c r="AT47" i="4"/>
  <c r="AT41" i="4"/>
  <c r="AT36" i="4"/>
  <c r="AT15" i="4"/>
  <c r="AX30" i="4"/>
  <c r="BB14" i="4"/>
  <c r="AX34" i="4"/>
  <c r="AT19" i="4"/>
  <c r="AX60" i="4"/>
  <c r="BJ39" i="4"/>
  <c r="BJ55" i="4"/>
  <c r="AQ15" i="4"/>
  <c r="AR15" i="4" s="1"/>
  <c r="BN12" i="4"/>
  <c r="BN20" i="4"/>
  <c r="BN24" i="4"/>
  <c r="BN9" i="4"/>
  <c r="BN17" i="4"/>
  <c r="BN13" i="4"/>
  <c r="BN27" i="4"/>
  <c r="BN40" i="4"/>
  <c r="BN7" i="4"/>
  <c r="BN14" i="4"/>
  <c r="BN16" i="4"/>
  <c r="BN54" i="4"/>
  <c r="BN6" i="4"/>
  <c r="BN31" i="4"/>
  <c r="BN37" i="4"/>
  <c r="BN34" i="4"/>
  <c r="BO34" i="4" s="1"/>
  <c r="BP34" i="4" s="1"/>
  <c r="BN38" i="4"/>
  <c r="BN50" i="4"/>
  <c r="BN41" i="4"/>
  <c r="BN25" i="4"/>
  <c r="BN53" i="4"/>
  <c r="BN56" i="4"/>
  <c r="BN39" i="4"/>
  <c r="BN57" i="4"/>
  <c r="BN42" i="4"/>
  <c r="BN8" i="4"/>
  <c r="BN15" i="4"/>
  <c r="BN33" i="4"/>
  <c r="BN43" i="4"/>
  <c r="BN36" i="4"/>
  <c r="BN28" i="4"/>
  <c r="BN26" i="4"/>
  <c r="BO26" i="4" s="1"/>
  <c r="BP26" i="4" s="1"/>
  <c r="BN61" i="4"/>
  <c r="BN63" i="4"/>
  <c r="BN62" i="4"/>
  <c r="BN52" i="4"/>
  <c r="BN5" i="4"/>
  <c r="BN64" i="4"/>
  <c r="BN32" i="4"/>
  <c r="BN51" i="4"/>
  <c r="BN48" i="4"/>
  <c r="BN55" i="4"/>
  <c r="BN10" i="4"/>
  <c r="BN23" i="4"/>
  <c r="BM67" i="4"/>
  <c r="BO18" i="4" s="1"/>
  <c r="BP18" i="4" s="1"/>
  <c r="AQ4" i="4"/>
  <c r="AR4" i="4" s="1"/>
  <c r="AT49" i="4"/>
  <c r="AE55" i="4"/>
  <c r="AF55" i="4" s="1"/>
  <c r="AQ10" i="4"/>
  <c r="AR10" i="4" s="1"/>
  <c r="AQ18" i="4"/>
  <c r="AR18" i="4" s="1"/>
  <c r="AX54" i="4"/>
  <c r="BB37" i="4"/>
  <c r="AX13" i="4"/>
  <c r="AI13" i="4"/>
  <c r="AJ13" i="4" s="1"/>
  <c r="AQ46" i="4"/>
  <c r="AR46" i="4" s="1"/>
  <c r="AX44" i="4"/>
  <c r="BJ31" i="4"/>
  <c r="AX17" i="4"/>
  <c r="AT27" i="4"/>
  <c r="AQ29" i="4"/>
  <c r="AR29" i="4" s="1"/>
  <c r="AQ24" i="4"/>
  <c r="AR24" i="4" s="1"/>
  <c r="AI25" i="4"/>
  <c r="AJ25" i="4" s="1"/>
  <c r="AI32" i="4"/>
  <c r="AJ32" i="4" s="1"/>
  <c r="AT44" i="4"/>
  <c r="BJ58" i="4"/>
  <c r="AT64" i="4"/>
  <c r="AI28" i="4"/>
  <c r="AJ28" i="4" s="1"/>
  <c r="AI27" i="4"/>
  <c r="AJ27" i="4" s="1"/>
  <c r="AI46" i="4"/>
  <c r="AJ46" i="4" s="1"/>
  <c r="AQ44" i="4"/>
  <c r="AR44" i="4" s="1"/>
  <c r="AQ30" i="4"/>
  <c r="AR30" i="4" s="1"/>
  <c r="AQ40" i="4"/>
  <c r="AR40" i="4" s="1"/>
  <c r="AQ33" i="4"/>
  <c r="AR33" i="4" s="1"/>
  <c r="BS64" i="4"/>
  <c r="BT64" i="4" s="1"/>
  <c r="BS23" i="4"/>
  <c r="BT23" i="4" s="1"/>
  <c r="AT26" i="4"/>
  <c r="BO4" i="4"/>
  <c r="BP4" i="4" s="1"/>
  <c r="AE35" i="4"/>
  <c r="AF35" i="4" s="1"/>
  <c r="AT28" i="4"/>
  <c r="AX24" i="4"/>
  <c r="AT58" i="4"/>
  <c r="AX36" i="4"/>
  <c r="BB38" i="4"/>
  <c r="AQ35" i="4"/>
  <c r="AR35" i="4" s="1"/>
  <c r="AQ14" i="4"/>
  <c r="AR14" i="4" s="1"/>
  <c r="AT34" i="4"/>
  <c r="AL8" i="4"/>
  <c r="AL16" i="4"/>
  <c r="AL26" i="4"/>
  <c r="AL5" i="4"/>
  <c r="AL13" i="4"/>
  <c r="AL21" i="4"/>
  <c r="AL25" i="4"/>
  <c r="AM25" i="4" s="1"/>
  <c r="AN25" i="4" s="1"/>
  <c r="AL28" i="4"/>
  <c r="AL42" i="4"/>
  <c r="AL15" i="4"/>
  <c r="AL32" i="4"/>
  <c r="AL47" i="4"/>
  <c r="AL6" i="4"/>
  <c r="AL10" i="4"/>
  <c r="AL30" i="4"/>
  <c r="AL43" i="4"/>
  <c r="AL58" i="4"/>
  <c r="AL48" i="4"/>
  <c r="AL55" i="4"/>
  <c r="AL36" i="4"/>
  <c r="AL41" i="4"/>
  <c r="AK67" i="4"/>
  <c r="AM45" i="4" s="1"/>
  <c r="AN45" i="4" s="1"/>
  <c r="AL27" i="4"/>
  <c r="AM27" i="4" s="1"/>
  <c r="AN27" i="4" s="1"/>
  <c r="AL7" i="4"/>
  <c r="AL9" i="4"/>
  <c r="AL34" i="4"/>
  <c r="AL62" i="4"/>
  <c r="AL22" i="4"/>
  <c r="AL33" i="4"/>
  <c r="AL61" i="4"/>
  <c r="AL4" i="4"/>
  <c r="AL20" i="4"/>
  <c r="AL35" i="4"/>
  <c r="AL38" i="4"/>
  <c r="AL39" i="4"/>
  <c r="AL46" i="4"/>
  <c r="AL63" i="4"/>
  <c r="AL64" i="4"/>
  <c r="AM64" i="4" s="1"/>
  <c r="AN64" i="4" s="1"/>
  <c r="AL44" i="4"/>
  <c r="AM44" i="4" s="1"/>
  <c r="AN44" i="4" s="1"/>
  <c r="AL53" i="4"/>
  <c r="AL60" i="4"/>
  <c r="AL19" i="4"/>
  <c r="AL29" i="4"/>
  <c r="AL49" i="4"/>
  <c r="AL12" i="4"/>
  <c r="AL23" i="4"/>
  <c r="AL52" i="4"/>
  <c r="AL59" i="4"/>
  <c r="AL24" i="4"/>
  <c r="AQ42" i="4"/>
  <c r="AR42" i="4" s="1"/>
  <c r="AQ6" i="4"/>
  <c r="AR6" i="4" s="1"/>
  <c r="BN58" i="4"/>
  <c r="AD29" i="4"/>
  <c r="BB27" i="4"/>
  <c r="AI4" i="4"/>
  <c r="AJ4" i="4" s="1"/>
  <c r="AQ31" i="4"/>
  <c r="AR31" i="4" s="1"/>
  <c r="AL11" i="4"/>
  <c r="BB51" i="4"/>
  <c r="AL50" i="4"/>
  <c r="AI34" i="4"/>
  <c r="AJ34" i="4" s="1"/>
  <c r="AI35" i="4"/>
  <c r="AJ35" i="4" s="1"/>
  <c r="AQ37" i="4"/>
  <c r="AR37" i="4" s="1"/>
  <c r="AL57" i="4"/>
  <c r="BB26" i="4"/>
  <c r="BB55" i="4"/>
  <c r="BN22" i="4"/>
  <c r="BB33" i="4"/>
  <c r="BF22" i="4"/>
  <c r="BF11" i="4"/>
  <c r="BF19" i="4"/>
  <c r="BG19" i="4" s="1"/>
  <c r="BH19" i="4" s="1"/>
  <c r="BF27" i="4"/>
  <c r="BF8" i="4"/>
  <c r="BF16" i="4"/>
  <c r="BF14" i="4"/>
  <c r="BF43" i="4"/>
  <c r="BF15" i="4"/>
  <c r="BF25" i="4"/>
  <c r="BF28" i="4"/>
  <c r="BF37" i="4"/>
  <c r="BF9" i="4"/>
  <c r="BF6" i="4"/>
  <c r="BF10" i="4"/>
  <c r="BF30" i="4"/>
  <c r="BF40" i="4"/>
  <c r="BF52" i="4"/>
  <c r="BF29" i="4"/>
  <c r="BG29" i="4" s="1"/>
  <c r="BH29" i="4" s="1"/>
  <c r="BF4" i="4"/>
  <c r="BF33" i="4"/>
  <c r="BF45" i="4"/>
  <c r="BF47" i="4"/>
  <c r="BF20" i="4"/>
  <c r="BF38" i="4"/>
  <c r="BF51" i="4"/>
  <c r="BF35" i="4"/>
  <c r="BF54" i="4"/>
  <c r="BF39" i="4"/>
  <c r="BF42" i="4"/>
  <c r="BF48" i="4"/>
  <c r="BF44" i="4"/>
  <c r="BF24" i="4"/>
  <c r="BE67" i="4"/>
  <c r="BG57" i="4" s="1"/>
  <c r="BH57" i="4" s="1"/>
  <c r="BF12" i="4"/>
  <c r="BG12" i="4" s="1"/>
  <c r="BH12" i="4" s="1"/>
  <c r="BF21" i="4"/>
  <c r="BF17" i="4"/>
  <c r="BF32" i="4"/>
  <c r="BF26" i="4"/>
  <c r="BF58" i="4"/>
  <c r="BF55" i="4"/>
  <c r="BF41" i="4"/>
  <c r="BF23" i="4"/>
  <c r="BF36" i="4"/>
  <c r="BF59" i="4"/>
  <c r="BF34" i="4"/>
  <c r="BF56" i="4"/>
  <c r="BF61" i="4"/>
  <c r="BF49" i="4"/>
  <c r="BF13" i="4"/>
  <c r="BF18" i="4"/>
  <c r="BG18" i="4" s="1"/>
  <c r="BH18" i="4" s="1"/>
  <c r="BF31" i="4"/>
  <c r="BF46" i="4"/>
  <c r="BF53" i="4"/>
  <c r="BF60" i="4"/>
  <c r="BF62" i="4"/>
  <c r="BF64" i="4"/>
  <c r="BF5" i="4"/>
  <c r="BF7" i="4"/>
  <c r="BF50" i="4"/>
  <c r="BF63" i="4"/>
  <c r="AT46" i="4"/>
  <c r="Z4" i="4"/>
  <c r="Z28" i="4"/>
  <c r="Z9" i="4"/>
  <c r="Z17" i="4"/>
  <c r="Z6" i="4"/>
  <c r="Z14" i="4"/>
  <c r="Z22" i="4"/>
  <c r="Z27" i="4"/>
  <c r="Z5" i="4"/>
  <c r="Z23" i="4"/>
  <c r="Z30" i="4"/>
  <c r="Z38" i="4"/>
  <c r="Z18" i="4"/>
  <c r="Z33" i="4"/>
  <c r="Z43" i="4"/>
  <c r="Z19" i="4"/>
  <c r="Z20" i="4"/>
  <c r="Z39" i="4"/>
  <c r="Z48" i="4"/>
  <c r="Z37" i="4"/>
  <c r="Z26" i="4"/>
  <c r="Z44" i="4"/>
  <c r="Z52" i="4"/>
  <c r="Z13" i="4"/>
  <c r="Z25" i="4"/>
  <c r="Z42" i="4"/>
  <c r="Z15" i="4"/>
  <c r="Z24" i="4"/>
  <c r="Z32" i="4"/>
  <c r="Z49" i="4"/>
  <c r="Z21" i="4"/>
  <c r="Z10" i="4"/>
  <c r="Z56" i="4"/>
  <c r="Z53" i="4"/>
  <c r="Z60" i="4"/>
  <c r="Z12" i="4"/>
  <c r="Z31" i="4"/>
  <c r="Z50" i="4"/>
  <c r="Z8" i="4"/>
  <c r="Z29" i="4"/>
  <c r="Z11" i="4"/>
  <c r="Z46" i="4"/>
  <c r="Z36" i="4"/>
  <c r="Z41" i="4"/>
  <c r="Z54" i="4"/>
  <c r="Z47" i="4"/>
  <c r="Z63" i="4"/>
  <c r="Z7" i="4"/>
  <c r="Z51" i="4"/>
  <c r="Z64" i="4"/>
  <c r="Y67" i="4"/>
  <c r="AA58" i="4" s="1"/>
  <c r="AB58" i="4" s="1"/>
  <c r="Z40" i="4"/>
  <c r="Z34" i="4"/>
  <c r="Z55" i="4"/>
  <c r="Z45" i="4"/>
  <c r="Z35" i="4"/>
  <c r="Z62" i="4"/>
  <c r="Z16" i="4"/>
  <c r="Z61" i="4"/>
  <c r="AI61" i="4"/>
  <c r="AJ61" i="4" s="1"/>
  <c r="AI29" i="4"/>
  <c r="AJ29" i="4" s="1"/>
  <c r="AQ49" i="4"/>
  <c r="AR49" i="4" s="1"/>
  <c r="AQ45" i="4"/>
  <c r="AR45" i="4" s="1"/>
  <c r="AQ32" i="4"/>
  <c r="AR32" i="4" s="1"/>
  <c r="AQ13" i="4"/>
  <c r="AR13" i="4" s="1"/>
  <c r="BS37" i="4"/>
  <c r="BT37" i="4" s="1"/>
  <c r="BS63" i="4"/>
  <c r="BT63" i="4" s="1"/>
  <c r="BS12" i="4"/>
  <c r="BT12" i="4" s="1"/>
  <c r="AX38" i="4"/>
  <c r="AD46" i="3"/>
  <c r="AH24" i="3"/>
  <c r="AD62" i="3"/>
  <c r="AD24" i="3"/>
  <c r="AH22" i="3"/>
  <c r="AD19" i="3"/>
  <c r="AD54" i="3"/>
  <c r="AH29" i="3"/>
  <c r="AD40" i="3"/>
  <c r="AH38" i="3"/>
  <c r="AD55" i="3"/>
  <c r="AH30" i="3"/>
  <c r="AH54" i="3"/>
  <c r="AD9" i="3"/>
  <c r="AH7" i="3"/>
  <c r="AD7" i="3"/>
  <c r="AD8" i="3"/>
  <c r="AD56" i="3"/>
  <c r="AD44" i="3"/>
  <c r="AH39" i="3"/>
  <c r="AD15" i="3"/>
  <c r="AD10" i="3"/>
  <c r="AH64" i="3"/>
  <c r="AH56" i="3"/>
  <c r="AD42" i="3"/>
  <c r="AD35" i="3"/>
  <c r="AD25" i="3"/>
  <c r="AD51" i="3"/>
  <c r="AH14" i="3"/>
  <c r="AH15" i="3"/>
  <c r="AH26" i="3"/>
  <c r="AH49" i="3"/>
  <c r="AD6" i="3"/>
  <c r="AD27" i="3"/>
  <c r="AH59" i="3"/>
  <c r="AH34" i="3"/>
  <c r="AD58" i="3"/>
  <c r="AD21" i="3"/>
  <c r="AH11" i="3"/>
  <c r="AD22" i="3"/>
  <c r="AD43" i="3"/>
  <c r="AH12" i="3"/>
  <c r="AH51" i="3"/>
  <c r="AD20" i="3"/>
  <c r="AD52" i="3"/>
  <c r="AD11" i="3"/>
  <c r="AD38" i="3"/>
  <c r="AD28" i="3"/>
  <c r="AH13" i="3"/>
  <c r="AH52" i="3"/>
  <c r="AH46" i="3"/>
  <c r="AH5" i="3"/>
  <c r="AH37" i="3"/>
  <c r="AH32" i="3"/>
  <c r="AH58" i="3"/>
  <c r="AH62" i="3"/>
  <c r="AH31" i="3"/>
  <c r="AH63" i="3"/>
  <c r="AH16" i="3"/>
  <c r="AH17" i="3"/>
  <c r="AH19" i="3"/>
  <c r="AH55" i="3"/>
  <c r="AG68" i="3"/>
  <c r="AI4" i="3" s="1"/>
  <c r="AJ4" i="3" s="1"/>
  <c r="AH42" i="3"/>
  <c r="AH50" i="3"/>
  <c r="AH25" i="3"/>
  <c r="AH41" i="3"/>
  <c r="AH61" i="3"/>
  <c r="AH33" i="3"/>
  <c r="AH47" i="3"/>
  <c r="AH23" i="3"/>
  <c r="AH43" i="3"/>
  <c r="AH40" i="3"/>
  <c r="AH35" i="3"/>
  <c r="AH28" i="3"/>
  <c r="AD36" i="3"/>
  <c r="AD26" i="3"/>
  <c r="AH9" i="3"/>
  <c r="AH20" i="3"/>
  <c r="AH60" i="3"/>
  <c r="AH8" i="3"/>
  <c r="AH44" i="3"/>
  <c r="AH21" i="3"/>
  <c r="AH10" i="3"/>
  <c r="AH53" i="3"/>
  <c r="AH27" i="3"/>
  <c r="AH18" i="3"/>
  <c r="AH48" i="3"/>
  <c r="AC68" i="3"/>
  <c r="AD4" i="3"/>
  <c r="AH57" i="3"/>
  <c r="AH6" i="3"/>
  <c r="AH45" i="3"/>
  <c r="AH36" i="3"/>
  <c r="AD31" i="3"/>
  <c r="AD47" i="3"/>
  <c r="AD63" i="3"/>
  <c r="AD18" i="3"/>
  <c r="AD23" i="3"/>
  <c r="AD59" i="3"/>
  <c r="AD32" i="3"/>
  <c r="AD34" i="3"/>
  <c r="AD39" i="3"/>
  <c r="AD12" i="3"/>
  <c r="AD48" i="3"/>
  <c r="AD64" i="3"/>
  <c r="AD17" i="3"/>
  <c r="AD33" i="3"/>
  <c r="AD37" i="3"/>
  <c r="AD41" i="3"/>
  <c r="AD45" i="3"/>
  <c r="AD49" i="3"/>
  <c r="AD53" i="3"/>
  <c r="AD57" i="3"/>
  <c r="AD61" i="3"/>
  <c r="AD65" i="3"/>
  <c r="Y66" i="3"/>
  <c r="Z4" i="3" s="1"/>
  <c r="BQ64" i="1"/>
  <c r="BM64" i="1"/>
  <c r="BI64" i="1"/>
  <c r="BE64" i="1"/>
  <c r="BA64" i="1"/>
  <c r="AW64" i="1"/>
  <c r="AS64" i="1"/>
  <c r="AO64" i="1"/>
  <c r="AK64" i="1"/>
  <c r="AG64" i="1"/>
  <c r="AC64" i="1"/>
  <c r="Y64" i="1"/>
  <c r="BQ63" i="1"/>
  <c r="BM63" i="1"/>
  <c r="BI63" i="1"/>
  <c r="BE63" i="1"/>
  <c r="BA63" i="1"/>
  <c r="AW63" i="1"/>
  <c r="AS63" i="1"/>
  <c r="AO63" i="1"/>
  <c r="AK63" i="1"/>
  <c r="AG63" i="1"/>
  <c r="AC63" i="1"/>
  <c r="Y63" i="1"/>
  <c r="BQ62" i="1"/>
  <c r="BM62" i="1"/>
  <c r="BI62" i="1"/>
  <c r="BE62" i="1"/>
  <c r="BA62" i="1"/>
  <c r="AW62" i="1"/>
  <c r="AS62" i="1"/>
  <c r="AO62" i="1"/>
  <c r="AK62" i="1"/>
  <c r="AG62" i="1"/>
  <c r="AC62" i="1"/>
  <c r="Y62" i="1"/>
  <c r="BQ61" i="1"/>
  <c r="BM61" i="1"/>
  <c r="BI61" i="1"/>
  <c r="BE61" i="1"/>
  <c r="BA61" i="1"/>
  <c r="AW61" i="1"/>
  <c r="AS61" i="1"/>
  <c r="AO61" i="1"/>
  <c r="AK61" i="1"/>
  <c r="AG61" i="1"/>
  <c r="AC61" i="1"/>
  <c r="Y61" i="1"/>
  <c r="BQ60" i="1"/>
  <c r="BM60" i="1"/>
  <c r="BI60" i="1"/>
  <c r="BE60" i="1"/>
  <c r="BA60" i="1"/>
  <c r="AW60" i="1"/>
  <c r="AS60" i="1"/>
  <c r="AO60" i="1"/>
  <c r="AK60" i="1"/>
  <c r="AG60" i="1"/>
  <c r="AC60" i="1"/>
  <c r="Y60" i="1"/>
  <c r="BQ59" i="1"/>
  <c r="BM59" i="1"/>
  <c r="BI59" i="1"/>
  <c r="BE59" i="1"/>
  <c r="BA59" i="1"/>
  <c r="AW59" i="1"/>
  <c r="AS59" i="1"/>
  <c r="AO59" i="1"/>
  <c r="AK59" i="1"/>
  <c r="AG59" i="1"/>
  <c r="AC59" i="1"/>
  <c r="Y59" i="1"/>
  <c r="BQ58" i="1"/>
  <c r="BM58" i="1"/>
  <c r="BI58" i="1"/>
  <c r="BE58" i="1"/>
  <c r="BA58" i="1"/>
  <c r="AW58" i="1"/>
  <c r="AS58" i="1"/>
  <c r="AO58" i="1"/>
  <c r="AK58" i="1"/>
  <c r="AG58" i="1"/>
  <c r="AC58" i="1"/>
  <c r="Y58" i="1"/>
  <c r="BQ57" i="1"/>
  <c r="BM57" i="1"/>
  <c r="BI57" i="1"/>
  <c r="BE57" i="1"/>
  <c r="BA57" i="1"/>
  <c r="AW57" i="1"/>
  <c r="AS57" i="1"/>
  <c r="AO57" i="1"/>
  <c r="AK57" i="1"/>
  <c r="AG57" i="1"/>
  <c r="AC57" i="1"/>
  <c r="Y57" i="1"/>
  <c r="BQ56" i="1"/>
  <c r="BM56" i="1"/>
  <c r="BI56" i="1"/>
  <c r="BE56" i="1"/>
  <c r="BA56" i="1"/>
  <c r="AW56" i="1"/>
  <c r="AS56" i="1"/>
  <c r="AO56" i="1"/>
  <c r="AK56" i="1"/>
  <c r="AG56" i="1"/>
  <c r="AC56" i="1"/>
  <c r="Y56" i="1"/>
  <c r="BQ55" i="1"/>
  <c r="BM55" i="1"/>
  <c r="BI55" i="1"/>
  <c r="BE55" i="1"/>
  <c r="BA55" i="1"/>
  <c r="AW55" i="1"/>
  <c r="AS55" i="1"/>
  <c r="AO55" i="1"/>
  <c r="AK55" i="1"/>
  <c r="AG55" i="1"/>
  <c r="AC55" i="1"/>
  <c r="Y55" i="1"/>
  <c r="BQ54" i="1"/>
  <c r="BM54" i="1"/>
  <c r="BI54" i="1"/>
  <c r="BE54" i="1"/>
  <c r="BA54" i="1"/>
  <c r="AW54" i="1"/>
  <c r="AS54" i="1"/>
  <c r="AO54" i="1"/>
  <c r="AK54" i="1"/>
  <c r="AG54" i="1"/>
  <c r="AC54" i="1"/>
  <c r="Y54" i="1"/>
  <c r="BQ53" i="1"/>
  <c r="BM53" i="1"/>
  <c r="BI53" i="1"/>
  <c r="BE53" i="1"/>
  <c r="BA53" i="1"/>
  <c r="AW53" i="1"/>
  <c r="AS53" i="1"/>
  <c r="AO53" i="1"/>
  <c r="AK53" i="1"/>
  <c r="AG53" i="1"/>
  <c r="AC53" i="1"/>
  <c r="Y53" i="1"/>
  <c r="BQ52" i="1"/>
  <c r="BM52" i="1"/>
  <c r="BI52" i="1"/>
  <c r="BE52" i="1"/>
  <c r="BA52" i="1"/>
  <c r="AW52" i="1"/>
  <c r="AS52" i="1"/>
  <c r="AO52" i="1"/>
  <c r="AK52" i="1"/>
  <c r="AG52" i="1"/>
  <c r="AC52" i="1"/>
  <c r="Y52" i="1"/>
  <c r="BQ51" i="1"/>
  <c r="BM51" i="1"/>
  <c r="BI51" i="1"/>
  <c r="BE51" i="1"/>
  <c r="BA51" i="1"/>
  <c r="AW51" i="1"/>
  <c r="AS51" i="1"/>
  <c r="AO51" i="1"/>
  <c r="AK51" i="1"/>
  <c r="AG51" i="1"/>
  <c r="AC51" i="1"/>
  <c r="Y51" i="1"/>
  <c r="BQ50" i="1"/>
  <c r="BM50" i="1"/>
  <c r="BI50" i="1"/>
  <c r="BE50" i="1"/>
  <c r="BA50" i="1"/>
  <c r="AW50" i="1"/>
  <c r="AS50" i="1"/>
  <c r="AO50" i="1"/>
  <c r="AK50" i="1"/>
  <c r="AG50" i="1"/>
  <c r="AC50" i="1"/>
  <c r="Y50" i="1"/>
  <c r="BQ49" i="1"/>
  <c r="BM49" i="1"/>
  <c r="BI49" i="1"/>
  <c r="BE49" i="1"/>
  <c r="BA49" i="1"/>
  <c r="AW49" i="1"/>
  <c r="AS49" i="1"/>
  <c r="AO49" i="1"/>
  <c r="AK49" i="1"/>
  <c r="AG49" i="1"/>
  <c r="AC49" i="1"/>
  <c r="Y49" i="1"/>
  <c r="BQ48" i="1"/>
  <c r="BM48" i="1"/>
  <c r="BI48" i="1"/>
  <c r="BE48" i="1"/>
  <c r="BA48" i="1"/>
  <c r="AW48" i="1"/>
  <c r="AS48" i="1"/>
  <c r="AO48" i="1"/>
  <c r="AK48" i="1"/>
  <c r="AG48" i="1"/>
  <c r="AC48" i="1"/>
  <c r="Y48" i="1"/>
  <c r="BQ47" i="1"/>
  <c r="BM47" i="1"/>
  <c r="BI47" i="1"/>
  <c r="BE47" i="1"/>
  <c r="BA47" i="1"/>
  <c r="AW47" i="1"/>
  <c r="AS47" i="1"/>
  <c r="AO47" i="1"/>
  <c r="AK47" i="1"/>
  <c r="AG47" i="1"/>
  <c r="AC47" i="1"/>
  <c r="Y47" i="1"/>
  <c r="BQ46" i="1"/>
  <c r="BM46" i="1"/>
  <c r="BI46" i="1"/>
  <c r="BE46" i="1"/>
  <c r="BA46" i="1"/>
  <c r="AW46" i="1"/>
  <c r="AS46" i="1"/>
  <c r="AO46" i="1"/>
  <c r="AK46" i="1"/>
  <c r="AG46" i="1"/>
  <c r="AC46" i="1"/>
  <c r="Y46" i="1"/>
  <c r="BQ45" i="1"/>
  <c r="BM45" i="1"/>
  <c r="BI45" i="1"/>
  <c r="BE45" i="1"/>
  <c r="BA45" i="1"/>
  <c r="AW45" i="1"/>
  <c r="AS45" i="1"/>
  <c r="AO45" i="1"/>
  <c r="AK45" i="1"/>
  <c r="AG45" i="1"/>
  <c r="AC45" i="1"/>
  <c r="Y45" i="1"/>
  <c r="BQ44" i="1"/>
  <c r="BM44" i="1"/>
  <c r="BI44" i="1"/>
  <c r="BE44" i="1"/>
  <c r="BA44" i="1"/>
  <c r="AW44" i="1"/>
  <c r="AS44" i="1"/>
  <c r="AO44" i="1"/>
  <c r="AK44" i="1"/>
  <c r="AG44" i="1"/>
  <c r="AC44" i="1"/>
  <c r="Y44" i="1"/>
  <c r="BQ43" i="1"/>
  <c r="BM43" i="1"/>
  <c r="BI43" i="1"/>
  <c r="BE43" i="1"/>
  <c r="BA43" i="1"/>
  <c r="AW43" i="1"/>
  <c r="AS43" i="1"/>
  <c r="AO43" i="1"/>
  <c r="AK43" i="1"/>
  <c r="AG43" i="1"/>
  <c r="AC43" i="1"/>
  <c r="Y43" i="1"/>
  <c r="BQ42" i="1"/>
  <c r="BM42" i="1"/>
  <c r="BI42" i="1"/>
  <c r="BE42" i="1"/>
  <c r="BA42" i="1"/>
  <c r="AW42" i="1"/>
  <c r="AS42" i="1"/>
  <c r="AO42" i="1"/>
  <c r="AK42" i="1"/>
  <c r="AG42" i="1"/>
  <c r="AC42" i="1"/>
  <c r="Y42" i="1"/>
  <c r="BQ41" i="1"/>
  <c r="BM41" i="1"/>
  <c r="BI41" i="1"/>
  <c r="BE41" i="1"/>
  <c r="BA41" i="1"/>
  <c r="AW41" i="1"/>
  <c r="AS41" i="1"/>
  <c r="AO41" i="1"/>
  <c r="AK41" i="1"/>
  <c r="AG41" i="1"/>
  <c r="AC41" i="1"/>
  <c r="Y41" i="1"/>
  <c r="BQ40" i="1"/>
  <c r="BM40" i="1"/>
  <c r="BI40" i="1"/>
  <c r="BE40" i="1"/>
  <c r="BA40" i="1"/>
  <c r="AW40" i="1"/>
  <c r="AS40" i="1"/>
  <c r="AO40" i="1"/>
  <c r="AK40" i="1"/>
  <c r="AG40" i="1"/>
  <c r="AC40" i="1"/>
  <c r="Y40" i="1"/>
  <c r="BQ39" i="1"/>
  <c r="BM39" i="1"/>
  <c r="BI39" i="1"/>
  <c r="BE39" i="1"/>
  <c r="BA39" i="1"/>
  <c r="AW39" i="1"/>
  <c r="AS39" i="1"/>
  <c r="AO39" i="1"/>
  <c r="AK39" i="1"/>
  <c r="AG39" i="1"/>
  <c r="AC39" i="1"/>
  <c r="Y39" i="1"/>
  <c r="BQ38" i="1"/>
  <c r="BM38" i="1"/>
  <c r="BI38" i="1"/>
  <c r="BE38" i="1"/>
  <c r="BA38" i="1"/>
  <c r="AW38" i="1"/>
  <c r="AS38" i="1"/>
  <c r="AO38" i="1"/>
  <c r="AK38" i="1"/>
  <c r="AG38" i="1"/>
  <c r="AC38" i="1"/>
  <c r="Y38" i="1"/>
  <c r="BQ37" i="1"/>
  <c r="BM37" i="1"/>
  <c r="BI37" i="1"/>
  <c r="BE37" i="1"/>
  <c r="BA37" i="1"/>
  <c r="AW37" i="1"/>
  <c r="AS37" i="1"/>
  <c r="AO37" i="1"/>
  <c r="AK37" i="1"/>
  <c r="AG37" i="1"/>
  <c r="AC37" i="1"/>
  <c r="Y37" i="1"/>
  <c r="BQ36" i="1"/>
  <c r="BM36" i="1"/>
  <c r="BI36" i="1"/>
  <c r="BE36" i="1"/>
  <c r="BA36" i="1"/>
  <c r="AW36" i="1"/>
  <c r="AS36" i="1"/>
  <c r="AO36" i="1"/>
  <c r="AK36" i="1"/>
  <c r="AG36" i="1"/>
  <c r="AC36" i="1"/>
  <c r="Y36" i="1"/>
  <c r="BQ35" i="1"/>
  <c r="BM35" i="1"/>
  <c r="BI35" i="1"/>
  <c r="BE35" i="1"/>
  <c r="BA35" i="1"/>
  <c r="AW35" i="1"/>
  <c r="AS35" i="1"/>
  <c r="AO35" i="1"/>
  <c r="AK35" i="1"/>
  <c r="AG35" i="1"/>
  <c r="AC35" i="1"/>
  <c r="Y35" i="1"/>
  <c r="BQ34" i="1"/>
  <c r="BM34" i="1"/>
  <c r="BI34" i="1"/>
  <c r="BE34" i="1"/>
  <c r="BA34" i="1"/>
  <c r="AW34" i="1"/>
  <c r="AS34" i="1"/>
  <c r="AO34" i="1"/>
  <c r="AK34" i="1"/>
  <c r="AG34" i="1"/>
  <c r="AC34" i="1"/>
  <c r="Y34" i="1"/>
  <c r="BQ33" i="1"/>
  <c r="BM33" i="1"/>
  <c r="BI33" i="1"/>
  <c r="BE33" i="1"/>
  <c r="BA33" i="1"/>
  <c r="AW33" i="1"/>
  <c r="AS33" i="1"/>
  <c r="AO33" i="1"/>
  <c r="AK33" i="1"/>
  <c r="AG33" i="1"/>
  <c r="AC33" i="1"/>
  <c r="Y33" i="1"/>
  <c r="BQ32" i="1"/>
  <c r="BM32" i="1"/>
  <c r="BI32" i="1"/>
  <c r="BE32" i="1"/>
  <c r="BA32" i="1"/>
  <c r="AW32" i="1"/>
  <c r="AS32" i="1"/>
  <c r="AO32" i="1"/>
  <c r="AK32" i="1"/>
  <c r="AG32" i="1"/>
  <c r="AC32" i="1"/>
  <c r="Y32" i="1"/>
  <c r="BQ31" i="1"/>
  <c r="BM31" i="1"/>
  <c r="BI31" i="1"/>
  <c r="BE31" i="1"/>
  <c r="BA31" i="1"/>
  <c r="AW31" i="1"/>
  <c r="AS31" i="1"/>
  <c r="AO31" i="1"/>
  <c r="AK31" i="1"/>
  <c r="AG31" i="1"/>
  <c r="AC31" i="1"/>
  <c r="Y31" i="1"/>
  <c r="BQ30" i="1"/>
  <c r="BM30" i="1"/>
  <c r="BI30" i="1"/>
  <c r="BE30" i="1"/>
  <c r="BA30" i="1"/>
  <c r="AW30" i="1"/>
  <c r="AS30" i="1"/>
  <c r="AO30" i="1"/>
  <c r="AK30" i="1"/>
  <c r="AG30" i="1"/>
  <c r="AC30" i="1"/>
  <c r="Y30" i="1"/>
  <c r="BQ29" i="1"/>
  <c r="BM29" i="1"/>
  <c r="BI29" i="1"/>
  <c r="BE29" i="1"/>
  <c r="BA29" i="1"/>
  <c r="AW29" i="1"/>
  <c r="AS29" i="1"/>
  <c r="AO29" i="1"/>
  <c r="AK29" i="1"/>
  <c r="AG29" i="1"/>
  <c r="AC29" i="1"/>
  <c r="Y29" i="1"/>
  <c r="BQ28" i="1"/>
  <c r="BM28" i="1"/>
  <c r="BI28" i="1"/>
  <c r="BE28" i="1"/>
  <c r="BA28" i="1"/>
  <c r="AW28" i="1"/>
  <c r="AS28" i="1"/>
  <c r="AO28" i="1"/>
  <c r="AK28" i="1"/>
  <c r="AG28" i="1"/>
  <c r="AC28" i="1"/>
  <c r="Y28" i="1"/>
  <c r="BQ27" i="1"/>
  <c r="BM27" i="1"/>
  <c r="BI27" i="1"/>
  <c r="BE27" i="1"/>
  <c r="BA27" i="1"/>
  <c r="AW27" i="1"/>
  <c r="AS27" i="1"/>
  <c r="AO27" i="1"/>
  <c r="AK27" i="1"/>
  <c r="AG27" i="1"/>
  <c r="AC27" i="1"/>
  <c r="Y27" i="1"/>
  <c r="BQ26" i="1"/>
  <c r="BM26" i="1"/>
  <c r="BI26" i="1"/>
  <c r="BE26" i="1"/>
  <c r="BA26" i="1"/>
  <c r="AW26" i="1"/>
  <c r="AS26" i="1"/>
  <c r="AO26" i="1"/>
  <c r="AK26" i="1"/>
  <c r="AG26" i="1"/>
  <c r="AC26" i="1"/>
  <c r="Y26" i="1"/>
  <c r="BQ25" i="1"/>
  <c r="BM25" i="1"/>
  <c r="BI25" i="1"/>
  <c r="BE25" i="1"/>
  <c r="BA25" i="1"/>
  <c r="AW25" i="1"/>
  <c r="AS25" i="1"/>
  <c r="AO25" i="1"/>
  <c r="AK25" i="1"/>
  <c r="AG25" i="1"/>
  <c r="AC25" i="1"/>
  <c r="Y25" i="1"/>
  <c r="BQ24" i="1"/>
  <c r="BM24" i="1"/>
  <c r="BI24" i="1"/>
  <c r="BE24" i="1"/>
  <c r="BA24" i="1"/>
  <c r="AW24" i="1"/>
  <c r="AS24" i="1"/>
  <c r="AO24" i="1"/>
  <c r="AK24" i="1"/>
  <c r="AG24" i="1"/>
  <c r="AC24" i="1"/>
  <c r="Y24" i="1"/>
  <c r="BQ23" i="1"/>
  <c r="BM23" i="1"/>
  <c r="BI23" i="1"/>
  <c r="BE23" i="1"/>
  <c r="BA23" i="1"/>
  <c r="AW23" i="1"/>
  <c r="AS23" i="1"/>
  <c r="AO23" i="1"/>
  <c r="AK23" i="1"/>
  <c r="AG23" i="1"/>
  <c r="AC23" i="1"/>
  <c r="Y23" i="1"/>
  <c r="BQ22" i="1"/>
  <c r="BM22" i="1"/>
  <c r="BI22" i="1"/>
  <c r="BE22" i="1"/>
  <c r="BA22" i="1"/>
  <c r="AW22" i="1"/>
  <c r="AS22" i="1"/>
  <c r="AO22" i="1"/>
  <c r="AK22" i="1"/>
  <c r="AG22" i="1"/>
  <c r="AC22" i="1"/>
  <c r="Y22" i="1"/>
  <c r="BQ21" i="1"/>
  <c r="BM21" i="1"/>
  <c r="BI21" i="1"/>
  <c r="BE21" i="1"/>
  <c r="BA21" i="1"/>
  <c r="AW21" i="1"/>
  <c r="AS21" i="1"/>
  <c r="AO21" i="1"/>
  <c r="AK21" i="1"/>
  <c r="AG21" i="1"/>
  <c r="AC21" i="1"/>
  <c r="Y21" i="1"/>
  <c r="BQ20" i="1"/>
  <c r="BM20" i="1"/>
  <c r="BI20" i="1"/>
  <c r="BE20" i="1"/>
  <c r="BA20" i="1"/>
  <c r="AW20" i="1"/>
  <c r="AS20" i="1"/>
  <c r="AO20" i="1"/>
  <c r="AK20" i="1"/>
  <c r="AG20" i="1"/>
  <c r="AC20" i="1"/>
  <c r="Y20" i="1"/>
  <c r="BQ19" i="1"/>
  <c r="BM19" i="1"/>
  <c r="BI19" i="1"/>
  <c r="BE19" i="1"/>
  <c r="BA19" i="1"/>
  <c r="AW19" i="1"/>
  <c r="AS19" i="1"/>
  <c r="AO19" i="1"/>
  <c r="AK19" i="1"/>
  <c r="AG19" i="1"/>
  <c r="AC19" i="1"/>
  <c r="Y19" i="1"/>
  <c r="BQ18" i="1"/>
  <c r="BM18" i="1"/>
  <c r="BI18" i="1"/>
  <c r="BE18" i="1"/>
  <c r="BA18" i="1"/>
  <c r="AW18" i="1"/>
  <c r="AS18" i="1"/>
  <c r="AO18" i="1"/>
  <c r="AK18" i="1"/>
  <c r="AG18" i="1"/>
  <c r="AC18" i="1"/>
  <c r="Y18" i="1"/>
  <c r="BQ17" i="1"/>
  <c r="BM17" i="1"/>
  <c r="BI17" i="1"/>
  <c r="BE17" i="1"/>
  <c r="BA17" i="1"/>
  <c r="AW17" i="1"/>
  <c r="AS17" i="1"/>
  <c r="AO17" i="1"/>
  <c r="AK17" i="1"/>
  <c r="AG17" i="1"/>
  <c r="AC17" i="1"/>
  <c r="Y17" i="1"/>
  <c r="BQ16" i="1"/>
  <c r="BM16" i="1"/>
  <c r="BI16" i="1"/>
  <c r="BE16" i="1"/>
  <c r="BA16" i="1"/>
  <c r="AW16" i="1"/>
  <c r="AS16" i="1"/>
  <c r="AO16" i="1"/>
  <c r="AK16" i="1"/>
  <c r="AG16" i="1"/>
  <c r="AC16" i="1"/>
  <c r="Y16" i="1"/>
  <c r="BQ15" i="1"/>
  <c r="BM15" i="1"/>
  <c r="BI15" i="1"/>
  <c r="BE15" i="1"/>
  <c r="BA15" i="1"/>
  <c r="AW15" i="1"/>
  <c r="AS15" i="1"/>
  <c r="AO15" i="1"/>
  <c r="AK15" i="1"/>
  <c r="AG15" i="1"/>
  <c r="AC15" i="1"/>
  <c r="Y15" i="1"/>
  <c r="BQ14" i="1"/>
  <c r="BM14" i="1"/>
  <c r="BI14" i="1"/>
  <c r="BE14" i="1"/>
  <c r="BA14" i="1"/>
  <c r="AW14" i="1"/>
  <c r="AS14" i="1"/>
  <c r="AO14" i="1"/>
  <c r="AK14" i="1"/>
  <c r="AG14" i="1"/>
  <c r="AC14" i="1"/>
  <c r="Y14" i="1"/>
  <c r="BQ13" i="1"/>
  <c r="BM13" i="1"/>
  <c r="BI13" i="1"/>
  <c r="BE13" i="1"/>
  <c r="BA13" i="1"/>
  <c r="AW13" i="1"/>
  <c r="AS13" i="1"/>
  <c r="AO13" i="1"/>
  <c r="AK13" i="1"/>
  <c r="AG13" i="1"/>
  <c r="AC13" i="1"/>
  <c r="Y13" i="1"/>
  <c r="BQ12" i="1"/>
  <c r="BM12" i="1"/>
  <c r="BI12" i="1"/>
  <c r="BE12" i="1"/>
  <c r="BA12" i="1"/>
  <c r="AW12" i="1"/>
  <c r="AS12" i="1"/>
  <c r="AO12" i="1"/>
  <c r="AK12" i="1"/>
  <c r="AG12" i="1"/>
  <c r="AC12" i="1"/>
  <c r="Y12" i="1"/>
  <c r="BQ11" i="1"/>
  <c r="BM11" i="1"/>
  <c r="BI11" i="1"/>
  <c r="BE11" i="1"/>
  <c r="BA11" i="1"/>
  <c r="AW11" i="1"/>
  <c r="AS11" i="1"/>
  <c r="AO11" i="1"/>
  <c r="AK11" i="1"/>
  <c r="AG11" i="1"/>
  <c r="AC11" i="1"/>
  <c r="Y11" i="1"/>
  <c r="BQ10" i="1"/>
  <c r="BM10" i="1"/>
  <c r="BI10" i="1"/>
  <c r="BE10" i="1"/>
  <c r="BA10" i="1"/>
  <c r="AW10" i="1"/>
  <c r="AS10" i="1"/>
  <c r="AO10" i="1"/>
  <c r="AK10" i="1"/>
  <c r="AG10" i="1"/>
  <c r="AC10" i="1"/>
  <c r="Y10" i="1"/>
  <c r="BQ9" i="1"/>
  <c r="BM9" i="1"/>
  <c r="BI9" i="1"/>
  <c r="BE9" i="1"/>
  <c r="BA9" i="1"/>
  <c r="AW9" i="1"/>
  <c r="AS9" i="1"/>
  <c r="AO9" i="1"/>
  <c r="AK9" i="1"/>
  <c r="AG9" i="1"/>
  <c r="AC9" i="1"/>
  <c r="Y9" i="1"/>
  <c r="BQ8" i="1"/>
  <c r="BM8" i="1"/>
  <c r="BI8" i="1"/>
  <c r="BE8" i="1"/>
  <c r="BA8" i="1"/>
  <c r="AW8" i="1"/>
  <c r="AS8" i="1"/>
  <c r="AO8" i="1"/>
  <c r="AK8" i="1"/>
  <c r="AG8" i="1"/>
  <c r="AC8" i="1"/>
  <c r="Y8" i="1"/>
  <c r="BQ7" i="1"/>
  <c r="BM7" i="1"/>
  <c r="BI7" i="1"/>
  <c r="BE7" i="1"/>
  <c r="BA7" i="1"/>
  <c r="AW7" i="1"/>
  <c r="AS7" i="1"/>
  <c r="AO7" i="1"/>
  <c r="AK7" i="1"/>
  <c r="AG7" i="1"/>
  <c r="AC7" i="1"/>
  <c r="Y7" i="1"/>
  <c r="BQ6" i="1"/>
  <c r="BM6" i="1"/>
  <c r="BI6" i="1"/>
  <c r="BE6" i="1"/>
  <c r="BA6" i="1"/>
  <c r="AW6" i="1"/>
  <c r="AS6" i="1"/>
  <c r="AO6" i="1"/>
  <c r="AK6" i="1"/>
  <c r="AG6" i="1"/>
  <c r="AC6" i="1"/>
  <c r="Y6" i="1"/>
  <c r="BQ5" i="1"/>
  <c r="BM5" i="1"/>
  <c r="BI5" i="1"/>
  <c r="BE5" i="1"/>
  <c r="BA5" i="1"/>
  <c r="AW5" i="1"/>
  <c r="AS5" i="1"/>
  <c r="AO5" i="1"/>
  <c r="AK5" i="1"/>
  <c r="AG5" i="1"/>
  <c r="AC5" i="1"/>
  <c r="Y5" i="1"/>
  <c r="BQ4" i="1"/>
  <c r="BM4" i="1"/>
  <c r="BI4" i="1"/>
  <c r="BE4" i="1"/>
  <c r="BA4" i="1"/>
  <c r="AW4" i="1"/>
  <c r="AS4" i="1"/>
  <c r="AO4" i="1"/>
  <c r="AK4" i="1"/>
  <c r="AG4" i="1"/>
  <c r="AC4" i="1"/>
  <c r="Y4" i="1"/>
  <c r="U65" i="3"/>
  <c r="L65" i="3"/>
  <c r="U64" i="3"/>
  <c r="L64" i="3"/>
  <c r="U63" i="3"/>
  <c r="L63" i="3"/>
  <c r="U62" i="3"/>
  <c r="L62" i="3"/>
  <c r="U61" i="3"/>
  <c r="L61" i="3"/>
  <c r="U60" i="3"/>
  <c r="L60" i="3"/>
  <c r="U59" i="3"/>
  <c r="L59" i="3"/>
  <c r="U58" i="3"/>
  <c r="L58" i="3"/>
  <c r="U57" i="3"/>
  <c r="L57" i="3"/>
  <c r="U56" i="3"/>
  <c r="L56" i="3"/>
  <c r="U55" i="3"/>
  <c r="L55" i="3"/>
  <c r="U54" i="3"/>
  <c r="L54" i="3"/>
  <c r="U53" i="3"/>
  <c r="L53" i="3"/>
  <c r="U52" i="3"/>
  <c r="L52" i="3"/>
  <c r="U51" i="3"/>
  <c r="L51" i="3"/>
  <c r="U50" i="3"/>
  <c r="L50" i="3"/>
  <c r="U49" i="3"/>
  <c r="L49" i="3"/>
  <c r="U48" i="3"/>
  <c r="L48" i="3"/>
  <c r="U47" i="3"/>
  <c r="L47" i="3"/>
  <c r="U46" i="3"/>
  <c r="L46" i="3"/>
  <c r="U45" i="3"/>
  <c r="L45" i="3"/>
  <c r="U44" i="3"/>
  <c r="L44" i="3"/>
  <c r="U43" i="3"/>
  <c r="L43" i="3"/>
  <c r="U42" i="3"/>
  <c r="L42" i="3"/>
  <c r="U41" i="3"/>
  <c r="L41" i="3"/>
  <c r="U40" i="3"/>
  <c r="L40" i="3"/>
  <c r="U39" i="3"/>
  <c r="L39" i="3"/>
  <c r="U38" i="3"/>
  <c r="L38" i="3"/>
  <c r="U37" i="3"/>
  <c r="L37" i="3"/>
  <c r="U36" i="3"/>
  <c r="L36" i="3"/>
  <c r="U35" i="3"/>
  <c r="L35" i="3"/>
  <c r="U34" i="3"/>
  <c r="L34" i="3"/>
  <c r="U33" i="3"/>
  <c r="L33" i="3"/>
  <c r="U32" i="3"/>
  <c r="L32" i="3"/>
  <c r="U31" i="3"/>
  <c r="L31" i="3"/>
  <c r="U30" i="3"/>
  <c r="L30" i="3"/>
  <c r="U29" i="3"/>
  <c r="L29" i="3"/>
  <c r="U28" i="3"/>
  <c r="L28" i="3"/>
  <c r="U27" i="3"/>
  <c r="L27" i="3"/>
  <c r="U26" i="3"/>
  <c r="L26" i="3"/>
  <c r="U25" i="3"/>
  <c r="L25" i="3"/>
  <c r="U24" i="3"/>
  <c r="L24" i="3"/>
  <c r="U23" i="3"/>
  <c r="L23" i="3"/>
  <c r="U22" i="3"/>
  <c r="L22" i="3"/>
  <c r="U21" i="3"/>
  <c r="L21" i="3"/>
  <c r="U20" i="3"/>
  <c r="L20" i="3"/>
  <c r="U19" i="3"/>
  <c r="L19" i="3"/>
  <c r="U18" i="3"/>
  <c r="L18" i="3"/>
  <c r="U17" i="3"/>
  <c r="L17" i="3"/>
  <c r="U16" i="3"/>
  <c r="L16" i="3"/>
  <c r="U15" i="3"/>
  <c r="L15" i="3"/>
  <c r="U14" i="3"/>
  <c r="L14" i="3"/>
  <c r="U13" i="3"/>
  <c r="L13" i="3"/>
  <c r="U12" i="3"/>
  <c r="L12" i="3"/>
  <c r="U11" i="3"/>
  <c r="L11" i="3"/>
  <c r="U10" i="3"/>
  <c r="L10" i="3"/>
  <c r="U9" i="3"/>
  <c r="L9" i="3"/>
  <c r="U8" i="3"/>
  <c r="L8" i="3"/>
  <c r="U7" i="3"/>
  <c r="L7" i="3"/>
  <c r="U6" i="3"/>
  <c r="L6" i="3"/>
  <c r="U5" i="3"/>
  <c r="L5" i="3"/>
  <c r="U4" i="3"/>
  <c r="L4" i="3"/>
  <c r="AM4" i="3" l="1"/>
  <c r="AQ41" i="3"/>
  <c r="AR41" i="3" s="1"/>
  <c r="AQ35" i="3"/>
  <c r="AR35" i="3" s="1"/>
  <c r="AQ43" i="3"/>
  <c r="AR43" i="3" s="1"/>
  <c r="AQ31" i="3"/>
  <c r="AR31" i="3" s="1"/>
  <c r="AQ57" i="3"/>
  <c r="AR57" i="3" s="1"/>
  <c r="AQ49" i="3"/>
  <c r="AR49" i="3" s="1"/>
  <c r="AQ27" i="3"/>
  <c r="AR27" i="3" s="1"/>
  <c r="AQ62" i="3"/>
  <c r="AR62" i="3" s="1"/>
  <c r="AQ54" i="3"/>
  <c r="AR54" i="3" s="1"/>
  <c r="AQ17" i="3"/>
  <c r="AR17" i="3" s="1"/>
  <c r="AQ11" i="3"/>
  <c r="AR11" i="3" s="1"/>
  <c r="AQ60" i="3"/>
  <c r="AR60" i="3" s="1"/>
  <c r="AQ29" i="3"/>
  <c r="AR29" i="3" s="1"/>
  <c r="AQ33" i="3"/>
  <c r="AR33" i="3" s="1"/>
  <c r="AQ36" i="3"/>
  <c r="AR36" i="3" s="1"/>
  <c r="AQ13" i="3"/>
  <c r="AR13" i="3" s="1"/>
  <c r="AQ64" i="3"/>
  <c r="AR64" i="3" s="1"/>
  <c r="AQ8" i="3"/>
  <c r="AR8" i="3" s="1"/>
  <c r="AQ42" i="3"/>
  <c r="AR42" i="3" s="1"/>
  <c r="AQ12" i="3"/>
  <c r="AR12" i="3" s="1"/>
  <c r="AQ63" i="3"/>
  <c r="AR63" i="3" s="1"/>
  <c r="AM5" i="3"/>
  <c r="AN5" i="3" s="1"/>
  <c r="AM28" i="3"/>
  <c r="AN28" i="3" s="1"/>
  <c r="AM23" i="3"/>
  <c r="AN23" i="3" s="1"/>
  <c r="AM46" i="3"/>
  <c r="AN46" i="3" s="1"/>
  <c r="AE20" i="3"/>
  <c r="AF20" i="3" s="1"/>
  <c r="AE4" i="3"/>
  <c r="AF4" i="3" s="1"/>
  <c r="AM65" i="3"/>
  <c r="AN65" i="3" s="1"/>
  <c r="AM17" i="3"/>
  <c r="AN17" i="3" s="1"/>
  <c r="AM25" i="3"/>
  <c r="AN25" i="3" s="1"/>
  <c r="AM61" i="3"/>
  <c r="AN61" i="3" s="1"/>
  <c r="AM33" i="3"/>
  <c r="AN33" i="3" s="1"/>
  <c r="AM42" i="3"/>
  <c r="AN42" i="3" s="1"/>
  <c r="AM45" i="3"/>
  <c r="AN45" i="3" s="1"/>
  <c r="AM54" i="3"/>
  <c r="AN54" i="3" s="1"/>
  <c r="AM57" i="3"/>
  <c r="AN57" i="3" s="1"/>
  <c r="AM55" i="3"/>
  <c r="AN55" i="3" s="1"/>
  <c r="AM19" i="3"/>
  <c r="AN19" i="3" s="1"/>
  <c r="AM10" i="3"/>
  <c r="AN10" i="3" s="1"/>
  <c r="AM48" i="3"/>
  <c r="AN48" i="3" s="1"/>
  <c r="AM56" i="3"/>
  <c r="AN56" i="3" s="1"/>
  <c r="AM37" i="3"/>
  <c r="AN37" i="3" s="1"/>
  <c r="AM60" i="3"/>
  <c r="AN60" i="3" s="1"/>
  <c r="AM34" i="3"/>
  <c r="AN34" i="3" s="1"/>
  <c r="AM63" i="3"/>
  <c r="AN63" i="3" s="1"/>
  <c r="AM52" i="3"/>
  <c r="AN52" i="3" s="1"/>
  <c r="AM38" i="3"/>
  <c r="AN38" i="3" s="1"/>
  <c r="AM64" i="3"/>
  <c r="AN64" i="3" s="1"/>
  <c r="AM29" i="3"/>
  <c r="AN29" i="3" s="1"/>
  <c r="AM21" i="3"/>
  <c r="AN21" i="3" s="1"/>
  <c r="AM8" i="3"/>
  <c r="AN8" i="3" s="1"/>
  <c r="AM14" i="3"/>
  <c r="AN14" i="3" s="1"/>
  <c r="AM6" i="3"/>
  <c r="AN6" i="3" s="1"/>
  <c r="AM9" i="3"/>
  <c r="AN9" i="3" s="1"/>
  <c r="AM27" i="3"/>
  <c r="AN27" i="3" s="1"/>
  <c r="AM41" i="3"/>
  <c r="AN41" i="3" s="1"/>
  <c r="AM51" i="3"/>
  <c r="AN51" i="3" s="1"/>
  <c r="AM12" i="3"/>
  <c r="AN12" i="3" s="1"/>
  <c r="AM26" i="3"/>
  <c r="AN26" i="3" s="1"/>
  <c r="AM59" i="3"/>
  <c r="AN59" i="3" s="1"/>
  <c r="AM47" i="3"/>
  <c r="AN47" i="3" s="1"/>
  <c r="AM39" i="3"/>
  <c r="AN39" i="3" s="1"/>
  <c r="AM31" i="3"/>
  <c r="AN31" i="3" s="1"/>
  <c r="AM11" i="3"/>
  <c r="AN11" i="3" s="1"/>
  <c r="AM40" i="3"/>
  <c r="AN40" i="3" s="1"/>
  <c r="AM18" i="3"/>
  <c r="AN18" i="3" s="1"/>
  <c r="AM44" i="3"/>
  <c r="AN44" i="3" s="1"/>
  <c r="AN4" i="3"/>
  <c r="AM49" i="3"/>
  <c r="AN49" i="3" s="1"/>
  <c r="AM32" i="3"/>
  <c r="AN32" i="3" s="1"/>
  <c r="AM22" i="3"/>
  <c r="AN22" i="3" s="1"/>
  <c r="AM15" i="3"/>
  <c r="AN15" i="3" s="1"/>
  <c r="AM62" i="3"/>
  <c r="AN62" i="3" s="1"/>
  <c r="AM7" i="3"/>
  <c r="AN7" i="3" s="1"/>
  <c r="AM20" i="3"/>
  <c r="AN20" i="3" s="1"/>
  <c r="AM30" i="3"/>
  <c r="AN30" i="3" s="1"/>
  <c r="AM36" i="3"/>
  <c r="AN36" i="3" s="1"/>
  <c r="AM53" i="3"/>
  <c r="AN53" i="3" s="1"/>
  <c r="AM35" i="3"/>
  <c r="AN35" i="3" s="1"/>
  <c r="AM58" i="3"/>
  <c r="AN58" i="3" s="1"/>
  <c r="AM24" i="3"/>
  <c r="AN24" i="3" s="1"/>
  <c r="AM13" i="3"/>
  <c r="AN13" i="3" s="1"/>
  <c r="AM16" i="3"/>
  <c r="AN16" i="3" s="1"/>
  <c r="AM50" i="3"/>
  <c r="AN50" i="3" s="1"/>
  <c r="AM43" i="3"/>
  <c r="AN43" i="3" s="1"/>
  <c r="AI51" i="3"/>
  <c r="AJ51" i="3" s="1"/>
  <c r="AE58" i="3"/>
  <c r="AF58" i="3" s="1"/>
  <c r="AB47" i="8"/>
  <c r="AC47" i="8" s="1"/>
  <c r="AB6" i="8"/>
  <c r="AC6" i="8" s="1"/>
  <c r="X51" i="8"/>
  <c r="Y51" i="8" s="1"/>
  <c r="AB13" i="8"/>
  <c r="AC13" i="8" s="1"/>
  <c r="AB26" i="8"/>
  <c r="AC26" i="8" s="1"/>
  <c r="AB36" i="8"/>
  <c r="AC36" i="8" s="1"/>
  <c r="AF48" i="8"/>
  <c r="AG48" i="8" s="1"/>
  <c r="N14" i="8"/>
  <c r="Q14" i="8" s="1"/>
  <c r="N6" i="8"/>
  <c r="Q6" i="8" s="1"/>
  <c r="X32" i="8"/>
  <c r="Y32" i="8" s="1"/>
  <c r="AF54" i="8"/>
  <c r="AG54" i="8" s="1"/>
  <c r="T37" i="8"/>
  <c r="U37" i="8" s="1"/>
  <c r="N17" i="8"/>
  <c r="Q17" i="8" s="1"/>
  <c r="AB19" i="8"/>
  <c r="AC19" i="8" s="1"/>
  <c r="N21" i="8"/>
  <c r="Q21" i="8" s="1"/>
  <c r="N46" i="8"/>
  <c r="Q46" i="8" s="1"/>
  <c r="AB27" i="8"/>
  <c r="AC27" i="8" s="1"/>
  <c r="T11" i="8"/>
  <c r="U11" i="8" s="1"/>
  <c r="X8" i="8"/>
  <c r="Y8" i="8" s="1"/>
  <c r="X49" i="8"/>
  <c r="Y49" i="8" s="1"/>
  <c r="AB12" i="8"/>
  <c r="AC12" i="8" s="1"/>
  <c r="AF36" i="8"/>
  <c r="AG36" i="8" s="1"/>
  <c r="AB5" i="8"/>
  <c r="AC5" i="8" s="1"/>
  <c r="AB10" i="8"/>
  <c r="AC10" i="8" s="1"/>
  <c r="AF31" i="8"/>
  <c r="AG31" i="8" s="1"/>
  <c r="X37" i="8"/>
  <c r="Y37" i="8" s="1"/>
  <c r="AB15" i="8"/>
  <c r="AC15" i="8" s="1"/>
  <c r="AB8" i="8"/>
  <c r="AC8" i="8" s="1"/>
  <c r="N44" i="8"/>
  <c r="Q44" i="8" s="1"/>
  <c r="AB54" i="8"/>
  <c r="AC54" i="8" s="1"/>
  <c r="X55" i="8"/>
  <c r="Y55" i="8" s="1"/>
  <c r="X40" i="8"/>
  <c r="Y40" i="8" s="1"/>
  <c r="AB14" i="8"/>
  <c r="AC14" i="8" s="1"/>
  <c r="AB41" i="8"/>
  <c r="AC41" i="8" s="1"/>
  <c r="N45" i="8"/>
  <c r="Q45" i="8" s="1"/>
  <c r="AB16" i="8"/>
  <c r="AC16" i="8" s="1"/>
  <c r="X14" i="8"/>
  <c r="Y14" i="8" s="1"/>
  <c r="AF10" i="8"/>
  <c r="AG10" i="8" s="1"/>
  <c r="T32" i="8"/>
  <c r="U32" i="8" s="1"/>
  <c r="T21" i="8"/>
  <c r="U21" i="8" s="1"/>
  <c r="X56" i="8"/>
  <c r="Y56" i="8" s="1"/>
  <c r="N5" i="8"/>
  <c r="Q5" i="8" s="1"/>
  <c r="N31" i="8"/>
  <c r="Q31" i="8" s="1"/>
  <c r="AF53" i="8"/>
  <c r="AG53" i="8" s="1"/>
  <c r="AB56" i="8"/>
  <c r="AC56" i="8" s="1"/>
  <c r="X24" i="8"/>
  <c r="Y24" i="8" s="1"/>
  <c r="AF50" i="8"/>
  <c r="AG50" i="8" s="1"/>
  <c r="AF9" i="8"/>
  <c r="AG9" i="8" s="1"/>
  <c r="N18" i="8"/>
  <c r="Q18" i="8" s="1"/>
  <c r="AB58" i="8"/>
  <c r="AC58" i="8" s="1"/>
  <c r="N57" i="8"/>
  <c r="Q57" i="8" s="1"/>
  <c r="AB11" i="8"/>
  <c r="AC11" i="8" s="1"/>
  <c r="N53" i="8"/>
  <c r="Q53" i="8" s="1"/>
  <c r="AB43" i="8"/>
  <c r="AC43" i="8" s="1"/>
  <c r="AF63" i="8"/>
  <c r="AG63" i="8" s="1"/>
  <c r="X21" i="8"/>
  <c r="Y21" i="8" s="1"/>
  <c r="N7" i="8"/>
  <c r="Q7" i="8" s="1"/>
  <c r="AU26" i="7"/>
  <c r="AV26" i="7" s="1"/>
  <c r="AU25" i="7"/>
  <c r="AV25" i="7" s="1"/>
  <c r="AU20" i="7"/>
  <c r="AV20" i="7" s="1"/>
  <c r="AU14" i="7"/>
  <c r="AV14" i="7" s="1"/>
  <c r="BO40" i="7"/>
  <c r="BP40" i="7" s="1"/>
  <c r="AY48" i="7"/>
  <c r="AZ48" i="7" s="1"/>
  <c r="AU62" i="7"/>
  <c r="AV62" i="7" s="1"/>
  <c r="AU18" i="7"/>
  <c r="AV18" i="7" s="1"/>
  <c r="BO55" i="7"/>
  <c r="BP55" i="7" s="1"/>
  <c r="AU41" i="7"/>
  <c r="AV41" i="7" s="1"/>
  <c r="BO34" i="7"/>
  <c r="BP34" i="7" s="1"/>
  <c r="BS37" i="7"/>
  <c r="BT37" i="7" s="1"/>
  <c r="BG17" i="7"/>
  <c r="BH17" i="7" s="1"/>
  <c r="BO35" i="7"/>
  <c r="BP35" i="7" s="1"/>
  <c r="AU43" i="7"/>
  <c r="AV43" i="7" s="1"/>
  <c r="AE28" i="7"/>
  <c r="AF28" i="7" s="1"/>
  <c r="AE25" i="7"/>
  <c r="AF25" i="7" s="1"/>
  <c r="AE60" i="7"/>
  <c r="AF60" i="7" s="1"/>
  <c r="BO11" i="7"/>
  <c r="BP11" i="7" s="1"/>
  <c r="AE49" i="7"/>
  <c r="AF49" i="7" s="1"/>
  <c r="BO10" i="7"/>
  <c r="BP10" i="7" s="1"/>
  <c r="AU39" i="7"/>
  <c r="AV39" i="7" s="1"/>
  <c r="AI28" i="7"/>
  <c r="AJ28" i="7" s="1"/>
  <c r="AI18" i="7"/>
  <c r="AJ18" i="7" s="1"/>
  <c r="AU32" i="7"/>
  <c r="AV32" i="7" s="1"/>
  <c r="BO28" i="7"/>
  <c r="BP28" i="7" s="1"/>
  <c r="BS64" i="7"/>
  <c r="BT64" i="7" s="1"/>
  <c r="AU4" i="7"/>
  <c r="AV4" i="7" s="1"/>
  <c r="BO17" i="7"/>
  <c r="BP17" i="7" s="1"/>
  <c r="AU42" i="7"/>
  <c r="AV42" i="7" s="1"/>
  <c r="AQ59" i="7"/>
  <c r="AR59" i="7" s="1"/>
  <c r="AE22" i="7"/>
  <c r="AF22" i="7" s="1"/>
  <c r="BS7" i="7"/>
  <c r="BT7" i="7" s="1"/>
  <c r="AU64" i="7"/>
  <c r="AV64" i="7" s="1"/>
  <c r="BG31" i="7"/>
  <c r="BH31" i="7" s="1"/>
  <c r="BS17" i="7"/>
  <c r="BT17" i="7" s="1"/>
  <c r="BO22" i="7"/>
  <c r="BP22" i="7" s="1"/>
  <c r="AQ16" i="7"/>
  <c r="AR16" i="7" s="1"/>
  <c r="BO30" i="7"/>
  <c r="BP30" i="7" s="1"/>
  <c r="BO24" i="7"/>
  <c r="BP24" i="7" s="1"/>
  <c r="BO49" i="7"/>
  <c r="BP49" i="7" s="1"/>
  <c r="AI14" i="7"/>
  <c r="AJ14" i="7" s="1"/>
  <c r="BO31" i="7"/>
  <c r="BP31" i="7" s="1"/>
  <c r="BO38" i="7"/>
  <c r="BP38" i="7" s="1"/>
  <c r="AU24" i="7"/>
  <c r="AV24" i="7" s="1"/>
  <c r="AE18" i="7"/>
  <c r="AF18" i="7" s="1"/>
  <c r="AE32" i="7"/>
  <c r="AF32" i="7" s="1"/>
  <c r="AI44" i="7"/>
  <c r="AJ44" i="7" s="1"/>
  <c r="AA19" i="7"/>
  <c r="AB19" i="7" s="1"/>
  <c r="AA50" i="7"/>
  <c r="AB50" i="7" s="1"/>
  <c r="BG48" i="7"/>
  <c r="BH48" i="7" s="1"/>
  <c r="AU60" i="7"/>
  <c r="AV60" i="7" s="1"/>
  <c r="BS49" i="7"/>
  <c r="BT49" i="7" s="1"/>
  <c r="AU35" i="7"/>
  <c r="AV35" i="7" s="1"/>
  <c r="AE9" i="7"/>
  <c r="AF9" i="7" s="1"/>
  <c r="AN65" i="7"/>
  <c r="AU45" i="7"/>
  <c r="AV45" i="7" s="1"/>
  <c r="BK12" i="7"/>
  <c r="BL12" i="7" s="1"/>
  <c r="BS23" i="7"/>
  <c r="BT23" i="7" s="1"/>
  <c r="AU53" i="7"/>
  <c r="AV53" i="7" s="1"/>
  <c r="BG40" i="7"/>
  <c r="BH40" i="7" s="1"/>
  <c r="BO45" i="7"/>
  <c r="BP45" i="7" s="1"/>
  <c r="BO15" i="7"/>
  <c r="BP15" i="7" s="1"/>
  <c r="AU17" i="7"/>
  <c r="AV17" i="7" s="1"/>
  <c r="BO27" i="7"/>
  <c r="BP27" i="7" s="1"/>
  <c r="AI32" i="7"/>
  <c r="AJ32" i="7" s="1"/>
  <c r="BS62" i="7"/>
  <c r="BT62" i="7" s="1"/>
  <c r="AU37" i="7"/>
  <c r="AV37" i="7" s="1"/>
  <c r="AE52" i="7"/>
  <c r="AF52" i="7" s="1"/>
  <c r="BO4" i="7"/>
  <c r="BP4" i="7" s="1"/>
  <c r="AU19" i="7"/>
  <c r="AV19" i="7" s="1"/>
  <c r="AQ32" i="7"/>
  <c r="AR32" i="7" s="1"/>
  <c r="AY14" i="7"/>
  <c r="AZ14" i="7" s="1"/>
  <c r="BC11" i="7"/>
  <c r="BD11" i="7" s="1"/>
  <c r="AU7" i="7"/>
  <c r="AV7" i="7" s="1"/>
  <c r="AI48" i="7"/>
  <c r="AJ48" i="7" s="1"/>
  <c r="BG47" i="7"/>
  <c r="BH47" i="7" s="1"/>
  <c r="BO43" i="7"/>
  <c r="BP43" i="7" s="1"/>
  <c r="AU31" i="7"/>
  <c r="AV31" i="7" s="1"/>
  <c r="BO41" i="7"/>
  <c r="BP41" i="7" s="1"/>
  <c r="AE13" i="7"/>
  <c r="AF13" i="7" s="1"/>
  <c r="BS39" i="7"/>
  <c r="BT39" i="7" s="1"/>
  <c r="AU51" i="7"/>
  <c r="AV51" i="7" s="1"/>
  <c r="AU57" i="7"/>
  <c r="AV57" i="7" s="1"/>
  <c r="AE5" i="7"/>
  <c r="AF5" i="7" s="1"/>
  <c r="AU15" i="7"/>
  <c r="AV15" i="7" s="1"/>
  <c r="AU48" i="7"/>
  <c r="AV48" i="7" s="1"/>
  <c r="AE40" i="7"/>
  <c r="AF40" i="7" s="1"/>
  <c r="BO63" i="7"/>
  <c r="BP63" i="7" s="1"/>
  <c r="AE43" i="7"/>
  <c r="AF43" i="7" s="1"/>
  <c r="BS55" i="7"/>
  <c r="BT55" i="7" s="1"/>
  <c r="BO64" i="7"/>
  <c r="BP64" i="7" s="1"/>
  <c r="AI56" i="7"/>
  <c r="AJ56" i="7" s="1"/>
  <c r="AI8" i="7"/>
  <c r="AJ8" i="7" s="1"/>
  <c r="AE15" i="7"/>
  <c r="AF15" i="7" s="1"/>
  <c r="AE17" i="7"/>
  <c r="AF17" i="7" s="1"/>
  <c r="AU44" i="7"/>
  <c r="AV44" i="7" s="1"/>
  <c r="AU49" i="7"/>
  <c r="AV49" i="7" s="1"/>
  <c r="AU36" i="7"/>
  <c r="AV36" i="7" s="1"/>
  <c r="AY46" i="7"/>
  <c r="AZ46" i="7" s="1"/>
  <c r="BC51" i="7"/>
  <c r="BD51" i="7" s="1"/>
  <c r="BG41" i="7"/>
  <c r="BH41" i="7" s="1"/>
  <c r="BG64" i="7"/>
  <c r="BH64" i="7" s="1"/>
  <c r="AU29" i="7"/>
  <c r="AV29" i="7" s="1"/>
  <c r="BO37" i="7"/>
  <c r="BP37" i="7" s="1"/>
  <c r="BO51" i="7"/>
  <c r="BP51" i="7" s="1"/>
  <c r="BO21" i="7"/>
  <c r="BP21" i="7" s="1"/>
  <c r="AU40" i="7"/>
  <c r="AV40" i="7" s="1"/>
  <c r="AA38" i="7"/>
  <c r="AB38" i="7" s="1"/>
  <c r="BS36" i="7"/>
  <c r="BT36" i="7" s="1"/>
  <c r="AE33" i="7"/>
  <c r="AF33" i="7" s="1"/>
  <c r="AU63" i="7"/>
  <c r="AV63" i="7" s="1"/>
  <c r="AI50" i="7"/>
  <c r="AJ50" i="7" s="1"/>
  <c r="AU59" i="7"/>
  <c r="AV59" i="7" s="1"/>
  <c r="AQ47" i="7"/>
  <c r="AR47" i="7" s="1"/>
  <c r="AU34" i="7"/>
  <c r="AV34" i="7" s="1"/>
  <c r="AY27" i="7"/>
  <c r="AZ27" i="7" s="1"/>
  <c r="BG6" i="7"/>
  <c r="BH6" i="7" s="1"/>
  <c r="AU47" i="7"/>
  <c r="AV47" i="7" s="1"/>
  <c r="BO56" i="7"/>
  <c r="BP56" i="7" s="1"/>
  <c r="AE6" i="7"/>
  <c r="AF6" i="7" s="1"/>
  <c r="BS28" i="7"/>
  <c r="BT28" i="7" s="1"/>
  <c r="AI21" i="7"/>
  <c r="AJ21" i="7" s="1"/>
  <c r="AU38" i="7"/>
  <c r="AV38" i="7" s="1"/>
  <c r="BC57" i="7"/>
  <c r="BD57" i="7" s="1"/>
  <c r="BO26" i="7"/>
  <c r="BP26" i="7" s="1"/>
  <c r="BS63" i="7"/>
  <c r="BT63" i="7" s="1"/>
  <c r="AE56" i="7"/>
  <c r="AF56" i="7" s="1"/>
  <c r="AE38" i="7"/>
  <c r="AF38" i="7" s="1"/>
  <c r="AU54" i="7"/>
  <c r="AV54" i="7" s="1"/>
  <c r="AU5" i="7"/>
  <c r="AV5" i="7" s="1"/>
  <c r="BO13" i="7"/>
  <c r="BP13" i="7" s="1"/>
  <c r="BO12" i="7"/>
  <c r="BP12" i="7" s="1"/>
  <c r="AA17" i="7"/>
  <c r="AB17" i="7" s="1"/>
  <c r="AY35" i="7"/>
  <c r="AZ35" i="7" s="1"/>
  <c r="AY55" i="7"/>
  <c r="AZ55" i="7" s="1"/>
  <c r="BK56" i="7"/>
  <c r="BL56" i="7" s="1"/>
  <c r="AQ61" i="7"/>
  <c r="AR61" i="7" s="1"/>
  <c r="AY45" i="7"/>
  <c r="AZ45" i="7" s="1"/>
  <c r="AQ7" i="7"/>
  <c r="AR7" i="7" s="1"/>
  <c r="AA45" i="7"/>
  <c r="AB45" i="7" s="1"/>
  <c r="BS32" i="7"/>
  <c r="BT32" i="7" s="1"/>
  <c r="AY4" i="7"/>
  <c r="AZ4" i="7" s="1"/>
  <c r="AQ43" i="7"/>
  <c r="AR43" i="7" s="1"/>
  <c r="BS44" i="7"/>
  <c r="BT44" i="7" s="1"/>
  <c r="BC52" i="7"/>
  <c r="BD52" i="7" s="1"/>
  <c r="BO62" i="7"/>
  <c r="BP62" i="7" s="1"/>
  <c r="AU10" i="7"/>
  <c r="AV10" i="7" s="1"/>
  <c r="BS20" i="7"/>
  <c r="BT20" i="7" s="1"/>
  <c r="BC32" i="7"/>
  <c r="BD32" i="7" s="1"/>
  <c r="AY9" i="7"/>
  <c r="AZ9" i="7" s="1"/>
  <c r="AY51" i="7"/>
  <c r="AZ51" i="7" s="1"/>
  <c r="AQ14" i="7"/>
  <c r="AR14" i="7" s="1"/>
  <c r="AY13" i="7"/>
  <c r="AZ13" i="7" s="1"/>
  <c r="AQ63" i="7"/>
  <c r="AR63" i="7" s="1"/>
  <c r="AA29" i="7"/>
  <c r="AB29" i="7" s="1"/>
  <c r="AQ13" i="7"/>
  <c r="AR13" i="7" s="1"/>
  <c r="AQ31" i="7"/>
  <c r="AR31" i="7" s="1"/>
  <c r="AY16" i="7"/>
  <c r="AZ16" i="7" s="1"/>
  <c r="AA12" i="7"/>
  <c r="AB12" i="7" s="1"/>
  <c r="AQ22" i="7"/>
  <c r="AR22" i="7" s="1"/>
  <c r="AY32" i="7"/>
  <c r="AZ32" i="7" s="1"/>
  <c r="AY39" i="7"/>
  <c r="AZ39" i="7" s="1"/>
  <c r="AY41" i="7"/>
  <c r="AZ41" i="7" s="1"/>
  <c r="AA55" i="7"/>
  <c r="AB55" i="7" s="1"/>
  <c r="AQ15" i="7"/>
  <c r="AR15" i="7" s="1"/>
  <c r="BC56" i="7"/>
  <c r="BD56" i="7" s="1"/>
  <c r="AA63" i="7"/>
  <c r="AB63" i="7" s="1"/>
  <c r="AY37" i="7"/>
  <c r="AZ37" i="7" s="1"/>
  <c r="BC4" i="7"/>
  <c r="BD4" i="7" s="1"/>
  <c r="BC45" i="7"/>
  <c r="BD45" i="7" s="1"/>
  <c r="BC5" i="7"/>
  <c r="BD5" i="7" s="1"/>
  <c r="AY61" i="7"/>
  <c r="AZ61" i="7" s="1"/>
  <c r="BC7" i="7"/>
  <c r="BD7" i="7" s="1"/>
  <c r="BC39" i="7"/>
  <c r="BD39" i="7" s="1"/>
  <c r="BC9" i="7"/>
  <c r="BD9" i="7" s="1"/>
  <c r="BC42" i="7"/>
  <c r="BD42" i="7" s="1"/>
  <c r="BC36" i="7"/>
  <c r="BD36" i="7" s="1"/>
  <c r="AY29" i="7"/>
  <c r="AZ29" i="7" s="1"/>
  <c r="AQ45" i="7"/>
  <c r="AR45" i="7" s="1"/>
  <c r="BC63" i="7"/>
  <c r="BD63" i="7" s="1"/>
  <c r="AY50" i="7"/>
  <c r="AZ50" i="7" s="1"/>
  <c r="AQ10" i="7"/>
  <c r="AR10" i="7" s="1"/>
  <c r="BG43" i="7"/>
  <c r="BH43" i="7" s="1"/>
  <c r="BK19" i="7"/>
  <c r="BL19" i="7" s="1"/>
  <c r="BS6" i="7"/>
  <c r="BT6" i="7" s="1"/>
  <c r="BS53" i="7"/>
  <c r="BT53" i="7" s="1"/>
  <c r="AA58" i="7"/>
  <c r="AB58" i="7" s="1"/>
  <c r="BC35" i="7"/>
  <c r="BD35" i="7" s="1"/>
  <c r="AU9" i="7"/>
  <c r="AV9" i="7" s="1"/>
  <c r="BO54" i="7"/>
  <c r="BP54" i="7" s="1"/>
  <c r="AQ28" i="7"/>
  <c r="AR28" i="7" s="1"/>
  <c r="AU52" i="7"/>
  <c r="AV52" i="7" s="1"/>
  <c r="BS10" i="7"/>
  <c r="BT10" i="7" s="1"/>
  <c r="AY19" i="7"/>
  <c r="AZ19" i="7" s="1"/>
  <c r="AY8" i="7"/>
  <c r="AZ8" i="7" s="1"/>
  <c r="AA64" i="7"/>
  <c r="AB64" i="7" s="1"/>
  <c r="AQ34" i="7"/>
  <c r="AR34" i="7" s="1"/>
  <c r="AY5" i="7"/>
  <c r="AZ5" i="7" s="1"/>
  <c r="AY36" i="7"/>
  <c r="AZ36" i="7" s="1"/>
  <c r="AY25" i="7"/>
  <c r="AZ25" i="7" s="1"/>
  <c r="BC27" i="7"/>
  <c r="BD27" i="7" s="1"/>
  <c r="AQ5" i="7"/>
  <c r="AR5" i="7" s="1"/>
  <c r="BC30" i="7"/>
  <c r="BD30" i="7" s="1"/>
  <c r="AY53" i="7"/>
  <c r="AZ53" i="7" s="1"/>
  <c r="BO32" i="7"/>
  <c r="BP32" i="7" s="1"/>
  <c r="BO61" i="7"/>
  <c r="BP61" i="7" s="1"/>
  <c r="BO50" i="7"/>
  <c r="BP50" i="7" s="1"/>
  <c r="AQ40" i="7"/>
  <c r="AR40" i="7" s="1"/>
  <c r="BO5" i="7"/>
  <c r="BP5" i="7" s="1"/>
  <c r="AY28" i="7"/>
  <c r="AZ28" i="7" s="1"/>
  <c r="AY31" i="7"/>
  <c r="AZ31" i="7" s="1"/>
  <c r="AY18" i="7"/>
  <c r="AZ18" i="7" s="1"/>
  <c r="AA26" i="7"/>
  <c r="AB26" i="7" s="1"/>
  <c r="AI22" i="7"/>
  <c r="AJ22" i="7" s="1"/>
  <c r="BS42" i="7"/>
  <c r="BT42" i="7" s="1"/>
  <c r="BS15" i="7"/>
  <c r="BT15" i="7" s="1"/>
  <c r="AE4" i="7"/>
  <c r="AF4" i="7" s="1"/>
  <c r="BC21" i="7"/>
  <c r="BD21" i="7" s="1"/>
  <c r="BC22" i="7"/>
  <c r="BD22" i="7" s="1"/>
  <c r="AU56" i="7"/>
  <c r="AV56" i="7" s="1"/>
  <c r="AE39" i="7"/>
  <c r="AF39" i="7" s="1"/>
  <c r="AQ11" i="7"/>
  <c r="AR11" i="7" s="1"/>
  <c r="AE42" i="7"/>
  <c r="AF42" i="7" s="1"/>
  <c r="AY44" i="7"/>
  <c r="AZ44" i="7" s="1"/>
  <c r="BC60" i="7"/>
  <c r="BD60" i="7" s="1"/>
  <c r="AE53" i="7"/>
  <c r="AF53" i="7" s="1"/>
  <c r="BC40" i="7"/>
  <c r="BD40" i="7" s="1"/>
  <c r="BS56" i="7"/>
  <c r="BT56" i="7" s="1"/>
  <c r="AI11" i="7"/>
  <c r="AJ11" i="7" s="1"/>
  <c r="BC47" i="7"/>
  <c r="BD47" i="7" s="1"/>
  <c r="AU28" i="7"/>
  <c r="AV28" i="7" s="1"/>
  <c r="BS4" i="7"/>
  <c r="BT4" i="7" s="1"/>
  <c r="AE29" i="7"/>
  <c r="AF29" i="7" s="1"/>
  <c r="BC53" i="7"/>
  <c r="BD53" i="7" s="1"/>
  <c r="AQ42" i="7"/>
  <c r="AR42" i="7" s="1"/>
  <c r="BO39" i="7"/>
  <c r="BP39" i="7" s="1"/>
  <c r="AY40" i="7"/>
  <c r="AZ40" i="7" s="1"/>
  <c r="AU61" i="7"/>
  <c r="AV61" i="7" s="1"/>
  <c r="BO59" i="7"/>
  <c r="BP59" i="7" s="1"/>
  <c r="AU22" i="7"/>
  <c r="AV22" i="7" s="1"/>
  <c r="BS51" i="7"/>
  <c r="BT51" i="7" s="1"/>
  <c r="BO36" i="7"/>
  <c r="BP36" i="7" s="1"/>
  <c r="AA5" i="7"/>
  <c r="AB5" i="7" s="1"/>
  <c r="BC61" i="7"/>
  <c r="BD61" i="7" s="1"/>
  <c r="BC28" i="7"/>
  <c r="BD28" i="7" s="1"/>
  <c r="BC14" i="7"/>
  <c r="BD14" i="7" s="1"/>
  <c r="AU11" i="7"/>
  <c r="AV11" i="7" s="1"/>
  <c r="AI40" i="7"/>
  <c r="AJ40" i="7" s="1"/>
  <c r="AA18" i="7"/>
  <c r="AB18" i="7" s="1"/>
  <c r="AE44" i="7"/>
  <c r="AF44" i="7" s="1"/>
  <c r="AE31" i="7"/>
  <c r="AF31" i="7" s="1"/>
  <c r="BO47" i="7"/>
  <c r="BP47" i="7" s="1"/>
  <c r="AI15" i="7"/>
  <c r="AJ15" i="7" s="1"/>
  <c r="AY6" i="7"/>
  <c r="AZ6" i="7" s="1"/>
  <c r="BC25" i="7"/>
  <c r="BD25" i="7" s="1"/>
  <c r="AQ33" i="7"/>
  <c r="AR33" i="7" s="1"/>
  <c r="BC48" i="7"/>
  <c r="BD48" i="7" s="1"/>
  <c r="AY56" i="7"/>
  <c r="AZ56" i="7" s="1"/>
  <c r="BC62" i="7"/>
  <c r="BD62" i="7" s="1"/>
  <c r="BS40" i="7"/>
  <c r="BT40" i="7" s="1"/>
  <c r="AY34" i="7"/>
  <c r="AZ34" i="7" s="1"/>
  <c r="AA20" i="7"/>
  <c r="AB20" i="7" s="1"/>
  <c r="BC59" i="7"/>
  <c r="BD59" i="7" s="1"/>
  <c r="BS43" i="7"/>
  <c r="BT43" i="7" s="1"/>
  <c r="AE64" i="7"/>
  <c r="AF64" i="7" s="1"/>
  <c r="BC64" i="7"/>
  <c r="BD64" i="7" s="1"/>
  <c r="AI42" i="7"/>
  <c r="AJ42" i="7" s="1"/>
  <c r="BO44" i="7"/>
  <c r="BP44" i="7" s="1"/>
  <c r="AU50" i="7"/>
  <c r="AV50" i="7" s="1"/>
  <c r="BS30" i="7"/>
  <c r="BT30" i="7" s="1"/>
  <c r="AY12" i="7"/>
  <c r="AZ12" i="7" s="1"/>
  <c r="AI30" i="7"/>
  <c r="AJ30" i="7" s="1"/>
  <c r="BG54" i="7"/>
  <c r="BH54" i="7" s="1"/>
  <c r="BO46" i="7"/>
  <c r="BP46" i="7" s="1"/>
  <c r="AQ48" i="7"/>
  <c r="AR48" i="7" s="1"/>
  <c r="BG52" i="7"/>
  <c r="BH52" i="7" s="1"/>
  <c r="AY58" i="7"/>
  <c r="AZ58" i="7" s="1"/>
  <c r="BO9" i="7"/>
  <c r="BP9" i="7" s="1"/>
  <c r="AY47" i="7"/>
  <c r="AZ47" i="7" s="1"/>
  <c r="BO58" i="7"/>
  <c r="BP58" i="7" s="1"/>
  <c r="BC23" i="7"/>
  <c r="BD23" i="7" s="1"/>
  <c r="BS59" i="7"/>
  <c r="BT59" i="7" s="1"/>
  <c r="BO18" i="7"/>
  <c r="BP18" i="7" s="1"/>
  <c r="AY7" i="7"/>
  <c r="AZ7" i="7" s="1"/>
  <c r="AI29" i="7"/>
  <c r="AJ29" i="7" s="1"/>
  <c r="BO6" i="7"/>
  <c r="BP6" i="7" s="1"/>
  <c r="AU55" i="7"/>
  <c r="AV55" i="7" s="1"/>
  <c r="BS33" i="7"/>
  <c r="BT33" i="7" s="1"/>
  <c r="BC37" i="7"/>
  <c r="BD37" i="7" s="1"/>
  <c r="AU6" i="7"/>
  <c r="AV6" i="7" s="1"/>
  <c r="AI58" i="7"/>
  <c r="AJ58" i="7" s="1"/>
  <c r="AY11" i="7"/>
  <c r="AZ11" i="7" s="1"/>
  <c r="BO20" i="7"/>
  <c r="BP20" i="7" s="1"/>
  <c r="BS25" i="7"/>
  <c r="BT25" i="7" s="1"/>
  <c r="BO16" i="7"/>
  <c r="BP16" i="7" s="1"/>
  <c r="AQ6" i="7"/>
  <c r="AR6" i="7" s="1"/>
  <c r="AY23" i="7"/>
  <c r="AZ23" i="7" s="1"/>
  <c r="AQ25" i="7"/>
  <c r="AR25" i="7" s="1"/>
  <c r="BG29" i="7"/>
  <c r="BH29" i="7" s="1"/>
  <c r="AQ8" i="7"/>
  <c r="AR8" i="7" s="1"/>
  <c r="BC8" i="7"/>
  <c r="BD8" i="7" s="1"/>
  <c r="AY63" i="7"/>
  <c r="AZ63" i="7" s="1"/>
  <c r="AQ21" i="7"/>
  <c r="AR21" i="7" s="1"/>
  <c r="AA49" i="7"/>
  <c r="AB49" i="7" s="1"/>
  <c r="BS41" i="7"/>
  <c r="BT41" i="7" s="1"/>
  <c r="AE35" i="7"/>
  <c r="AF35" i="7" s="1"/>
  <c r="AY42" i="7"/>
  <c r="AZ42" i="7" s="1"/>
  <c r="AE61" i="7"/>
  <c r="AF61" i="7" s="1"/>
  <c r="AE34" i="7"/>
  <c r="AF34" i="7" s="1"/>
  <c r="AU8" i="7"/>
  <c r="AV8" i="7" s="1"/>
  <c r="BC50" i="7"/>
  <c r="BD50" i="7" s="1"/>
  <c r="AI57" i="7"/>
  <c r="AJ57" i="7" s="1"/>
  <c r="AI43" i="7"/>
  <c r="AJ43" i="7" s="1"/>
  <c r="AI39" i="7"/>
  <c r="AJ39" i="7" s="1"/>
  <c r="BC44" i="7"/>
  <c r="BD44" i="7" s="1"/>
  <c r="BC33" i="7"/>
  <c r="BD33" i="7" s="1"/>
  <c r="AA9" i="7"/>
  <c r="AB9" i="7" s="1"/>
  <c r="AE24" i="7"/>
  <c r="AF24" i="7" s="1"/>
  <c r="AU30" i="7"/>
  <c r="AV30" i="7" s="1"/>
  <c r="AY59" i="7"/>
  <c r="AZ59" i="7" s="1"/>
  <c r="AQ51" i="7"/>
  <c r="AR51" i="7" s="1"/>
  <c r="AE23" i="7"/>
  <c r="AF23" i="7" s="1"/>
  <c r="AU12" i="7"/>
  <c r="AV12" i="7" s="1"/>
  <c r="BO23" i="7"/>
  <c r="BP23" i="7" s="1"/>
  <c r="BC13" i="7"/>
  <c r="BD13" i="7" s="1"/>
  <c r="AA46" i="7"/>
  <c r="AB46" i="7" s="1"/>
  <c r="AA27" i="7"/>
  <c r="AB27" i="7" s="1"/>
  <c r="AQ24" i="7"/>
  <c r="AR24" i="7" s="1"/>
  <c r="BS24" i="7"/>
  <c r="BT24" i="7" s="1"/>
  <c r="AY21" i="7"/>
  <c r="AZ21" i="7" s="1"/>
  <c r="BO60" i="7"/>
  <c r="BP60" i="7" s="1"/>
  <c r="AU33" i="7"/>
  <c r="AV33" i="7" s="1"/>
  <c r="BG36" i="7"/>
  <c r="BH36" i="7" s="1"/>
  <c r="BS22" i="7"/>
  <c r="BT22" i="7" s="1"/>
  <c r="AA24" i="7"/>
  <c r="AB24" i="7" s="1"/>
  <c r="BO19" i="7"/>
  <c r="BP19" i="7" s="1"/>
  <c r="AY38" i="7"/>
  <c r="AZ38" i="7" s="1"/>
  <c r="BG35" i="7"/>
  <c r="BH35" i="7" s="1"/>
  <c r="AY60" i="7"/>
  <c r="AZ60" i="7" s="1"/>
  <c r="BC38" i="7"/>
  <c r="BD38" i="7" s="1"/>
  <c r="AY57" i="7"/>
  <c r="AZ57" i="7" s="1"/>
  <c r="AI51" i="7"/>
  <c r="AJ51" i="7" s="1"/>
  <c r="BC17" i="7"/>
  <c r="BD17" i="7" s="1"/>
  <c r="AE21" i="7"/>
  <c r="AF21" i="7" s="1"/>
  <c r="BG25" i="7"/>
  <c r="BH25" i="7" s="1"/>
  <c r="T41" i="8"/>
  <c r="U41" i="8" s="1"/>
  <c r="X64" i="8"/>
  <c r="Y64" i="8" s="1"/>
  <c r="N9" i="8"/>
  <c r="Q9" i="8" s="1"/>
  <c r="X45" i="8"/>
  <c r="Y45" i="8" s="1"/>
  <c r="X57" i="8"/>
  <c r="Y57" i="8" s="1"/>
  <c r="X9" i="8"/>
  <c r="Y9" i="8" s="1"/>
  <c r="T14" i="8"/>
  <c r="U14" i="8" s="1"/>
  <c r="N4" i="8"/>
  <c r="Q4" i="8" s="1"/>
  <c r="N47" i="8"/>
  <c r="Q47" i="8" s="1"/>
  <c r="T40" i="8"/>
  <c r="U40" i="8" s="1"/>
  <c r="X17" i="8"/>
  <c r="Y17" i="8" s="1"/>
  <c r="N38" i="8"/>
  <c r="Q38" i="8" s="1"/>
  <c r="X35" i="8"/>
  <c r="Y35" i="8" s="1"/>
  <c r="AF7" i="8"/>
  <c r="AG7" i="8" s="1"/>
  <c r="AF29" i="8"/>
  <c r="AG29" i="8" s="1"/>
  <c r="AF35" i="8"/>
  <c r="AG35" i="8" s="1"/>
  <c r="AB18" i="8"/>
  <c r="AC18" i="8" s="1"/>
  <c r="X20" i="8"/>
  <c r="Y20" i="8" s="1"/>
  <c r="T30" i="8"/>
  <c r="U30" i="8" s="1"/>
  <c r="N20" i="8"/>
  <c r="Q20" i="8" s="1"/>
  <c r="X41" i="8"/>
  <c r="Y41" i="8" s="1"/>
  <c r="AB37" i="8"/>
  <c r="AC37" i="8" s="1"/>
  <c r="N23" i="8"/>
  <c r="Q23" i="8" s="1"/>
  <c r="N34" i="8"/>
  <c r="Q34" i="8" s="1"/>
  <c r="AF23" i="8"/>
  <c r="AG23" i="8" s="1"/>
  <c r="X62" i="8"/>
  <c r="Y62" i="8" s="1"/>
  <c r="T45" i="8"/>
  <c r="U45" i="8" s="1"/>
  <c r="T25" i="8"/>
  <c r="U25" i="8" s="1"/>
  <c r="N37" i="8"/>
  <c r="Q37" i="8" s="1"/>
  <c r="X46" i="8"/>
  <c r="Y46" i="8" s="1"/>
  <c r="AF34" i="8"/>
  <c r="AG34" i="8" s="1"/>
  <c r="X6" i="8"/>
  <c r="Y6" i="8" s="1"/>
  <c r="T9" i="8"/>
  <c r="U9" i="8" s="1"/>
  <c r="AF51" i="8"/>
  <c r="AG51" i="8" s="1"/>
  <c r="AB61" i="8"/>
  <c r="AB59" i="8"/>
  <c r="AC59" i="8" s="1"/>
  <c r="AB33" i="8"/>
  <c r="AC33" i="8" s="1"/>
  <c r="X39" i="8"/>
  <c r="Y39" i="8" s="1"/>
  <c r="T43" i="8"/>
  <c r="U43" i="8" s="1"/>
  <c r="AF19" i="8"/>
  <c r="AG19" i="8" s="1"/>
  <c r="AB34" i="8"/>
  <c r="AC34" i="8" s="1"/>
  <c r="N32" i="8"/>
  <c r="Q32" i="8" s="1"/>
  <c r="N24" i="8"/>
  <c r="Q24" i="8" s="1"/>
  <c r="AF28" i="8"/>
  <c r="AG28" i="8" s="1"/>
  <c r="AB42" i="8"/>
  <c r="AC42" i="8" s="1"/>
  <c r="AF52" i="8"/>
  <c r="AG52" i="8" s="1"/>
  <c r="T55" i="8"/>
  <c r="U55" i="8" s="1"/>
  <c r="X12" i="8"/>
  <c r="Y12" i="8" s="1"/>
  <c r="T54" i="8"/>
  <c r="U54" i="8" s="1"/>
  <c r="AF11" i="8"/>
  <c r="AG11" i="8" s="1"/>
  <c r="X13" i="8"/>
  <c r="Y13" i="8" s="1"/>
  <c r="AB25" i="8"/>
  <c r="AC25" i="8" s="1"/>
  <c r="T44" i="8"/>
  <c r="U44" i="8" s="1"/>
  <c r="AB45" i="8"/>
  <c r="AC45" i="8" s="1"/>
  <c r="N19" i="8"/>
  <c r="Q19" i="8" s="1"/>
  <c r="N25" i="8"/>
  <c r="Q25" i="8" s="1"/>
  <c r="AF24" i="8"/>
  <c r="AG24" i="8" s="1"/>
  <c r="AF56" i="8"/>
  <c r="AG56" i="8" s="1"/>
  <c r="AF39" i="8"/>
  <c r="AG39" i="8" s="1"/>
  <c r="T20" i="8"/>
  <c r="U20" i="8" s="1"/>
  <c r="AF27" i="8"/>
  <c r="AG27" i="8" s="1"/>
  <c r="T48" i="8"/>
  <c r="U48" i="8" s="1"/>
  <c r="AB53" i="8"/>
  <c r="AC53" i="8" s="1"/>
  <c r="X38" i="8"/>
  <c r="Y38" i="8" s="1"/>
  <c r="T26" i="8"/>
  <c r="U26" i="8" s="1"/>
  <c r="AF18" i="8"/>
  <c r="AG18" i="8" s="1"/>
  <c r="N12" i="8"/>
  <c r="Q12" i="8" s="1"/>
  <c r="X31" i="8"/>
  <c r="Y31" i="8" s="1"/>
  <c r="T12" i="8"/>
  <c r="U12" i="8" s="1"/>
  <c r="T4" i="8"/>
  <c r="U4" i="8" s="1"/>
  <c r="X65" i="8"/>
  <c r="Y65" i="8" s="1"/>
  <c r="AB50" i="8"/>
  <c r="AC50" i="8" s="1"/>
  <c r="AF12" i="8"/>
  <c r="AG12" i="8" s="1"/>
  <c r="T62" i="8"/>
  <c r="U62" i="8" s="1"/>
  <c r="AB31" i="8"/>
  <c r="AC31" i="8" s="1"/>
  <c r="AF46" i="8"/>
  <c r="AG46" i="8" s="1"/>
  <c r="T13" i="8"/>
  <c r="U13" i="8" s="1"/>
  <c r="T8" i="8"/>
  <c r="U8" i="8" s="1"/>
  <c r="AF17" i="8"/>
  <c r="AG17" i="8" s="1"/>
  <c r="AF47" i="8"/>
  <c r="AG47" i="8" s="1"/>
  <c r="N54" i="8"/>
  <c r="Q54" i="8" s="1"/>
  <c r="AB40" i="8"/>
  <c r="AC40" i="8" s="1"/>
  <c r="AF5" i="8"/>
  <c r="AG5" i="8" s="1"/>
  <c r="X7" i="8"/>
  <c r="Y7" i="8" s="1"/>
  <c r="AB64" i="8"/>
  <c r="AC64" i="8" s="1"/>
  <c r="N27" i="8"/>
  <c r="Q27" i="8" s="1"/>
  <c r="X22" i="8"/>
  <c r="Y22" i="8" s="1"/>
  <c r="T17" i="8"/>
  <c r="U17" i="8" s="1"/>
  <c r="AF38" i="8"/>
  <c r="AG38" i="8" s="1"/>
  <c r="AB30" i="8"/>
  <c r="AC30" i="8" s="1"/>
  <c r="AF42" i="8"/>
  <c r="AG42" i="8" s="1"/>
  <c r="T28" i="8"/>
  <c r="U28" i="8" s="1"/>
  <c r="N65" i="8"/>
  <c r="Q65" i="8" s="1"/>
  <c r="T34" i="8"/>
  <c r="U34" i="8" s="1"/>
  <c r="T36" i="8"/>
  <c r="U36" i="8" s="1"/>
  <c r="X10" i="8"/>
  <c r="Y10" i="8" s="1"/>
  <c r="T15" i="8"/>
  <c r="U15" i="8" s="1"/>
  <c r="T42" i="8"/>
  <c r="U42" i="8" s="1"/>
  <c r="N35" i="8"/>
  <c r="Q35" i="8" s="1"/>
  <c r="X44" i="8"/>
  <c r="Y44" i="8" s="1"/>
  <c r="N11" i="8"/>
  <c r="Q11" i="8" s="1"/>
  <c r="N55" i="8"/>
  <c r="Q55" i="8" s="1"/>
  <c r="X54" i="8"/>
  <c r="Y54" i="8" s="1"/>
  <c r="X61" i="8"/>
  <c r="N33" i="8"/>
  <c r="Q33" i="8" s="1"/>
  <c r="N60" i="8"/>
  <c r="Q60" i="8" s="1"/>
  <c r="N63" i="8"/>
  <c r="Q63" i="8" s="1"/>
  <c r="AB35" i="8"/>
  <c r="AC35" i="8" s="1"/>
  <c r="N52" i="8"/>
  <c r="Q52" i="8" s="1"/>
  <c r="N15" i="8"/>
  <c r="Q15" i="8" s="1"/>
  <c r="AF21" i="8"/>
  <c r="AG21" i="8" s="1"/>
  <c r="N8" i="8"/>
  <c r="Q8" i="8" s="1"/>
  <c r="T64" i="8"/>
  <c r="U64" i="8" s="1"/>
  <c r="AF41" i="8"/>
  <c r="AG41" i="8" s="1"/>
  <c r="AF61" i="8"/>
  <c r="N26" i="8"/>
  <c r="Q26" i="8" s="1"/>
  <c r="AF62" i="8"/>
  <c r="AG62" i="8" s="1"/>
  <c r="T52" i="8"/>
  <c r="U52" i="8" s="1"/>
  <c r="AF59" i="8"/>
  <c r="AG59" i="8" s="1"/>
  <c r="AF45" i="8"/>
  <c r="AG45" i="8" s="1"/>
  <c r="AF20" i="8"/>
  <c r="AG20" i="8" s="1"/>
  <c r="X47" i="8"/>
  <c r="Y47" i="8" s="1"/>
  <c r="T24" i="8"/>
  <c r="U24" i="8" s="1"/>
  <c r="AB4" i="8"/>
  <c r="AC4" i="8" s="1"/>
  <c r="AB48" i="8"/>
  <c r="AC48" i="8" s="1"/>
  <c r="X63" i="8"/>
  <c r="Y63" i="8" s="1"/>
  <c r="N22" i="8"/>
  <c r="Q22" i="8" s="1"/>
  <c r="AB7" i="8"/>
  <c r="AC7" i="8" s="1"/>
  <c r="AF58" i="8"/>
  <c r="AG58" i="8" s="1"/>
  <c r="N58" i="8"/>
  <c r="Q58" i="8" s="1"/>
  <c r="T35" i="8"/>
  <c r="U35" i="8" s="1"/>
  <c r="AF40" i="8"/>
  <c r="AG40" i="8" s="1"/>
  <c r="AF55" i="8"/>
  <c r="AG55" i="8" s="1"/>
  <c r="AB52" i="8"/>
  <c r="AC52" i="8" s="1"/>
  <c r="AF43" i="8"/>
  <c r="AG43" i="8" s="1"/>
  <c r="X53" i="8"/>
  <c r="Y53" i="8" s="1"/>
  <c r="AF49" i="8"/>
  <c r="AG49" i="8" s="1"/>
  <c r="X5" i="8"/>
  <c r="Y5" i="8" s="1"/>
  <c r="N39" i="8"/>
  <c r="Q39" i="8" s="1"/>
  <c r="X25" i="8"/>
  <c r="Y25" i="8" s="1"/>
  <c r="T51" i="8"/>
  <c r="U51" i="8" s="1"/>
  <c r="AF30" i="8"/>
  <c r="AG30" i="8" s="1"/>
  <c r="T33" i="8"/>
  <c r="U33" i="8" s="1"/>
  <c r="AF32" i="8"/>
  <c r="AG32" i="8" s="1"/>
  <c r="N49" i="8"/>
  <c r="Q49" i="8" s="1"/>
  <c r="AB57" i="8"/>
  <c r="AC57" i="8" s="1"/>
  <c r="T49" i="8"/>
  <c r="U49" i="8" s="1"/>
  <c r="AF64" i="8"/>
  <c r="AG64" i="8" s="1"/>
  <c r="T10" i="8"/>
  <c r="U10" i="8" s="1"/>
  <c r="N36" i="8"/>
  <c r="Q36" i="8" s="1"/>
  <c r="AF57" i="8"/>
  <c r="AG57" i="8" s="1"/>
  <c r="X42" i="8"/>
  <c r="Y42" i="8" s="1"/>
  <c r="AB63" i="8"/>
  <c r="AC63" i="8" s="1"/>
  <c r="N13" i="8"/>
  <c r="Q13" i="8" s="1"/>
  <c r="X11" i="8"/>
  <c r="Y11" i="8" s="1"/>
  <c r="AB62" i="8"/>
  <c r="AC62" i="8" s="1"/>
  <c r="X60" i="8"/>
  <c r="Y60" i="8" s="1"/>
  <c r="AB38" i="8"/>
  <c r="AC38" i="8" s="1"/>
  <c r="AB44" i="8"/>
  <c r="AC44" i="8" s="1"/>
  <c r="AF6" i="8"/>
  <c r="AG6" i="8" s="1"/>
  <c r="T29" i="8"/>
  <c r="U29" i="8" s="1"/>
  <c r="N30" i="8"/>
  <c r="Q30" i="8" s="1"/>
  <c r="T18" i="8"/>
  <c r="U18" i="8" s="1"/>
  <c r="T63" i="8"/>
  <c r="U63" i="8" s="1"/>
  <c r="T61" i="8"/>
  <c r="X30" i="8"/>
  <c r="Y30" i="8" s="1"/>
  <c r="N42" i="8"/>
  <c r="Q42" i="8" s="1"/>
  <c r="AB28" i="8"/>
  <c r="AC28" i="8" s="1"/>
  <c r="X15" i="8"/>
  <c r="Y15" i="8" s="1"/>
  <c r="X33" i="8"/>
  <c r="Y33" i="8" s="1"/>
  <c r="T46" i="8"/>
  <c r="U46" i="8" s="1"/>
  <c r="AF37" i="8"/>
  <c r="AG37" i="8" s="1"/>
  <c r="X29" i="8"/>
  <c r="Y29" i="8" s="1"/>
  <c r="X50" i="8"/>
  <c r="Y50" i="8" s="1"/>
  <c r="T23" i="8"/>
  <c r="U23" i="8" s="1"/>
  <c r="T22" i="8"/>
  <c r="U22" i="8" s="1"/>
  <c r="N41" i="8"/>
  <c r="Q41" i="8" s="1"/>
  <c r="AB23" i="8"/>
  <c r="AC23" i="8" s="1"/>
  <c r="T60" i="8"/>
  <c r="U60" i="8" s="1"/>
  <c r="X28" i="8"/>
  <c r="Y28" i="8" s="1"/>
  <c r="T57" i="8"/>
  <c r="U57" i="8" s="1"/>
  <c r="AF26" i="8"/>
  <c r="AG26" i="8" s="1"/>
  <c r="N50" i="8"/>
  <c r="Q50" i="8" s="1"/>
  <c r="T31" i="8"/>
  <c r="U31" i="8" s="1"/>
  <c r="T19" i="8"/>
  <c r="U19" i="8" s="1"/>
  <c r="T6" i="8"/>
  <c r="U6" i="8" s="1"/>
  <c r="X4" i="8"/>
  <c r="Y4" i="8" s="1"/>
  <c r="T59" i="8"/>
  <c r="U59" i="8" s="1"/>
  <c r="X27" i="8"/>
  <c r="Y27" i="8" s="1"/>
  <c r="X19" i="8"/>
  <c r="Y19" i="8" s="1"/>
  <c r="T7" i="8"/>
  <c r="U7" i="8" s="1"/>
  <c r="T39" i="8"/>
  <c r="U39" i="8" s="1"/>
  <c r="N40" i="8"/>
  <c r="Q40" i="8" s="1"/>
  <c r="X48" i="8"/>
  <c r="Y48" i="8" s="1"/>
  <c r="N28" i="8"/>
  <c r="Q28" i="8" s="1"/>
  <c r="AF60" i="8"/>
  <c r="AG60" i="8" s="1"/>
  <c r="AB65" i="8"/>
  <c r="AC65" i="8" s="1"/>
  <c r="T58" i="8"/>
  <c r="U58" i="8" s="1"/>
  <c r="AB17" i="8"/>
  <c r="AC17" i="8" s="1"/>
  <c r="AF65" i="8"/>
  <c r="AG65" i="8" s="1"/>
  <c r="AF16" i="8"/>
  <c r="AG16" i="8" s="1"/>
  <c r="AF15" i="8"/>
  <c r="AG15" i="8" s="1"/>
  <c r="X52" i="8"/>
  <c r="Y52" i="8" s="1"/>
  <c r="AB22" i="8"/>
  <c r="AC22" i="8" s="1"/>
  <c r="AB55" i="8"/>
  <c r="AC55" i="8" s="1"/>
  <c r="X58" i="8"/>
  <c r="Y58" i="8" s="1"/>
  <c r="N51" i="8"/>
  <c r="Q51" i="8" s="1"/>
  <c r="T65" i="8"/>
  <c r="U65" i="8" s="1"/>
  <c r="T56" i="8"/>
  <c r="U56" i="8" s="1"/>
  <c r="T27" i="8"/>
  <c r="U27" i="8" s="1"/>
  <c r="X59" i="8"/>
  <c r="Y59" i="8" s="1"/>
  <c r="N56" i="8"/>
  <c r="Q56" i="8" s="1"/>
  <c r="X26" i="8"/>
  <c r="Y26" i="8" s="1"/>
  <c r="AB9" i="8"/>
  <c r="AC9" i="8" s="1"/>
  <c r="T16" i="8"/>
  <c r="U16" i="8" s="1"/>
  <c r="AF25" i="8"/>
  <c r="AG25" i="8" s="1"/>
  <c r="N29" i="8"/>
  <c r="Q29" i="8" s="1"/>
  <c r="X36" i="8"/>
  <c r="Y36" i="8" s="1"/>
  <c r="T5" i="8"/>
  <c r="U5" i="8" s="1"/>
  <c r="AB39" i="8"/>
  <c r="AC39" i="8" s="1"/>
  <c r="X43" i="8"/>
  <c r="Y43" i="8" s="1"/>
  <c r="N16" i="8"/>
  <c r="Q16" i="8" s="1"/>
  <c r="AB49" i="8"/>
  <c r="AC49" i="8" s="1"/>
  <c r="X34" i="8"/>
  <c r="Y34" i="8" s="1"/>
  <c r="T47" i="8"/>
  <c r="U47" i="8" s="1"/>
  <c r="AF22" i="8"/>
  <c r="AG22" i="8" s="1"/>
  <c r="X23" i="8"/>
  <c r="Y23" i="8" s="1"/>
  <c r="BK36" i="7"/>
  <c r="BL36" i="7" s="1"/>
  <c r="BK16" i="7"/>
  <c r="BL16" i="7" s="1"/>
  <c r="BK33" i="7"/>
  <c r="BL33" i="7" s="1"/>
  <c r="BK24" i="7"/>
  <c r="BL24" i="7" s="1"/>
  <c r="BK32" i="7"/>
  <c r="BL32" i="7" s="1"/>
  <c r="BK9" i="7"/>
  <c r="BL9" i="7" s="1"/>
  <c r="BK50" i="7"/>
  <c r="BL50" i="7" s="1"/>
  <c r="BG45" i="7"/>
  <c r="BH45" i="7" s="1"/>
  <c r="BK51" i="7"/>
  <c r="BL51" i="7" s="1"/>
  <c r="AA33" i="7"/>
  <c r="AB33" i="7" s="1"/>
  <c r="BG59" i="7"/>
  <c r="BH59" i="7" s="1"/>
  <c r="BK25" i="7"/>
  <c r="BL25" i="7" s="1"/>
  <c r="AA48" i="7"/>
  <c r="AB48" i="7" s="1"/>
  <c r="BG23" i="7"/>
  <c r="BH23" i="7" s="1"/>
  <c r="AA7" i="7"/>
  <c r="AB7" i="7" s="1"/>
  <c r="BG8" i="7"/>
  <c r="BH8" i="7" s="1"/>
  <c r="AA57" i="7"/>
  <c r="AB57" i="7" s="1"/>
  <c r="AA10" i="7"/>
  <c r="AB10" i="7" s="1"/>
  <c r="AQ44" i="7"/>
  <c r="AR44" i="7" s="1"/>
  <c r="AQ56" i="7"/>
  <c r="AR56" i="7" s="1"/>
  <c r="AI47" i="7"/>
  <c r="AJ47" i="7" s="1"/>
  <c r="AQ53" i="7"/>
  <c r="AR53" i="7" s="1"/>
  <c r="AI24" i="7"/>
  <c r="AJ24" i="7" s="1"/>
  <c r="BG63" i="7"/>
  <c r="BH63" i="7" s="1"/>
  <c r="AI31" i="7"/>
  <c r="AJ31" i="7" s="1"/>
  <c r="AQ30" i="7"/>
  <c r="AR30" i="7" s="1"/>
  <c r="BG10" i="7"/>
  <c r="BH10" i="7" s="1"/>
  <c r="AA30" i="7"/>
  <c r="AB30" i="7" s="1"/>
  <c r="AQ38" i="7"/>
  <c r="AR38" i="7" s="1"/>
  <c r="BG26" i="7"/>
  <c r="BH26" i="7" s="1"/>
  <c r="BG11" i="7"/>
  <c r="BH11" i="7" s="1"/>
  <c r="AQ50" i="7"/>
  <c r="AR50" i="7" s="1"/>
  <c r="AA15" i="7"/>
  <c r="AB15" i="7" s="1"/>
  <c r="AA6" i="7"/>
  <c r="AB6" i="7" s="1"/>
  <c r="AI25" i="7"/>
  <c r="AJ25" i="7" s="1"/>
  <c r="AI10" i="7"/>
  <c r="AJ10" i="7" s="1"/>
  <c r="AQ54" i="7"/>
  <c r="AR54" i="7" s="1"/>
  <c r="AY26" i="7"/>
  <c r="AZ26" i="7" s="1"/>
  <c r="AA44" i="7"/>
  <c r="AB44" i="7" s="1"/>
  <c r="BG58" i="7"/>
  <c r="BH58" i="7" s="1"/>
  <c r="AI27" i="7"/>
  <c r="AJ27" i="7" s="1"/>
  <c r="BK54" i="7"/>
  <c r="BL54" i="7" s="1"/>
  <c r="BG44" i="7"/>
  <c r="BH44" i="7" s="1"/>
  <c r="AQ57" i="7"/>
  <c r="AR57" i="7" s="1"/>
  <c r="AA16" i="7"/>
  <c r="AB16" i="7" s="1"/>
  <c r="BG4" i="7"/>
  <c r="BH4" i="7" s="1"/>
  <c r="AQ4" i="7"/>
  <c r="AR4" i="7" s="1"/>
  <c r="AY17" i="7"/>
  <c r="AZ17" i="7" s="1"/>
  <c r="AQ52" i="7"/>
  <c r="AR52" i="7" s="1"/>
  <c r="AY54" i="7"/>
  <c r="AZ54" i="7" s="1"/>
  <c r="BG18" i="7"/>
  <c r="BH18" i="7" s="1"/>
  <c r="BS12" i="7"/>
  <c r="BT12" i="7" s="1"/>
  <c r="BS38" i="7"/>
  <c r="BT38" i="7" s="1"/>
  <c r="AQ29" i="7"/>
  <c r="AR29" i="7" s="1"/>
  <c r="AA14" i="7"/>
  <c r="AB14" i="7" s="1"/>
  <c r="BK40" i="7"/>
  <c r="BL40" i="7" s="1"/>
  <c r="BK55" i="7"/>
  <c r="BL55" i="7" s="1"/>
  <c r="AQ62" i="7"/>
  <c r="AR62" i="7" s="1"/>
  <c r="AQ9" i="7"/>
  <c r="AR9" i="7" s="1"/>
  <c r="BG20" i="7"/>
  <c r="BH20" i="7" s="1"/>
  <c r="AA25" i="7"/>
  <c r="AB25" i="7" s="1"/>
  <c r="AA41" i="7"/>
  <c r="AB41" i="7" s="1"/>
  <c r="AQ55" i="7"/>
  <c r="AR55" i="7" s="1"/>
  <c r="AI54" i="7"/>
  <c r="AJ54" i="7" s="1"/>
  <c r="BS46" i="7"/>
  <c r="BT46" i="7" s="1"/>
  <c r="BK43" i="7"/>
  <c r="BL43" i="7" s="1"/>
  <c r="BK48" i="7"/>
  <c r="BL48" i="7" s="1"/>
  <c r="AQ18" i="7"/>
  <c r="AR18" i="7" s="1"/>
  <c r="BK18" i="7"/>
  <c r="BL18" i="7" s="1"/>
  <c r="AY49" i="7"/>
  <c r="AZ49" i="7" s="1"/>
  <c r="AQ20" i="7"/>
  <c r="AR20" i="7" s="1"/>
  <c r="BK41" i="7"/>
  <c r="BL41" i="7" s="1"/>
  <c r="BG46" i="7"/>
  <c r="BH46" i="7" s="1"/>
  <c r="BK63" i="7"/>
  <c r="BL63" i="7" s="1"/>
  <c r="AA42" i="7"/>
  <c r="AB42" i="7" s="1"/>
  <c r="AA13" i="7"/>
  <c r="AB13" i="7" s="1"/>
  <c r="BG16" i="7"/>
  <c r="BH16" i="7" s="1"/>
  <c r="AA62" i="7"/>
  <c r="AB62" i="7" s="1"/>
  <c r="AI12" i="7"/>
  <c r="AJ12" i="7" s="1"/>
  <c r="AY62" i="7"/>
  <c r="AZ62" i="7" s="1"/>
  <c r="AI34" i="7"/>
  <c r="AJ34" i="7" s="1"/>
  <c r="BK28" i="7"/>
  <c r="BL28" i="7" s="1"/>
  <c r="BK49" i="7"/>
  <c r="BL49" i="7" s="1"/>
  <c r="AI38" i="7"/>
  <c r="AJ38" i="7" s="1"/>
  <c r="AQ12" i="7"/>
  <c r="AR12" i="7" s="1"/>
  <c r="AQ19" i="7"/>
  <c r="AR19" i="7" s="1"/>
  <c r="BG27" i="7"/>
  <c r="BH27" i="7" s="1"/>
  <c r="BG19" i="7"/>
  <c r="BH19" i="7" s="1"/>
  <c r="AQ35" i="7"/>
  <c r="AR35" i="7" s="1"/>
  <c r="BS18" i="7"/>
  <c r="BT18" i="7" s="1"/>
  <c r="AY15" i="7"/>
  <c r="AZ15" i="7" s="1"/>
  <c r="BS21" i="7"/>
  <c r="BT21" i="7" s="1"/>
  <c r="BG49" i="7"/>
  <c r="BH49" i="7" s="1"/>
  <c r="AA32" i="7"/>
  <c r="AB32" i="7" s="1"/>
  <c r="AI26" i="7"/>
  <c r="AJ26" i="7" s="1"/>
  <c r="AA11" i="7"/>
  <c r="AB11" i="7" s="1"/>
  <c r="BS11" i="7"/>
  <c r="BT11" i="7" s="1"/>
  <c r="AE7" i="7"/>
  <c r="AF7" i="7" s="1"/>
  <c r="BS48" i="7"/>
  <c r="BT48" i="7" s="1"/>
  <c r="AA61" i="7"/>
  <c r="AB61" i="7" s="1"/>
  <c r="BS29" i="7"/>
  <c r="BT29" i="7" s="1"/>
  <c r="BS9" i="7"/>
  <c r="BT9" i="7" s="1"/>
  <c r="AI61" i="7"/>
  <c r="AJ61" i="7" s="1"/>
  <c r="AE36" i="7"/>
  <c r="AF36" i="7" s="1"/>
  <c r="BS61" i="7"/>
  <c r="BT61" i="7" s="1"/>
  <c r="BG9" i="7"/>
  <c r="BH9" i="7" s="1"/>
  <c r="BK17" i="7"/>
  <c r="BL17" i="7" s="1"/>
  <c r="AA36" i="7"/>
  <c r="AB36" i="7" s="1"/>
  <c r="AE19" i="7"/>
  <c r="AF19" i="7" s="1"/>
  <c r="BK5" i="7"/>
  <c r="BL5" i="7" s="1"/>
  <c r="BK29" i="7"/>
  <c r="BL29" i="7" s="1"/>
  <c r="BK8" i="7"/>
  <c r="BL8" i="7" s="1"/>
  <c r="BK27" i="7"/>
  <c r="BL27" i="7" s="1"/>
  <c r="BK10" i="7"/>
  <c r="BL10" i="7" s="1"/>
  <c r="BK37" i="7"/>
  <c r="BL37" i="7" s="1"/>
  <c r="BK61" i="7"/>
  <c r="BL61" i="7" s="1"/>
  <c r="BK20" i="7"/>
  <c r="BL20" i="7" s="1"/>
  <c r="BK22" i="7"/>
  <c r="BL22" i="7" s="1"/>
  <c r="BK23" i="7"/>
  <c r="BL23" i="7" s="1"/>
  <c r="BK58" i="7"/>
  <c r="BL58" i="7" s="1"/>
  <c r="BK21" i="7"/>
  <c r="BL21" i="7" s="1"/>
  <c r="BK60" i="7"/>
  <c r="BL60" i="7" s="1"/>
  <c r="AA53" i="7"/>
  <c r="AB53" i="7" s="1"/>
  <c r="BK38" i="7"/>
  <c r="BL38" i="7" s="1"/>
  <c r="BG61" i="7"/>
  <c r="BH61" i="7" s="1"/>
  <c r="BG21" i="7"/>
  <c r="BH21" i="7" s="1"/>
  <c r="BG39" i="7"/>
  <c r="BH39" i="7" s="1"/>
  <c r="BK15" i="7"/>
  <c r="BL15" i="7" s="1"/>
  <c r="BG32" i="7"/>
  <c r="BH32" i="7" s="1"/>
  <c r="BG56" i="7"/>
  <c r="BH56" i="7" s="1"/>
  <c r="AA34" i="7"/>
  <c r="AB34" i="7" s="1"/>
  <c r="BG57" i="7"/>
  <c r="BH57" i="7" s="1"/>
  <c r="BG62" i="7"/>
  <c r="BH62" i="7" s="1"/>
  <c r="BG50" i="7"/>
  <c r="BH50" i="7" s="1"/>
  <c r="BG28" i="7"/>
  <c r="BH28" i="7" s="1"/>
  <c r="AQ60" i="7"/>
  <c r="AR60" i="7" s="1"/>
  <c r="AI5" i="7"/>
  <c r="AJ5" i="7" s="1"/>
  <c r="BG30" i="7"/>
  <c r="BH30" i="7" s="1"/>
  <c r="BG15" i="7"/>
  <c r="BH15" i="7" s="1"/>
  <c r="AA52" i="7"/>
  <c r="AB52" i="7" s="1"/>
  <c r="BK45" i="7"/>
  <c r="BL45" i="7" s="1"/>
  <c r="AQ41" i="7"/>
  <c r="AR41" i="7" s="1"/>
  <c r="AA60" i="7"/>
  <c r="AB60" i="7" s="1"/>
  <c r="BK14" i="7"/>
  <c r="BL14" i="7" s="1"/>
  <c r="AQ49" i="7"/>
  <c r="AR49" i="7" s="1"/>
  <c r="AA37" i="7"/>
  <c r="AB37" i="7" s="1"/>
  <c r="AI41" i="7"/>
  <c r="AJ41" i="7" s="1"/>
  <c r="AI59" i="7"/>
  <c r="AJ59" i="7" s="1"/>
  <c r="AI49" i="7"/>
  <c r="AJ49" i="7" s="1"/>
  <c r="AA23" i="7"/>
  <c r="AB23" i="7" s="1"/>
  <c r="AQ37" i="7"/>
  <c r="AR37" i="7" s="1"/>
  <c r="BK26" i="7"/>
  <c r="BL26" i="7" s="1"/>
  <c r="BG12" i="7"/>
  <c r="BH12" i="7" s="1"/>
  <c r="BK31" i="7"/>
  <c r="BL31" i="7" s="1"/>
  <c r="AQ36" i="7"/>
  <c r="AR36" i="7" s="1"/>
  <c r="BK42" i="7"/>
  <c r="BL42" i="7" s="1"/>
  <c r="BK13" i="7"/>
  <c r="BL13" i="7" s="1"/>
  <c r="BG14" i="7"/>
  <c r="BH14" i="7" s="1"/>
  <c r="AI35" i="7"/>
  <c r="AJ35" i="7" s="1"/>
  <c r="AI9" i="7"/>
  <c r="AJ9" i="7" s="1"/>
  <c r="AY22" i="7"/>
  <c r="AZ22" i="7" s="1"/>
  <c r="BK39" i="7"/>
  <c r="BL39" i="7" s="1"/>
  <c r="AI64" i="7"/>
  <c r="AJ64" i="7" s="1"/>
  <c r="AQ17" i="7"/>
  <c r="AR17" i="7" s="1"/>
  <c r="AI60" i="7"/>
  <c r="AJ60" i="7" s="1"/>
  <c r="AY24" i="7"/>
  <c r="AZ24" i="7" s="1"/>
  <c r="BG34" i="7"/>
  <c r="BH34" i="7" s="1"/>
  <c r="BK6" i="7"/>
  <c r="BL6" i="7" s="1"/>
  <c r="BK35" i="7"/>
  <c r="BL35" i="7" s="1"/>
  <c r="AY52" i="7"/>
  <c r="AZ52" i="7" s="1"/>
  <c r="AI55" i="7"/>
  <c r="AJ55" i="7" s="1"/>
  <c r="BG13" i="7"/>
  <c r="BH13" i="7" s="1"/>
  <c r="AI37" i="7"/>
  <c r="AJ37" i="7" s="1"/>
  <c r="AA31" i="7"/>
  <c r="AB31" i="7" s="1"/>
  <c r="BG22" i="7"/>
  <c r="BH22" i="7" s="1"/>
  <c r="AI19" i="7"/>
  <c r="AJ19" i="7" s="1"/>
  <c r="BK34" i="7"/>
  <c r="BL34" i="7" s="1"/>
  <c r="BK59" i="7"/>
  <c r="BL59" i="7" s="1"/>
  <c r="AA40" i="7"/>
  <c r="AB40" i="7" s="1"/>
  <c r="AI17" i="7"/>
  <c r="AJ17" i="7" s="1"/>
  <c r="BS26" i="7"/>
  <c r="BT26" i="7" s="1"/>
  <c r="AA8" i="7"/>
  <c r="AB8" i="7" s="1"/>
  <c r="AQ27" i="7"/>
  <c r="AR27" i="7" s="1"/>
  <c r="BS19" i="7"/>
  <c r="BT19" i="7" s="1"/>
  <c r="AA35" i="7"/>
  <c r="AB35" i="7" s="1"/>
  <c r="AQ46" i="7"/>
  <c r="AR46" i="7" s="1"/>
  <c r="AA39" i="7"/>
  <c r="AB39" i="7" s="1"/>
  <c r="BS31" i="7"/>
  <c r="BT31" i="7" s="1"/>
  <c r="AA56" i="7"/>
  <c r="AB56" i="7" s="1"/>
  <c r="AI52" i="7"/>
  <c r="AJ52" i="7" s="1"/>
  <c r="AY20" i="7"/>
  <c r="AZ20" i="7" s="1"/>
  <c r="BK30" i="7"/>
  <c r="BL30" i="7" s="1"/>
  <c r="BG37" i="7"/>
  <c r="BH37" i="7" s="1"/>
  <c r="AY43" i="7"/>
  <c r="AZ43" i="7" s="1"/>
  <c r="AQ39" i="7"/>
  <c r="AR39" i="7" s="1"/>
  <c r="AA51" i="7"/>
  <c r="AB51" i="7" s="1"/>
  <c r="BK7" i="7"/>
  <c r="BL7" i="7" s="1"/>
  <c r="AY33" i="7"/>
  <c r="AZ33" i="7" s="1"/>
  <c r="BS16" i="7"/>
  <c r="BT16" i="7" s="1"/>
  <c r="AI13" i="7"/>
  <c r="AJ13" i="7" s="1"/>
  <c r="BK47" i="7"/>
  <c r="BL47" i="7" s="1"/>
  <c r="BK11" i="7"/>
  <c r="BL11" i="7" s="1"/>
  <c r="AQ58" i="7"/>
  <c r="AR58" i="7" s="1"/>
  <c r="BK52" i="7"/>
  <c r="BL52" i="7" s="1"/>
  <c r="AY30" i="7"/>
  <c r="AZ30" i="7" s="1"/>
  <c r="BK53" i="7"/>
  <c r="BL53" i="7" s="1"/>
  <c r="BG53" i="7"/>
  <c r="BH53" i="7" s="1"/>
  <c r="BG55" i="7"/>
  <c r="BH55" i="7" s="1"/>
  <c r="BK64" i="7"/>
  <c r="BL64" i="7" s="1"/>
  <c r="BS34" i="7"/>
  <c r="BT34" i="7" s="1"/>
  <c r="AA28" i="7"/>
  <c r="AB28" i="7" s="1"/>
  <c r="AA47" i="7"/>
  <c r="AB47" i="7" s="1"/>
  <c r="BK57" i="7"/>
  <c r="BL57" i="7" s="1"/>
  <c r="AY64" i="7"/>
  <c r="AZ64" i="7" s="1"/>
  <c r="BS13" i="7"/>
  <c r="BT13" i="7" s="1"/>
  <c r="BK62" i="7"/>
  <c r="BL62" i="7" s="1"/>
  <c r="AE62" i="7"/>
  <c r="AF62" i="7" s="1"/>
  <c r="AE27" i="7"/>
  <c r="AF27" i="7" s="1"/>
  <c r="AY10" i="7"/>
  <c r="AZ10" i="7" s="1"/>
  <c r="AA21" i="7"/>
  <c r="AB21" i="7" s="1"/>
  <c r="BK44" i="7"/>
  <c r="BL44" i="7" s="1"/>
  <c r="AI20" i="7"/>
  <c r="AJ20" i="7" s="1"/>
  <c r="AI63" i="7"/>
  <c r="AJ63" i="7" s="1"/>
  <c r="BC54" i="7"/>
  <c r="BD54" i="7" s="1"/>
  <c r="BS27" i="7"/>
  <c r="BT27" i="7" s="1"/>
  <c r="BS52" i="7"/>
  <c r="BT52" i="7" s="1"/>
  <c r="AE48" i="7"/>
  <c r="AF48" i="7" s="1"/>
  <c r="X20" i="5"/>
  <c r="Y20" i="5" s="1"/>
  <c r="X61" i="5"/>
  <c r="Y61" i="5" s="1"/>
  <c r="T21" i="5"/>
  <c r="U21" i="5" s="1"/>
  <c r="X16" i="5"/>
  <c r="Y16" i="5" s="1"/>
  <c r="X54" i="5"/>
  <c r="Y54" i="5" s="1"/>
  <c r="AF27" i="5"/>
  <c r="AG27" i="5" s="1"/>
  <c r="AF4" i="5"/>
  <c r="AG4" i="5" s="1"/>
  <c r="N28" i="5"/>
  <c r="Q28" i="5" s="1"/>
  <c r="T34" i="5"/>
  <c r="U34" i="5" s="1"/>
  <c r="X9" i="5"/>
  <c r="Y9" i="5" s="1"/>
  <c r="X43" i="5"/>
  <c r="Y43" i="5" s="1"/>
  <c r="T59" i="5"/>
  <c r="U59" i="5" s="1"/>
  <c r="AB31" i="5"/>
  <c r="AC31" i="5" s="1"/>
  <c r="AB36" i="5"/>
  <c r="AC36" i="5" s="1"/>
  <c r="N39" i="5"/>
  <c r="Q39" i="5" s="1"/>
  <c r="X65" i="5"/>
  <c r="Y65" i="5" s="1"/>
  <c r="X23" i="5"/>
  <c r="Y23" i="5" s="1"/>
  <c r="X21" i="5"/>
  <c r="Y21" i="5" s="1"/>
  <c r="AF35" i="5"/>
  <c r="AG35" i="5" s="1"/>
  <c r="T11" i="5"/>
  <c r="U11" i="5" s="1"/>
  <c r="T8" i="5"/>
  <c r="U8" i="5" s="1"/>
  <c r="T10" i="5"/>
  <c r="U10" i="5" s="1"/>
  <c r="T28" i="5"/>
  <c r="U28" i="5" s="1"/>
  <c r="N64" i="5"/>
  <c r="Q64" i="5" s="1"/>
  <c r="T5" i="5"/>
  <c r="U5" i="5" s="1"/>
  <c r="N18" i="5"/>
  <c r="Q18" i="5" s="1"/>
  <c r="T40" i="5"/>
  <c r="U40" i="5" s="1"/>
  <c r="T19" i="5"/>
  <c r="U19" i="5" s="1"/>
  <c r="T31" i="5"/>
  <c r="U31" i="5" s="1"/>
  <c r="T42" i="5"/>
  <c r="U42" i="5" s="1"/>
  <c r="AF33" i="5"/>
  <c r="AG33" i="5" s="1"/>
  <c r="T58" i="5"/>
  <c r="U58" i="5" s="1"/>
  <c r="AF63" i="5"/>
  <c r="AG63" i="5" s="1"/>
  <c r="T38" i="5"/>
  <c r="U38" i="5" s="1"/>
  <c r="N19" i="5"/>
  <c r="Q19" i="5" s="1"/>
  <c r="AB35" i="5"/>
  <c r="AC35" i="5" s="1"/>
  <c r="T54" i="5"/>
  <c r="U54" i="5" s="1"/>
  <c r="N47" i="5"/>
  <c r="Q47" i="5" s="1"/>
  <c r="T55" i="5"/>
  <c r="U55" i="5" s="1"/>
  <c r="T25" i="5"/>
  <c r="U25" i="5" s="1"/>
  <c r="T13" i="5"/>
  <c r="U13" i="5" s="1"/>
  <c r="T43" i="5"/>
  <c r="U43" i="5" s="1"/>
  <c r="T4" i="5"/>
  <c r="U4" i="5" s="1"/>
  <c r="T49" i="5"/>
  <c r="U49" i="5" s="1"/>
  <c r="AF7" i="5"/>
  <c r="AG7" i="5" s="1"/>
  <c r="X4" i="5"/>
  <c r="Y4" i="5" s="1"/>
  <c r="T7" i="5"/>
  <c r="U7" i="5" s="1"/>
  <c r="AF53" i="5"/>
  <c r="AG53" i="5" s="1"/>
  <c r="X64" i="5"/>
  <c r="Y64" i="5" s="1"/>
  <c r="T62" i="5"/>
  <c r="U62" i="5" s="1"/>
  <c r="AF52" i="5"/>
  <c r="AG52" i="5" s="1"/>
  <c r="AF18" i="5"/>
  <c r="AG18" i="5" s="1"/>
  <c r="X22" i="5"/>
  <c r="Y22" i="5" s="1"/>
  <c r="AF41" i="5"/>
  <c r="AG41" i="5" s="1"/>
  <c r="X31" i="5"/>
  <c r="Y31" i="5" s="1"/>
  <c r="T41" i="5"/>
  <c r="U41" i="5" s="1"/>
  <c r="AF14" i="5"/>
  <c r="AG14" i="5" s="1"/>
  <c r="AF48" i="5"/>
  <c r="AG48" i="5" s="1"/>
  <c r="X12" i="5"/>
  <c r="Y12" i="5" s="1"/>
  <c r="N12" i="5"/>
  <c r="Q12" i="5" s="1"/>
  <c r="AF60" i="5"/>
  <c r="AG60" i="5" s="1"/>
  <c r="T53" i="5"/>
  <c r="U53" i="5" s="1"/>
  <c r="T35" i="5"/>
  <c r="U35" i="5" s="1"/>
  <c r="N55" i="5"/>
  <c r="Q55" i="5" s="1"/>
  <c r="AB15" i="5"/>
  <c r="AC15" i="5" s="1"/>
  <c r="X41" i="5"/>
  <c r="Y41" i="5" s="1"/>
  <c r="T30" i="5"/>
  <c r="U30" i="5" s="1"/>
  <c r="X32" i="5"/>
  <c r="Y32" i="5" s="1"/>
  <c r="T27" i="5"/>
  <c r="U27" i="5" s="1"/>
  <c r="T60" i="5"/>
  <c r="U60" i="5" s="1"/>
  <c r="T36" i="5"/>
  <c r="U36" i="5" s="1"/>
  <c r="T18" i="5"/>
  <c r="U18" i="5" s="1"/>
  <c r="AF61" i="5"/>
  <c r="AG61" i="5" s="1"/>
  <c r="AF23" i="5"/>
  <c r="AG23" i="5" s="1"/>
  <c r="AF37" i="5"/>
  <c r="AG37" i="5" s="1"/>
  <c r="T14" i="5"/>
  <c r="U14" i="5" s="1"/>
  <c r="AB21" i="5"/>
  <c r="AC21" i="5" s="1"/>
  <c r="N16" i="5"/>
  <c r="Q16" i="5" s="1"/>
  <c r="T65" i="5"/>
  <c r="U65" i="5" s="1"/>
  <c r="AF36" i="5"/>
  <c r="AG36" i="5" s="1"/>
  <c r="T17" i="5"/>
  <c r="U17" i="5" s="1"/>
  <c r="T50" i="5"/>
  <c r="U50" i="5" s="1"/>
  <c r="T37" i="5"/>
  <c r="U37" i="5" s="1"/>
  <c r="X49" i="5"/>
  <c r="Y49" i="5" s="1"/>
  <c r="N42" i="5"/>
  <c r="Q42" i="5" s="1"/>
  <c r="AF21" i="5"/>
  <c r="AG21" i="5" s="1"/>
  <c r="AB51" i="5"/>
  <c r="AC51" i="5" s="1"/>
  <c r="N46" i="5"/>
  <c r="Q46" i="5" s="1"/>
  <c r="N61" i="5"/>
  <c r="Q61" i="5" s="1"/>
  <c r="N9" i="5"/>
  <c r="Q9" i="5" s="1"/>
  <c r="N24" i="5"/>
  <c r="Q24" i="5" s="1"/>
  <c r="N25" i="5"/>
  <c r="Q25" i="5" s="1"/>
  <c r="AB27" i="5"/>
  <c r="AC27" i="5" s="1"/>
  <c r="X7" i="5"/>
  <c r="Y7" i="5" s="1"/>
  <c r="AB32" i="5"/>
  <c r="AC32" i="5" s="1"/>
  <c r="AF15" i="5"/>
  <c r="AG15" i="5" s="1"/>
  <c r="X51" i="5"/>
  <c r="Y51" i="5" s="1"/>
  <c r="AB56" i="5"/>
  <c r="AC56" i="5" s="1"/>
  <c r="X25" i="5"/>
  <c r="Y25" i="5" s="1"/>
  <c r="AB30" i="5"/>
  <c r="AC30" i="5" s="1"/>
  <c r="N65" i="5"/>
  <c r="Q65" i="5" s="1"/>
  <c r="AF16" i="5"/>
  <c r="AG16" i="5" s="1"/>
  <c r="AF59" i="5"/>
  <c r="AG59" i="5" s="1"/>
  <c r="N26" i="5"/>
  <c r="Q26" i="5" s="1"/>
  <c r="T56" i="5"/>
  <c r="U56" i="5" s="1"/>
  <c r="N14" i="5"/>
  <c r="Q14" i="5" s="1"/>
  <c r="T39" i="5"/>
  <c r="U39" i="5" s="1"/>
  <c r="AB19" i="5"/>
  <c r="AC19" i="5" s="1"/>
  <c r="T32" i="5"/>
  <c r="U32" i="5" s="1"/>
  <c r="T46" i="5"/>
  <c r="U46" i="5" s="1"/>
  <c r="AB29" i="5"/>
  <c r="AC29" i="5" s="1"/>
  <c r="X24" i="5"/>
  <c r="Y24" i="5" s="1"/>
  <c r="N51" i="5"/>
  <c r="Q51" i="5" s="1"/>
  <c r="AF47" i="5"/>
  <c r="AG47" i="5" s="1"/>
  <c r="N52" i="5"/>
  <c r="Q52" i="5" s="1"/>
  <c r="AF46" i="5"/>
  <c r="AG46" i="5" s="1"/>
  <c r="T6" i="5"/>
  <c r="U6" i="5" s="1"/>
  <c r="AF25" i="5"/>
  <c r="AG25" i="5" s="1"/>
  <c r="N35" i="5"/>
  <c r="Q35" i="5" s="1"/>
  <c r="X45" i="5"/>
  <c r="Y45" i="5" s="1"/>
  <c r="AF44" i="5"/>
  <c r="AG44" i="5" s="1"/>
  <c r="AB40" i="5"/>
  <c r="AC40" i="5" s="1"/>
  <c r="T24" i="5"/>
  <c r="U24" i="5" s="1"/>
  <c r="X29" i="5"/>
  <c r="Y29" i="5" s="1"/>
  <c r="AB4" i="5"/>
  <c r="AC4" i="5" s="1"/>
  <c r="AF31" i="5"/>
  <c r="AG31" i="5" s="1"/>
  <c r="AB37" i="5"/>
  <c r="AC37" i="5" s="1"/>
  <c r="AF13" i="5"/>
  <c r="AG13" i="5" s="1"/>
  <c r="N10" i="5"/>
  <c r="Q10" i="5" s="1"/>
  <c r="X55" i="5"/>
  <c r="Y55" i="5" s="1"/>
  <c r="T48" i="5"/>
  <c r="U48" i="5" s="1"/>
  <c r="X37" i="5"/>
  <c r="Y37" i="5" s="1"/>
  <c r="AB46" i="5"/>
  <c r="AC46" i="5" s="1"/>
  <c r="AF22" i="5"/>
  <c r="AG22" i="5" s="1"/>
  <c r="AB55" i="5"/>
  <c r="AC55" i="5" s="1"/>
  <c r="T33" i="5"/>
  <c r="U33" i="5" s="1"/>
  <c r="T45" i="5"/>
  <c r="U45" i="5" s="1"/>
  <c r="AB57" i="5"/>
  <c r="AC57" i="5" s="1"/>
  <c r="T12" i="5"/>
  <c r="U12" i="5" s="1"/>
  <c r="AF19" i="5"/>
  <c r="AG19" i="5" s="1"/>
  <c r="N37" i="5"/>
  <c r="Q37" i="5" s="1"/>
  <c r="AB41" i="5"/>
  <c r="AC41" i="5" s="1"/>
  <c r="AF11" i="5"/>
  <c r="AG11" i="5" s="1"/>
  <c r="X15" i="5"/>
  <c r="Y15" i="5" s="1"/>
  <c r="AB17" i="5"/>
  <c r="AC17" i="5" s="1"/>
  <c r="X62" i="5"/>
  <c r="Y62" i="5" s="1"/>
  <c r="N60" i="5"/>
  <c r="Q60" i="5" s="1"/>
  <c r="X59" i="5"/>
  <c r="Y59" i="5" s="1"/>
  <c r="N29" i="5"/>
  <c r="Q29" i="5" s="1"/>
  <c r="AB22" i="5"/>
  <c r="AC22" i="5" s="1"/>
  <c r="AF65" i="5"/>
  <c r="AG65" i="5" s="1"/>
  <c r="AF5" i="5"/>
  <c r="AG5" i="5" s="1"/>
  <c r="N11" i="5"/>
  <c r="Q11" i="5" s="1"/>
  <c r="N8" i="5"/>
  <c r="Q8" i="5" s="1"/>
  <c r="X13" i="5"/>
  <c r="Y13" i="5" s="1"/>
  <c r="T20" i="5"/>
  <c r="U20" i="5" s="1"/>
  <c r="N23" i="5"/>
  <c r="Q23" i="5" s="1"/>
  <c r="AF10" i="5"/>
  <c r="AG10" i="5" s="1"/>
  <c r="N62" i="5"/>
  <c r="Q62" i="5" s="1"/>
  <c r="AF29" i="5"/>
  <c r="AG29" i="5" s="1"/>
  <c r="AB53" i="5"/>
  <c r="AC53" i="5" s="1"/>
  <c r="T51" i="5"/>
  <c r="U51" i="5" s="1"/>
  <c r="AB38" i="5"/>
  <c r="AC38" i="5" s="1"/>
  <c r="T9" i="5"/>
  <c r="U9" i="5" s="1"/>
  <c r="AB49" i="5"/>
  <c r="AC49" i="5" s="1"/>
  <c r="X28" i="5"/>
  <c r="Y28" i="5" s="1"/>
  <c r="AB10" i="5"/>
  <c r="AC10" i="5" s="1"/>
  <c r="T26" i="5"/>
  <c r="U26" i="5" s="1"/>
  <c r="N63" i="5"/>
  <c r="Q63" i="5" s="1"/>
  <c r="AB11" i="5"/>
  <c r="AC11" i="5" s="1"/>
  <c r="AB59" i="5"/>
  <c r="AC59" i="5" s="1"/>
  <c r="X5" i="5"/>
  <c r="Y5" i="5" s="1"/>
  <c r="AB14" i="5"/>
  <c r="AC14" i="5" s="1"/>
  <c r="X18" i="5"/>
  <c r="Y18" i="5" s="1"/>
  <c r="X57" i="5"/>
  <c r="Y57" i="5" s="1"/>
  <c r="X19" i="5"/>
  <c r="Y19" i="5" s="1"/>
  <c r="AF55" i="5"/>
  <c r="AG55" i="5" s="1"/>
  <c r="T29" i="5"/>
  <c r="U29" i="5" s="1"/>
  <c r="N4" i="5"/>
  <c r="Q4" i="5" s="1"/>
  <c r="AF34" i="5"/>
  <c r="AG34" i="5" s="1"/>
  <c r="X46" i="5"/>
  <c r="Y46" i="5" s="1"/>
  <c r="N54" i="5"/>
  <c r="Q54" i="5" s="1"/>
  <c r="AB50" i="5"/>
  <c r="AC50" i="5" s="1"/>
  <c r="N31" i="5"/>
  <c r="Q31" i="5" s="1"/>
  <c r="AB39" i="5"/>
  <c r="AC39" i="5" s="1"/>
  <c r="AB33" i="5"/>
  <c r="AC33" i="5" s="1"/>
  <c r="N22" i="5"/>
  <c r="Q22" i="5" s="1"/>
  <c r="N33" i="5"/>
  <c r="Q33" i="5" s="1"/>
  <c r="AB8" i="5"/>
  <c r="AC8" i="5" s="1"/>
  <c r="N38" i="5"/>
  <c r="Q38" i="5" s="1"/>
  <c r="AB13" i="5"/>
  <c r="AC13" i="5" s="1"/>
  <c r="X34" i="5"/>
  <c r="Y34" i="5" s="1"/>
  <c r="X17" i="5"/>
  <c r="Y17" i="5" s="1"/>
  <c r="AB5" i="5"/>
  <c r="AC5" i="5" s="1"/>
  <c r="AB16" i="5"/>
  <c r="AC16" i="5" s="1"/>
  <c r="N20" i="5"/>
  <c r="Q20" i="5" s="1"/>
  <c r="X42" i="5"/>
  <c r="Y42" i="5" s="1"/>
  <c r="AF24" i="5"/>
  <c r="AG24" i="5" s="1"/>
  <c r="N49" i="5"/>
  <c r="Q49" i="5" s="1"/>
  <c r="AF32" i="5"/>
  <c r="AG32" i="5" s="1"/>
  <c r="AB43" i="5"/>
  <c r="AC43" i="5" s="1"/>
  <c r="AF62" i="5"/>
  <c r="AG62" i="5" s="1"/>
  <c r="AF64" i="5"/>
  <c r="AG64" i="5" s="1"/>
  <c r="X58" i="5"/>
  <c r="Y58" i="5" s="1"/>
  <c r="AB60" i="5"/>
  <c r="AC60" i="5" s="1"/>
  <c r="N41" i="5"/>
  <c r="Q41" i="5" s="1"/>
  <c r="AB65" i="5"/>
  <c r="AC65" i="5" s="1"/>
  <c r="AB26" i="5"/>
  <c r="AC26" i="5" s="1"/>
  <c r="N13" i="5"/>
  <c r="Q13" i="5" s="1"/>
  <c r="X10" i="5"/>
  <c r="Y10" i="5" s="1"/>
  <c r="X30" i="5"/>
  <c r="Y30" i="5" s="1"/>
  <c r="X39" i="5"/>
  <c r="Y39" i="5" s="1"/>
  <c r="AB47" i="5"/>
  <c r="AC47" i="5" s="1"/>
  <c r="N17" i="5"/>
  <c r="Q17" i="5" s="1"/>
  <c r="AF38" i="5"/>
  <c r="AG38" i="5" s="1"/>
  <c r="N5" i="5"/>
  <c r="Q5" i="5" s="1"/>
  <c r="T16" i="5"/>
  <c r="U16" i="5" s="1"/>
  <c r="X27" i="5"/>
  <c r="Y27" i="5" s="1"/>
  <c r="AF42" i="5"/>
  <c r="AG42" i="5" s="1"/>
  <c r="N48" i="5"/>
  <c r="Q48" i="5" s="1"/>
  <c r="AF57" i="5"/>
  <c r="AG57" i="5" s="1"/>
  <c r="T47" i="5"/>
  <c r="U47" i="5" s="1"/>
  <c r="AB62" i="5"/>
  <c r="AC62" i="5" s="1"/>
  <c r="X38" i="5"/>
  <c r="Y38" i="5" s="1"/>
  <c r="AF51" i="5"/>
  <c r="AG51" i="5" s="1"/>
  <c r="AF58" i="5"/>
  <c r="AG58" i="5" s="1"/>
  <c r="N7" i="5"/>
  <c r="Q7" i="5" s="1"/>
  <c r="N40" i="5"/>
  <c r="Q40" i="5" s="1"/>
  <c r="N32" i="5"/>
  <c r="Q32" i="5" s="1"/>
  <c r="T23" i="5"/>
  <c r="U23" i="5" s="1"/>
  <c r="AF40" i="5"/>
  <c r="AG40" i="5" s="1"/>
  <c r="AB12" i="5"/>
  <c r="AC12" i="5" s="1"/>
  <c r="X26" i="5"/>
  <c r="Y26" i="5" s="1"/>
  <c r="T57" i="5"/>
  <c r="U57" i="5" s="1"/>
  <c r="AB6" i="5"/>
  <c r="AC6" i="5" s="1"/>
  <c r="N34" i="5"/>
  <c r="Q34" i="5" s="1"/>
  <c r="X35" i="5"/>
  <c r="Y35" i="5" s="1"/>
  <c r="AF9" i="5"/>
  <c r="AG9" i="5" s="1"/>
  <c r="N50" i="5"/>
  <c r="Q50" i="5" s="1"/>
  <c r="AB23" i="5"/>
  <c r="AC23" i="5" s="1"/>
  <c r="X14" i="5"/>
  <c r="Y14" i="5" s="1"/>
  <c r="AF26" i="5"/>
  <c r="AG26" i="5" s="1"/>
  <c r="AF30" i="5"/>
  <c r="AG30" i="5" s="1"/>
  <c r="N36" i="5"/>
  <c r="Q36" i="5" s="1"/>
  <c r="AB42" i="5"/>
  <c r="AC42" i="5" s="1"/>
  <c r="X40" i="5"/>
  <c r="Y40" i="5" s="1"/>
  <c r="X56" i="5"/>
  <c r="Y56" i="5" s="1"/>
  <c r="N59" i="5"/>
  <c r="Q59" i="5" s="1"/>
  <c r="X6" i="5"/>
  <c r="Y6" i="5" s="1"/>
  <c r="AB28" i="5"/>
  <c r="AC28" i="5" s="1"/>
  <c r="X44" i="5"/>
  <c r="Y44" i="5" s="1"/>
  <c r="X63" i="5"/>
  <c r="Y63" i="5" s="1"/>
  <c r="AF6" i="5"/>
  <c r="AG6" i="5" s="1"/>
  <c r="N44" i="5"/>
  <c r="Q44" i="5" s="1"/>
  <c r="X52" i="5"/>
  <c r="Y52" i="5" s="1"/>
  <c r="AB18" i="5"/>
  <c r="AC18" i="5" s="1"/>
  <c r="AF8" i="5"/>
  <c r="AG8" i="5" s="1"/>
  <c r="X48" i="5"/>
  <c r="Y48" i="5" s="1"/>
  <c r="T44" i="5"/>
  <c r="U44" i="5" s="1"/>
  <c r="X47" i="5"/>
  <c r="Y47" i="5" s="1"/>
  <c r="AF49" i="5"/>
  <c r="AG49" i="5" s="1"/>
  <c r="T63" i="5"/>
  <c r="U63" i="5" s="1"/>
  <c r="X60" i="5"/>
  <c r="Y60" i="5" s="1"/>
  <c r="T22" i="5"/>
  <c r="U22" i="5" s="1"/>
  <c r="N58" i="5"/>
  <c r="Q58" i="5" s="1"/>
  <c r="T64" i="5"/>
  <c r="U64" i="5" s="1"/>
  <c r="AB7" i="5"/>
  <c r="AC7" i="5" s="1"/>
  <c r="AF43" i="5"/>
  <c r="AG43" i="5" s="1"/>
  <c r="X53" i="5"/>
  <c r="Y53" i="5" s="1"/>
  <c r="N30" i="5"/>
  <c r="Q30" i="5" s="1"/>
  <c r="AF20" i="5"/>
  <c r="AG20" i="5" s="1"/>
  <c r="X8" i="5"/>
  <c r="Y8" i="5" s="1"/>
  <c r="N57" i="5"/>
  <c r="Q57" i="5" s="1"/>
  <c r="N6" i="5"/>
  <c r="Q6" i="5" s="1"/>
  <c r="AF45" i="5"/>
  <c r="AG45" i="5" s="1"/>
  <c r="N53" i="5"/>
  <c r="Q53" i="5" s="1"/>
  <c r="AB24" i="5"/>
  <c r="AC24" i="5" s="1"/>
  <c r="T15" i="5"/>
  <c r="U15" i="5" s="1"/>
  <c r="T61" i="5"/>
  <c r="U61" i="5" s="1"/>
  <c r="AE26" i="4"/>
  <c r="AF26" i="4" s="1"/>
  <c r="AE7" i="4"/>
  <c r="AF7" i="4" s="1"/>
  <c r="AE44" i="4"/>
  <c r="AF44" i="4" s="1"/>
  <c r="AE30" i="4"/>
  <c r="AF30" i="4" s="1"/>
  <c r="AE12" i="4"/>
  <c r="AF12" i="4" s="1"/>
  <c r="AA40" i="4"/>
  <c r="AB40" i="4" s="1"/>
  <c r="AA12" i="4"/>
  <c r="AB12" i="4" s="1"/>
  <c r="AA37" i="4"/>
  <c r="AB37" i="4" s="1"/>
  <c r="AA17" i="4"/>
  <c r="AB17" i="4" s="1"/>
  <c r="AE29" i="4"/>
  <c r="AF29" i="4" s="1"/>
  <c r="AE45" i="4"/>
  <c r="AF45" i="4" s="1"/>
  <c r="BK56" i="4"/>
  <c r="BL56" i="4" s="1"/>
  <c r="AE25" i="4"/>
  <c r="AF25" i="4" s="1"/>
  <c r="AE36" i="4"/>
  <c r="AF36" i="4" s="1"/>
  <c r="AE13" i="4"/>
  <c r="AF13" i="4" s="1"/>
  <c r="AE4" i="4"/>
  <c r="AF4" i="4" s="1"/>
  <c r="BK63" i="4"/>
  <c r="BL63" i="4" s="1"/>
  <c r="BK54" i="4"/>
  <c r="BL54" i="4" s="1"/>
  <c r="BK44" i="4"/>
  <c r="BL44" i="4" s="1"/>
  <c r="AE31" i="4"/>
  <c r="AF31" i="4" s="1"/>
  <c r="AE43" i="4"/>
  <c r="AF43" i="4" s="1"/>
  <c r="AE14" i="4"/>
  <c r="AF14" i="4" s="1"/>
  <c r="BO59" i="4"/>
  <c r="BP59" i="4" s="1"/>
  <c r="BT65" i="4"/>
  <c r="AY22" i="4"/>
  <c r="AZ22" i="4" s="1"/>
  <c r="AE61" i="4"/>
  <c r="AF61" i="4" s="1"/>
  <c r="AE48" i="4"/>
  <c r="AF48" i="4" s="1"/>
  <c r="AE5" i="4"/>
  <c r="AF5" i="4" s="1"/>
  <c r="AY38" i="4"/>
  <c r="AZ38" i="4" s="1"/>
  <c r="BO58" i="4"/>
  <c r="BP58" i="4" s="1"/>
  <c r="AE42" i="4"/>
  <c r="AF42" i="4" s="1"/>
  <c r="AE49" i="4"/>
  <c r="AF49" i="4" s="1"/>
  <c r="AE39" i="4"/>
  <c r="AF39" i="4" s="1"/>
  <c r="AM40" i="4"/>
  <c r="AN40" i="4" s="1"/>
  <c r="AY60" i="4"/>
  <c r="AZ60" i="4" s="1"/>
  <c r="AY63" i="4"/>
  <c r="AZ63" i="4" s="1"/>
  <c r="AY31" i="4"/>
  <c r="AZ31" i="4" s="1"/>
  <c r="AY35" i="4"/>
  <c r="AZ35" i="4" s="1"/>
  <c r="AY11" i="4"/>
  <c r="AZ11" i="4" s="1"/>
  <c r="AE62" i="4"/>
  <c r="AF62" i="4" s="1"/>
  <c r="AE32" i="4"/>
  <c r="AF32" i="4" s="1"/>
  <c r="AE34" i="4"/>
  <c r="AF34" i="4" s="1"/>
  <c r="AA57" i="4"/>
  <c r="AB57" i="4" s="1"/>
  <c r="AM37" i="4"/>
  <c r="AN37" i="4" s="1"/>
  <c r="BG34" i="4"/>
  <c r="BH34" i="4" s="1"/>
  <c r="BC55" i="4"/>
  <c r="BD55" i="4" s="1"/>
  <c r="AM31" i="4"/>
  <c r="AN31" i="4" s="1"/>
  <c r="BG63" i="4"/>
  <c r="BH63" i="4" s="1"/>
  <c r="AY19" i="4"/>
  <c r="AZ19" i="4" s="1"/>
  <c r="BC8" i="4"/>
  <c r="BD8" i="4" s="1"/>
  <c r="AA18" i="4"/>
  <c r="AB18" i="4" s="1"/>
  <c r="BG28" i="4"/>
  <c r="BH28" i="4" s="1"/>
  <c r="AM10" i="4"/>
  <c r="AN10" i="4" s="1"/>
  <c r="BO39" i="4"/>
  <c r="BP39" i="4" s="1"/>
  <c r="BG5" i="4"/>
  <c r="BH5" i="4" s="1"/>
  <c r="BC38" i="4"/>
  <c r="BD38" i="4" s="1"/>
  <c r="BO56" i="4"/>
  <c r="BP56" i="4" s="1"/>
  <c r="AY48" i="4"/>
  <c r="AZ48" i="4" s="1"/>
  <c r="AA61" i="4"/>
  <c r="AB61" i="4" s="1"/>
  <c r="AA30" i="4"/>
  <c r="AB30" i="4" s="1"/>
  <c r="BG55" i="4"/>
  <c r="BH55" i="4" s="1"/>
  <c r="AY36" i="4"/>
  <c r="AZ36" i="4" s="1"/>
  <c r="BO53" i="4"/>
  <c r="BP53" i="4" s="1"/>
  <c r="AY45" i="4"/>
  <c r="AZ45" i="4" s="1"/>
  <c r="BO47" i="4"/>
  <c r="BP47" i="4" s="1"/>
  <c r="AA16" i="4"/>
  <c r="AB16" i="4" s="1"/>
  <c r="BG62" i="4"/>
  <c r="BH62" i="4" s="1"/>
  <c r="BG58" i="4"/>
  <c r="BH58" i="4" s="1"/>
  <c r="BG20" i="4"/>
  <c r="BH20" i="4" s="1"/>
  <c r="BG43" i="4"/>
  <c r="BH43" i="4" s="1"/>
  <c r="AM50" i="4"/>
  <c r="AN50" i="4" s="1"/>
  <c r="AM29" i="4"/>
  <c r="AN29" i="4" s="1"/>
  <c r="AM62" i="4"/>
  <c r="AN62" i="4" s="1"/>
  <c r="AM32" i="4"/>
  <c r="AN32" i="4" s="1"/>
  <c r="AY54" i="4"/>
  <c r="AZ54" i="4" s="1"/>
  <c r="BO52" i="4"/>
  <c r="BP52" i="4" s="1"/>
  <c r="BO25" i="4"/>
  <c r="BP25" i="4" s="1"/>
  <c r="BO9" i="4"/>
  <c r="BP9" i="4" s="1"/>
  <c r="AY32" i="4"/>
  <c r="AZ32" i="4" s="1"/>
  <c r="AY47" i="4"/>
  <c r="AZ47" i="4" s="1"/>
  <c r="AY49" i="4"/>
  <c r="AZ49" i="4" s="1"/>
  <c r="AY26" i="4"/>
  <c r="AZ26" i="4" s="1"/>
  <c r="AM54" i="4"/>
  <c r="AN54" i="4" s="1"/>
  <c r="AM46" i="4"/>
  <c r="AN46" i="4" s="1"/>
  <c r="AM5" i="4"/>
  <c r="AN5" i="4" s="1"/>
  <c r="AM56" i="4"/>
  <c r="AN56" i="4" s="1"/>
  <c r="AM55" i="4"/>
  <c r="AN55" i="4" s="1"/>
  <c r="AM16" i="4"/>
  <c r="AN16" i="4" s="1"/>
  <c r="AM24" i="4"/>
  <c r="AN24" i="4" s="1"/>
  <c r="AY52" i="4"/>
  <c r="AZ52" i="4" s="1"/>
  <c r="AA43" i="4"/>
  <c r="AB43" i="4" s="1"/>
  <c r="BG9" i="4"/>
  <c r="BH9" i="4" s="1"/>
  <c r="AM20" i="4"/>
  <c r="AN20" i="4" s="1"/>
  <c r="AY44" i="4"/>
  <c r="AZ44" i="4" s="1"/>
  <c r="AY34" i="4"/>
  <c r="AZ34" i="4" s="1"/>
  <c r="AY37" i="4"/>
  <c r="AZ37" i="4" s="1"/>
  <c r="BO29" i="4"/>
  <c r="BP29" i="4" s="1"/>
  <c r="AA47" i="4"/>
  <c r="AB47" i="4" s="1"/>
  <c r="BG36" i="4"/>
  <c r="BH36" i="4" s="1"/>
  <c r="AM52" i="4"/>
  <c r="AN52" i="4" s="1"/>
  <c r="BO57" i="4"/>
  <c r="BP57" i="4" s="1"/>
  <c r="BC17" i="4"/>
  <c r="BD17" i="4" s="1"/>
  <c r="AA54" i="4"/>
  <c r="AB54" i="4" s="1"/>
  <c r="BG23" i="4"/>
  <c r="BH23" i="4" s="1"/>
  <c r="BC14" i="4"/>
  <c r="BD14" i="4" s="1"/>
  <c r="AY39" i="4"/>
  <c r="AZ39" i="4" s="1"/>
  <c r="AA41" i="4"/>
  <c r="AB41" i="4" s="1"/>
  <c r="BG41" i="4"/>
  <c r="BH41" i="4" s="1"/>
  <c r="AM12" i="4"/>
  <c r="AN12" i="4" s="1"/>
  <c r="BO13" i="4"/>
  <c r="BP13" i="4" s="1"/>
  <c r="AM51" i="4"/>
  <c r="AN51" i="4" s="1"/>
  <c r="AA15" i="4"/>
  <c r="AB15" i="4" s="1"/>
  <c r="BG15" i="4"/>
  <c r="BH15" i="4" s="1"/>
  <c r="AM47" i="4"/>
  <c r="AN47" i="4" s="1"/>
  <c r="BO5" i="4"/>
  <c r="BP5" i="4" s="1"/>
  <c r="AY33" i="4"/>
  <c r="AZ33" i="4" s="1"/>
  <c r="AA23" i="4"/>
  <c r="AB23" i="4" s="1"/>
  <c r="AA62" i="4"/>
  <c r="AB62" i="4" s="1"/>
  <c r="AA11" i="4"/>
  <c r="AB11" i="4" s="1"/>
  <c r="AA25" i="4"/>
  <c r="AB25" i="4" s="1"/>
  <c r="AA5" i="4"/>
  <c r="AB5" i="4" s="1"/>
  <c r="BG60" i="4"/>
  <c r="BH60" i="4" s="1"/>
  <c r="BG26" i="4"/>
  <c r="BH26" i="4" s="1"/>
  <c r="BG47" i="4"/>
  <c r="BH47" i="4" s="1"/>
  <c r="BG14" i="4"/>
  <c r="BH14" i="4" s="1"/>
  <c r="BC51" i="4"/>
  <c r="BD51" i="4" s="1"/>
  <c r="AM19" i="4"/>
  <c r="AN19" i="4" s="1"/>
  <c r="AM34" i="4"/>
  <c r="AN34" i="4" s="1"/>
  <c r="AM15" i="4"/>
  <c r="AN15" i="4" s="1"/>
  <c r="BO62" i="4"/>
  <c r="BP62" i="4" s="1"/>
  <c r="BO41" i="4"/>
  <c r="BP41" i="4" s="1"/>
  <c r="BO24" i="4"/>
  <c r="BP24" i="4" s="1"/>
  <c r="AY58" i="4"/>
  <c r="AZ58" i="4" s="1"/>
  <c r="AY53" i="4"/>
  <c r="AZ53" i="4" s="1"/>
  <c r="AY18" i="4"/>
  <c r="AZ18" i="4" s="1"/>
  <c r="AE51" i="4"/>
  <c r="AF51" i="4" s="1"/>
  <c r="BC11" i="4"/>
  <c r="BD11" i="4" s="1"/>
  <c r="BC63" i="4"/>
  <c r="BD63" i="4" s="1"/>
  <c r="BC22" i="4"/>
  <c r="BD22" i="4" s="1"/>
  <c r="AM63" i="4"/>
  <c r="AN63" i="4" s="1"/>
  <c r="AM13" i="4"/>
  <c r="AN13" i="4" s="1"/>
  <c r="AM39" i="4"/>
  <c r="AN39" i="4" s="1"/>
  <c r="AM38" i="4"/>
  <c r="AN38" i="4" s="1"/>
  <c r="AY17" i="4"/>
  <c r="AZ17" i="4" s="1"/>
  <c r="BG6" i="4"/>
  <c r="BH6" i="4" s="1"/>
  <c r="AM35" i="4"/>
  <c r="AN35" i="4" s="1"/>
  <c r="AM8" i="4"/>
  <c r="AN8" i="4" s="1"/>
  <c r="AY9" i="4"/>
  <c r="AZ9" i="4" s="1"/>
  <c r="AA63" i="4"/>
  <c r="AB63" i="4" s="1"/>
  <c r="BG59" i="4"/>
  <c r="BH59" i="4" s="1"/>
  <c r="BC26" i="4"/>
  <c r="BD26" i="4" s="1"/>
  <c r="AM43" i="4"/>
  <c r="AN43" i="4" s="1"/>
  <c r="AY56" i="4"/>
  <c r="AZ56" i="4" s="1"/>
  <c r="AY55" i="4"/>
  <c r="AZ55" i="4" s="1"/>
  <c r="AA49" i="4"/>
  <c r="AB49" i="4" s="1"/>
  <c r="BG50" i="4"/>
  <c r="BH50" i="4" s="1"/>
  <c r="BG54" i="4"/>
  <c r="BH54" i="4" s="1"/>
  <c r="AM57" i="4"/>
  <c r="AN57" i="4" s="1"/>
  <c r="AM4" i="4"/>
  <c r="AN4" i="4" s="1"/>
  <c r="BO40" i="4"/>
  <c r="BP40" i="4" s="1"/>
  <c r="AM18" i="4"/>
  <c r="AN18" i="4" s="1"/>
  <c r="AA32" i="4"/>
  <c r="AB32" i="4" s="1"/>
  <c r="BG35" i="4"/>
  <c r="BH35" i="4" s="1"/>
  <c r="AM61" i="4"/>
  <c r="AN61" i="4" s="1"/>
  <c r="BO32" i="4"/>
  <c r="BP32" i="4" s="1"/>
  <c r="AY61" i="4"/>
  <c r="AZ61" i="4" s="1"/>
  <c r="AA38" i="4"/>
  <c r="AB38" i="4" s="1"/>
  <c r="BG25" i="4"/>
  <c r="BH25" i="4" s="1"/>
  <c r="AM6" i="4"/>
  <c r="AN6" i="4" s="1"/>
  <c r="BO64" i="4"/>
  <c r="BP64" i="4" s="1"/>
  <c r="AY25" i="4"/>
  <c r="AZ25" i="4" s="1"/>
  <c r="AA36" i="4"/>
  <c r="AB36" i="4" s="1"/>
  <c r="BG38" i="4"/>
  <c r="BH38" i="4" s="1"/>
  <c r="AM22" i="4"/>
  <c r="AN22" i="4" s="1"/>
  <c r="AY30" i="4"/>
  <c r="AZ30" i="4" s="1"/>
  <c r="AY8" i="4"/>
  <c r="AZ8" i="4" s="1"/>
  <c r="AA46" i="4"/>
  <c r="AB46" i="4" s="1"/>
  <c r="AA35" i="4"/>
  <c r="AB35" i="4" s="1"/>
  <c r="AA29" i="4"/>
  <c r="AB29" i="4" s="1"/>
  <c r="AA13" i="4"/>
  <c r="AB13" i="4" s="1"/>
  <c r="AA27" i="4"/>
  <c r="AB27" i="4" s="1"/>
  <c r="BG53" i="4"/>
  <c r="BH53" i="4" s="1"/>
  <c r="BG32" i="4"/>
  <c r="BH32" i="4" s="1"/>
  <c r="BG45" i="4"/>
  <c r="BH45" i="4" s="1"/>
  <c r="BG16" i="4"/>
  <c r="BH16" i="4" s="1"/>
  <c r="AM11" i="4"/>
  <c r="AN11" i="4" s="1"/>
  <c r="AM60" i="4"/>
  <c r="AN60" i="4" s="1"/>
  <c r="AM9" i="4"/>
  <c r="AN9" i="4" s="1"/>
  <c r="AM42" i="4"/>
  <c r="AN42" i="4" s="1"/>
  <c r="AY24" i="4"/>
  <c r="AZ24" i="4" s="1"/>
  <c r="BO63" i="4"/>
  <c r="BP63" i="4" s="1"/>
  <c r="BO50" i="4"/>
  <c r="BP50" i="4" s="1"/>
  <c r="BO20" i="4"/>
  <c r="BP20" i="4" s="1"/>
  <c r="AY27" i="4"/>
  <c r="AZ27" i="4" s="1"/>
  <c r="AY28" i="4"/>
  <c r="AZ28" i="4" s="1"/>
  <c r="AY40" i="4"/>
  <c r="AZ40" i="4" s="1"/>
  <c r="BC30" i="4"/>
  <c r="BD30" i="4" s="1"/>
  <c r="BC6" i="4"/>
  <c r="BD6" i="4" s="1"/>
  <c r="BC16" i="4"/>
  <c r="BD16" i="4" s="1"/>
  <c r="AM41" i="4"/>
  <c r="AN41" i="4" s="1"/>
  <c r="AM36" i="4"/>
  <c r="AN36" i="4" s="1"/>
  <c r="AM26" i="4"/>
  <c r="AN26" i="4" s="1"/>
  <c r="AY42" i="4"/>
  <c r="AZ42" i="4" s="1"/>
  <c r="AM48" i="4"/>
  <c r="AN48" i="4" s="1"/>
  <c r="BG42" i="4"/>
  <c r="BH42" i="4" s="1"/>
  <c r="AM58" i="4"/>
  <c r="AN58" i="4" s="1"/>
  <c r="AU10" i="4"/>
  <c r="AV10" i="4" s="1"/>
  <c r="AY15" i="4"/>
  <c r="AZ15" i="4" s="1"/>
  <c r="AA21" i="4"/>
  <c r="AB21" i="4" s="1"/>
  <c r="BG39" i="4"/>
  <c r="BH39" i="4" s="1"/>
  <c r="AM59" i="4"/>
  <c r="AN59" i="4" s="1"/>
  <c r="AY7" i="4"/>
  <c r="AZ7" i="4" s="1"/>
  <c r="AA33" i="4"/>
  <c r="AB33" i="4" s="1"/>
  <c r="BG37" i="4"/>
  <c r="BH37" i="4" s="1"/>
  <c r="AM30" i="4"/>
  <c r="AN30" i="4" s="1"/>
  <c r="BO51" i="4"/>
  <c r="BP51" i="4" s="1"/>
  <c r="AM17" i="4"/>
  <c r="AN17" i="4" s="1"/>
  <c r="AY6" i="4"/>
  <c r="AZ6" i="4" s="1"/>
  <c r="BO60" i="4"/>
  <c r="BP60" i="4" s="1"/>
  <c r="BC53" i="4"/>
  <c r="BD53" i="4" s="1"/>
  <c r="BG7" i="4"/>
  <c r="BH7" i="4" s="1"/>
  <c r="AM23" i="4"/>
  <c r="AN23" i="4" s="1"/>
  <c r="BO27" i="4"/>
  <c r="BP27" i="4" s="1"/>
  <c r="AA24" i="4"/>
  <c r="AB24" i="4" s="1"/>
  <c r="BG51" i="4"/>
  <c r="BH51" i="4" s="1"/>
  <c r="AM33" i="4"/>
  <c r="AN33" i="4" s="1"/>
  <c r="AY13" i="4"/>
  <c r="AZ13" i="4" s="1"/>
  <c r="BO30" i="4"/>
  <c r="BP30" i="4" s="1"/>
  <c r="AY51" i="4"/>
  <c r="AZ51" i="4" s="1"/>
  <c r="BG64" i="4"/>
  <c r="BH64" i="4" s="1"/>
  <c r="AM49" i="4"/>
  <c r="AN49" i="4" s="1"/>
  <c r="BC37" i="4"/>
  <c r="BD37" i="4" s="1"/>
  <c r="BO17" i="4"/>
  <c r="BP17" i="4" s="1"/>
  <c r="AA42" i="4"/>
  <c r="AB42" i="4" s="1"/>
  <c r="AA45" i="4"/>
  <c r="AB45" i="4" s="1"/>
  <c r="AA8" i="4"/>
  <c r="AB8" i="4" s="1"/>
  <c r="AA52" i="4"/>
  <c r="AB52" i="4" s="1"/>
  <c r="AA22" i="4"/>
  <c r="AB22" i="4" s="1"/>
  <c r="AM53" i="4"/>
  <c r="AN53" i="4" s="1"/>
  <c r="AM7" i="4"/>
  <c r="AN7" i="4" s="1"/>
  <c r="AM28" i="4"/>
  <c r="AN28" i="4" s="1"/>
  <c r="AU28" i="4"/>
  <c r="AV28" i="4" s="1"/>
  <c r="BO61" i="4"/>
  <c r="BP61" i="4" s="1"/>
  <c r="BO38" i="4"/>
  <c r="BP38" i="4" s="1"/>
  <c r="BO12" i="4"/>
  <c r="BP12" i="4" s="1"/>
  <c r="AY43" i="4"/>
  <c r="AZ43" i="4" s="1"/>
  <c r="AY10" i="4"/>
  <c r="AZ10" i="4" s="1"/>
  <c r="AY5" i="4"/>
  <c r="AZ5" i="4" s="1"/>
  <c r="AE64" i="4"/>
  <c r="AF64" i="4" s="1"/>
  <c r="AE38" i="4"/>
  <c r="AF38" i="4" s="1"/>
  <c r="AE15" i="4"/>
  <c r="AF15" i="4" s="1"/>
  <c r="BC47" i="4"/>
  <c r="BD47" i="4" s="1"/>
  <c r="BC59" i="4"/>
  <c r="BD59" i="4" s="1"/>
  <c r="BC25" i="4"/>
  <c r="BD25" i="4" s="1"/>
  <c r="AU35" i="4"/>
  <c r="AV35" i="4" s="1"/>
  <c r="AU50" i="4"/>
  <c r="AV50" i="4" s="1"/>
  <c r="BK60" i="4"/>
  <c r="BL60" i="4" s="1"/>
  <c r="BK8" i="4"/>
  <c r="BL8" i="4" s="1"/>
  <c r="AU61" i="4"/>
  <c r="AV61" i="4" s="1"/>
  <c r="BK52" i="4"/>
  <c r="BL52" i="4" s="1"/>
  <c r="AU18" i="4"/>
  <c r="AV18" i="4" s="1"/>
  <c r="BK11" i="4"/>
  <c r="BL11" i="4" s="1"/>
  <c r="BK46" i="4"/>
  <c r="BL46" i="4" s="1"/>
  <c r="AU36" i="4"/>
  <c r="AV36" i="4" s="1"/>
  <c r="BK61" i="4"/>
  <c r="BL61" i="4" s="1"/>
  <c r="BK32" i="4"/>
  <c r="BL32" i="4" s="1"/>
  <c r="AU37" i="4"/>
  <c r="AV37" i="4" s="1"/>
  <c r="BK45" i="4"/>
  <c r="BL45" i="4" s="1"/>
  <c r="BK4" i="4"/>
  <c r="BL4" i="4" s="1"/>
  <c r="AU41" i="4"/>
  <c r="AV41" i="4" s="1"/>
  <c r="AU42" i="4"/>
  <c r="AV42" i="4" s="1"/>
  <c r="AU7" i="4"/>
  <c r="AV7" i="4" s="1"/>
  <c r="BK23" i="4"/>
  <c r="BL23" i="4" s="1"/>
  <c r="BO46" i="4"/>
  <c r="BP46" i="4" s="1"/>
  <c r="BK41" i="4"/>
  <c r="BL41" i="4" s="1"/>
  <c r="BK47" i="4"/>
  <c r="BL47" i="4" s="1"/>
  <c r="BK6" i="4"/>
  <c r="BL6" i="4" s="1"/>
  <c r="BC9" i="4"/>
  <c r="BD9" i="4" s="1"/>
  <c r="BC5" i="4"/>
  <c r="BD5" i="4" s="1"/>
  <c r="AA55" i="4"/>
  <c r="AB55" i="4" s="1"/>
  <c r="AA50" i="4"/>
  <c r="AB50" i="4" s="1"/>
  <c r="AA44" i="4"/>
  <c r="AB44" i="4" s="1"/>
  <c r="AA14" i="4"/>
  <c r="AB14" i="4" s="1"/>
  <c r="BG46" i="4"/>
  <c r="BH46" i="4" s="1"/>
  <c r="BG17" i="4"/>
  <c r="BH17" i="4" s="1"/>
  <c r="BG33" i="4"/>
  <c r="BH33" i="4" s="1"/>
  <c r="BG8" i="4"/>
  <c r="BH8" i="4" s="1"/>
  <c r="AU49" i="4"/>
  <c r="AV49" i="4" s="1"/>
  <c r="BO28" i="4"/>
  <c r="BP28" i="4" s="1"/>
  <c r="BO37" i="4"/>
  <c r="BP37" i="4" s="1"/>
  <c r="AU47" i="4"/>
  <c r="AV47" i="4" s="1"/>
  <c r="AU25" i="4"/>
  <c r="AV25" i="4" s="1"/>
  <c r="AU53" i="4"/>
  <c r="AV53" i="4" s="1"/>
  <c r="BO35" i="4"/>
  <c r="BP35" i="4" s="1"/>
  <c r="BO11" i="4"/>
  <c r="BP11" i="4" s="1"/>
  <c r="BK53" i="4"/>
  <c r="BL53" i="4" s="1"/>
  <c r="BK9" i="4"/>
  <c r="BL9" i="4" s="1"/>
  <c r="BK36" i="4"/>
  <c r="BL36" i="4" s="1"/>
  <c r="BK13" i="4"/>
  <c r="BL13" i="4" s="1"/>
  <c r="BC45" i="4"/>
  <c r="BD45" i="4" s="1"/>
  <c r="BC61" i="4"/>
  <c r="BD61" i="4" s="1"/>
  <c r="BC50" i="4"/>
  <c r="BD50" i="4" s="1"/>
  <c r="AA34" i="4"/>
  <c r="AB34" i="4" s="1"/>
  <c r="AA31" i="4"/>
  <c r="AB31" i="4" s="1"/>
  <c r="AA26" i="4"/>
  <c r="AB26" i="4" s="1"/>
  <c r="AA6" i="4"/>
  <c r="AB6" i="4" s="1"/>
  <c r="BG31" i="4"/>
  <c r="BH31" i="4" s="1"/>
  <c r="BG21" i="4"/>
  <c r="BH21" i="4" s="1"/>
  <c r="BG4" i="4"/>
  <c r="BH4" i="4" s="1"/>
  <c r="BG27" i="4"/>
  <c r="BH27" i="4" s="1"/>
  <c r="AU27" i="4"/>
  <c r="AV27" i="4" s="1"/>
  <c r="AR65" i="4"/>
  <c r="BO36" i="4"/>
  <c r="BP36" i="4" s="1"/>
  <c r="BO31" i="4"/>
  <c r="BP31" i="4" s="1"/>
  <c r="BK55" i="4"/>
  <c r="BL55" i="4" s="1"/>
  <c r="AU63" i="4"/>
  <c r="AV63" i="4" s="1"/>
  <c r="AU20" i="4"/>
  <c r="AV20" i="4" s="1"/>
  <c r="AU48" i="4"/>
  <c r="AV48" i="4" s="1"/>
  <c r="BO44" i="4"/>
  <c r="BP44" i="4" s="1"/>
  <c r="BC58" i="4"/>
  <c r="BD58" i="4" s="1"/>
  <c r="AE58" i="4"/>
  <c r="AF58" i="4" s="1"/>
  <c r="AE52" i="4"/>
  <c r="AF52" i="4" s="1"/>
  <c r="AE20" i="4"/>
  <c r="AF20" i="4" s="1"/>
  <c r="BK12" i="4"/>
  <c r="BL12" i="4" s="1"/>
  <c r="BK29" i="4"/>
  <c r="BL29" i="4" s="1"/>
  <c r="BK30" i="4"/>
  <c r="BL30" i="4" s="1"/>
  <c r="BC60" i="4"/>
  <c r="BD60" i="4" s="1"/>
  <c r="BC12" i="4"/>
  <c r="BD12" i="4" s="1"/>
  <c r="BC28" i="4"/>
  <c r="BD28" i="4" s="1"/>
  <c r="AU45" i="4"/>
  <c r="AV45" i="4" s="1"/>
  <c r="AU30" i="4"/>
  <c r="AV30" i="4" s="1"/>
  <c r="AU9" i="4"/>
  <c r="AV9" i="4" s="1"/>
  <c r="AU16" i="4"/>
  <c r="AV16" i="4" s="1"/>
  <c r="BK24" i="4"/>
  <c r="BL24" i="4" s="1"/>
  <c r="AU62" i="4"/>
  <c r="AV62" i="4" s="1"/>
  <c r="AU22" i="4"/>
  <c r="AV22" i="4" s="1"/>
  <c r="AU58" i="4"/>
  <c r="AV58" i="4" s="1"/>
  <c r="BK39" i="4"/>
  <c r="BL39" i="4" s="1"/>
  <c r="AU24" i="4"/>
  <c r="AV24" i="4" s="1"/>
  <c r="BK49" i="4"/>
  <c r="BL49" i="4" s="1"/>
  <c r="AA48" i="4"/>
  <c r="AB48" i="4" s="1"/>
  <c r="BC27" i="4"/>
  <c r="BD27" i="4" s="1"/>
  <c r="BK31" i="4"/>
  <c r="BL31" i="4" s="1"/>
  <c r="BO54" i="4"/>
  <c r="BP54" i="4" s="1"/>
  <c r="AU57" i="4"/>
  <c r="AV57" i="4" s="1"/>
  <c r="BK18" i="4"/>
  <c r="BL18" i="4" s="1"/>
  <c r="BC40" i="4"/>
  <c r="BD40" i="4" s="1"/>
  <c r="BC23" i="4"/>
  <c r="BD23" i="4" s="1"/>
  <c r="AA64" i="4"/>
  <c r="AB64" i="4" s="1"/>
  <c r="AA53" i="4"/>
  <c r="AB53" i="4" s="1"/>
  <c r="AA39" i="4"/>
  <c r="AB39" i="4" s="1"/>
  <c r="AA28" i="4"/>
  <c r="AB28" i="4" s="1"/>
  <c r="BG49" i="4"/>
  <c r="BH49" i="4" s="1"/>
  <c r="BG24" i="4"/>
  <c r="BH24" i="4" s="1"/>
  <c r="BG40" i="4"/>
  <c r="BH40" i="4" s="1"/>
  <c r="BG22" i="4"/>
  <c r="BH22" i="4" s="1"/>
  <c r="AA59" i="4"/>
  <c r="AB59" i="4" s="1"/>
  <c r="BO10" i="4"/>
  <c r="BP10" i="4" s="1"/>
  <c r="BO15" i="4"/>
  <c r="BP15" i="4" s="1"/>
  <c r="BO16" i="4"/>
  <c r="BP16" i="4" s="1"/>
  <c r="AU43" i="4"/>
  <c r="AV43" i="4" s="1"/>
  <c r="AU60" i="4"/>
  <c r="AV60" i="4" s="1"/>
  <c r="AU39" i="4"/>
  <c r="AV39" i="4" s="1"/>
  <c r="BC56" i="4"/>
  <c r="BD56" i="4" s="1"/>
  <c r="AE33" i="4"/>
  <c r="AF33" i="4" s="1"/>
  <c r="AE46" i="4"/>
  <c r="AF46" i="4" s="1"/>
  <c r="BO45" i="4"/>
  <c r="BP45" i="4" s="1"/>
  <c r="BK16" i="4"/>
  <c r="BL16" i="4" s="1"/>
  <c r="BK34" i="4"/>
  <c r="BL34" i="4" s="1"/>
  <c r="BK5" i="4"/>
  <c r="BL5" i="4" s="1"/>
  <c r="BC20" i="4"/>
  <c r="BD20" i="4" s="1"/>
  <c r="BC52" i="4"/>
  <c r="BD52" i="4" s="1"/>
  <c r="BC32" i="4"/>
  <c r="BD32" i="4" s="1"/>
  <c r="AU6" i="4"/>
  <c r="AV6" i="4" s="1"/>
  <c r="AU59" i="4"/>
  <c r="AV59" i="4" s="1"/>
  <c r="AU64" i="4"/>
  <c r="AV64" i="4" s="1"/>
  <c r="AU17" i="4"/>
  <c r="AV17" i="4" s="1"/>
  <c r="BK58" i="4"/>
  <c r="BL58" i="4" s="1"/>
  <c r="BK7" i="4"/>
  <c r="BL7" i="4" s="1"/>
  <c r="BK22" i="4"/>
  <c r="BL22" i="4" s="1"/>
  <c r="AU29" i="4"/>
  <c r="AV29" i="4" s="1"/>
  <c r="BK26" i="4"/>
  <c r="BL26" i="4" s="1"/>
  <c r="AU15" i="4"/>
  <c r="AV15" i="4" s="1"/>
  <c r="BK42" i="4"/>
  <c r="BL42" i="4" s="1"/>
  <c r="BK27" i="4"/>
  <c r="BL27" i="4" s="1"/>
  <c r="BK28" i="4"/>
  <c r="BL28" i="4" s="1"/>
  <c r="BO43" i="4"/>
  <c r="BP43" i="4" s="1"/>
  <c r="AU52" i="4"/>
  <c r="AV52" i="4" s="1"/>
  <c r="BO49" i="4"/>
  <c r="BP49" i="4" s="1"/>
  <c r="BK35" i="4"/>
  <c r="BL35" i="4" s="1"/>
  <c r="AA9" i="4"/>
  <c r="AB9" i="4" s="1"/>
  <c r="BG11" i="4"/>
  <c r="BH11" i="4" s="1"/>
  <c r="BO23" i="4"/>
  <c r="BP23" i="4" s="1"/>
  <c r="AU13" i="4"/>
  <c r="AV13" i="4" s="1"/>
  <c r="BK10" i="4"/>
  <c r="BL10" i="4" s="1"/>
  <c r="AA51" i="4"/>
  <c r="AB51" i="4" s="1"/>
  <c r="AA56" i="4"/>
  <c r="AB56" i="4" s="1"/>
  <c r="AA20" i="4"/>
  <c r="AB20" i="4" s="1"/>
  <c r="AA4" i="4"/>
  <c r="AB4" i="4" s="1"/>
  <c r="BG61" i="4"/>
  <c r="BH61" i="4" s="1"/>
  <c r="BG44" i="4"/>
  <c r="BH44" i="4" s="1"/>
  <c r="BG30" i="4"/>
  <c r="BH30" i="4" s="1"/>
  <c r="BC33" i="4"/>
  <c r="BD33" i="4" s="1"/>
  <c r="BO55" i="4"/>
  <c r="BP55" i="4" s="1"/>
  <c r="BO8" i="4"/>
  <c r="BP8" i="4" s="1"/>
  <c r="BO14" i="4"/>
  <c r="BP14" i="4" s="1"/>
  <c r="BO21" i="4"/>
  <c r="BP21" i="4" s="1"/>
  <c r="AU4" i="4"/>
  <c r="AV4" i="4" s="1"/>
  <c r="AU5" i="4"/>
  <c r="AV5" i="4" s="1"/>
  <c r="AU12" i="4"/>
  <c r="AV12" i="4" s="1"/>
  <c r="AY12" i="4"/>
  <c r="AZ12" i="4" s="1"/>
  <c r="AY46" i="4"/>
  <c r="AZ46" i="4" s="1"/>
  <c r="AM14" i="4"/>
  <c r="AN14" i="4" s="1"/>
  <c r="AE37" i="4"/>
  <c r="AF37" i="4" s="1"/>
  <c r="AE22" i="4"/>
  <c r="AF22" i="4" s="1"/>
  <c r="AE19" i="4"/>
  <c r="AF19" i="4" s="1"/>
  <c r="AE53" i="4"/>
  <c r="AF53" i="4" s="1"/>
  <c r="BK62" i="4"/>
  <c r="BL62" i="4" s="1"/>
  <c r="BK51" i="4"/>
  <c r="BL51" i="4" s="1"/>
  <c r="BK15" i="4"/>
  <c r="BL15" i="4" s="1"/>
  <c r="BC35" i="4"/>
  <c r="BD35" i="4" s="1"/>
  <c r="BC49" i="4"/>
  <c r="BD49" i="4" s="1"/>
  <c r="BC4" i="4"/>
  <c r="BD4" i="4" s="1"/>
  <c r="AU23" i="4"/>
  <c r="AV23" i="4" s="1"/>
  <c r="AU40" i="4"/>
  <c r="AV40" i="4" s="1"/>
  <c r="AU56" i="4"/>
  <c r="AV56" i="4" s="1"/>
  <c r="BK57" i="4"/>
  <c r="BL57" i="4" s="1"/>
  <c r="AU44" i="4"/>
  <c r="AV44" i="4" s="1"/>
  <c r="AU51" i="4"/>
  <c r="AV51" i="4" s="1"/>
  <c r="BK50" i="4"/>
  <c r="BL50" i="4" s="1"/>
  <c r="BK19" i="4"/>
  <c r="BL19" i="4" s="1"/>
  <c r="AU34" i="4"/>
  <c r="AV34" i="4" s="1"/>
  <c r="AU38" i="4"/>
  <c r="AV38" i="4" s="1"/>
  <c r="BK48" i="4"/>
  <c r="BL48" i="4" s="1"/>
  <c r="BK38" i="4"/>
  <c r="BL38" i="4" s="1"/>
  <c r="AU26" i="4"/>
  <c r="AV26" i="4" s="1"/>
  <c r="AU31" i="4"/>
  <c r="AV31" i="4" s="1"/>
  <c r="AU8" i="4"/>
  <c r="AV8" i="4" s="1"/>
  <c r="BK14" i="4"/>
  <c r="BL14" i="4" s="1"/>
  <c r="AJ65" i="4"/>
  <c r="BO6" i="4"/>
  <c r="BP6" i="4" s="1"/>
  <c r="AU11" i="4"/>
  <c r="AV11" i="4" s="1"/>
  <c r="BK43" i="4"/>
  <c r="BL43" i="4" s="1"/>
  <c r="AA60" i="4"/>
  <c r="AB60" i="4" s="1"/>
  <c r="BG13" i="4"/>
  <c r="BH13" i="4" s="1"/>
  <c r="BG52" i="4"/>
  <c r="BH52" i="4" s="1"/>
  <c r="BO33" i="4"/>
  <c r="BP33" i="4" s="1"/>
  <c r="AU55" i="4"/>
  <c r="AV55" i="4" s="1"/>
  <c r="AU54" i="4"/>
  <c r="AV54" i="4" s="1"/>
  <c r="BK40" i="4"/>
  <c r="BL40" i="4" s="1"/>
  <c r="BC36" i="4"/>
  <c r="BD36" i="4" s="1"/>
  <c r="AA7" i="4"/>
  <c r="AB7" i="4" s="1"/>
  <c r="AA10" i="4"/>
  <c r="AB10" i="4" s="1"/>
  <c r="AA19" i="4"/>
  <c r="AB19" i="4" s="1"/>
  <c r="AU46" i="4"/>
  <c r="AV46" i="4" s="1"/>
  <c r="BG56" i="4"/>
  <c r="BH56" i="4" s="1"/>
  <c r="BG48" i="4"/>
  <c r="BH48" i="4" s="1"/>
  <c r="BG10" i="4"/>
  <c r="BH10" i="4" s="1"/>
  <c r="BO22" i="4"/>
  <c r="BP22" i="4" s="1"/>
  <c r="AM21" i="4"/>
  <c r="AN21" i="4" s="1"/>
  <c r="BO48" i="4"/>
  <c r="BP48" i="4" s="1"/>
  <c r="BO42" i="4"/>
  <c r="BP42" i="4" s="1"/>
  <c r="BO7" i="4"/>
  <c r="BP7" i="4" s="1"/>
  <c r="AU19" i="4"/>
  <c r="AV19" i="4" s="1"/>
  <c r="AU32" i="4"/>
  <c r="AV32" i="4" s="1"/>
  <c r="AU33" i="4"/>
  <c r="AV33" i="4" s="1"/>
  <c r="AU14" i="4"/>
  <c r="AV14" i="4" s="1"/>
  <c r="AY50" i="4"/>
  <c r="AZ50" i="4" s="1"/>
  <c r="AY59" i="4"/>
  <c r="AZ59" i="4" s="1"/>
  <c r="AY4" i="4"/>
  <c r="AZ4" i="4" s="1"/>
  <c r="BO19" i="4"/>
  <c r="BP19" i="4" s="1"/>
  <c r="AE18" i="4"/>
  <c r="AF18" i="4" s="1"/>
  <c r="AE57" i="4"/>
  <c r="AF57" i="4" s="1"/>
  <c r="AE27" i="4"/>
  <c r="AF27" i="4" s="1"/>
  <c r="BK59" i="4"/>
  <c r="BL59" i="4" s="1"/>
  <c r="BK17" i="4"/>
  <c r="BL17" i="4" s="1"/>
  <c r="BK33" i="4"/>
  <c r="BL33" i="4" s="1"/>
  <c r="BC46" i="4"/>
  <c r="BD46" i="4" s="1"/>
  <c r="BC64" i="4"/>
  <c r="BD64" i="4" s="1"/>
  <c r="BC29" i="4"/>
  <c r="BD29" i="4" s="1"/>
  <c r="AE50" i="3"/>
  <c r="AF50" i="3" s="1"/>
  <c r="AE12" i="3"/>
  <c r="AF12" i="3" s="1"/>
  <c r="AE39" i="3"/>
  <c r="AF39" i="3" s="1"/>
  <c r="AE42" i="3"/>
  <c r="AF42" i="3" s="1"/>
  <c r="AE61" i="3"/>
  <c r="AF61" i="3" s="1"/>
  <c r="AE48" i="3"/>
  <c r="AF48" i="3" s="1"/>
  <c r="AE40" i="3"/>
  <c r="AF40" i="3" s="1"/>
  <c r="AI40" i="3"/>
  <c r="AJ40" i="3" s="1"/>
  <c r="AI50" i="3"/>
  <c r="AJ50" i="3" s="1"/>
  <c r="AE38" i="3"/>
  <c r="AF38" i="3" s="1"/>
  <c r="AI13" i="3"/>
  <c r="AJ13" i="3" s="1"/>
  <c r="AI57" i="3"/>
  <c r="AJ57" i="3" s="1"/>
  <c r="AI44" i="3"/>
  <c r="AJ44" i="3" s="1"/>
  <c r="AE15" i="3"/>
  <c r="AF15" i="3" s="1"/>
  <c r="AI42" i="3"/>
  <c r="AJ42" i="3" s="1"/>
  <c r="AE6" i="3"/>
  <c r="AF6" i="3" s="1"/>
  <c r="AI34" i="3"/>
  <c r="AJ34" i="3" s="1"/>
  <c r="AI62" i="3"/>
  <c r="AJ62" i="3" s="1"/>
  <c r="AI58" i="3"/>
  <c r="AJ58" i="3" s="1"/>
  <c r="AE34" i="3"/>
  <c r="AF34" i="3" s="1"/>
  <c r="AI19" i="3"/>
  <c r="AJ19" i="3" s="1"/>
  <c r="AI52" i="3"/>
  <c r="AJ52" i="3" s="1"/>
  <c r="AI64" i="3"/>
  <c r="AJ64" i="3" s="1"/>
  <c r="AI26" i="3"/>
  <c r="AJ26" i="3" s="1"/>
  <c r="AE57" i="3"/>
  <c r="AF57" i="3" s="1"/>
  <c r="AE23" i="3"/>
  <c r="AF23" i="3" s="1"/>
  <c r="AI48" i="3"/>
  <c r="AJ48" i="3" s="1"/>
  <c r="AE22" i="3"/>
  <c r="AF22" i="3" s="1"/>
  <c r="AI47" i="3"/>
  <c r="AJ47" i="3" s="1"/>
  <c r="AI15" i="3"/>
  <c r="AJ15" i="3" s="1"/>
  <c r="AE53" i="3"/>
  <c r="AF53" i="3" s="1"/>
  <c r="AE18" i="3"/>
  <c r="AF18" i="3" s="1"/>
  <c r="AI18" i="3"/>
  <c r="AJ18" i="3" s="1"/>
  <c r="AI33" i="3"/>
  <c r="AJ33" i="3" s="1"/>
  <c r="AE27" i="3"/>
  <c r="AF27" i="3" s="1"/>
  <c r="AE49" i="3"/>
  <c r="AF49" i="3" s="1"/>
  <c r="AE16" i="3"/>
  <c r="AF16" i="3" s="1"/>
  <c r="AE25" i="3"/>
  <c r="AF25" i="3" s="1"/>
  <c r="AI60" i="3"/>
  <c r="AJ60" i="3" s="1"/>
  <c r="AE9" i="3"/>
  <c r="AF9" i="3" s="1"/>
  <c r="AE21" i="3"/>
  <c r="AF21" i="3" s="1"/>
  <c r="AE29" i="3"/>
  <c r="AF29" i="3" s="1"/>
  <c r="AI14" i="3"/>
  <c r="AJ14" i="3" s="1"/>
  <c r="AI43" i="3"/>
  <c r="AJ43" i="3" s="1"/>
  <c r="AE65" i="3"/>
  <c r="AF65" i="3" s="1"/>
  <c r="AE10" i="3"/>
  <c r="AF10" i="3" s="1"/>
  <c r="AE44" i="3"/>
  <c r="AF44" i="3" s="1"/>
  <c r="AI5" i="3"/>
  <c r="AJ5" i="3" s="1"/>
  <c r="AE45" i="3"/>
  <c r="AF45" i="3" s="1"/>
  <c r="AE63" i="3"/>
  <c r="AF63" i="3" s="1"/>
  <c r="AI27" i="3"/>
  <c r="AJ27" i="3" s="1"/>
  <c r="AI20" i="3"/>
  <c r="AJ20" i="3" s="1"/>
  <c r="AE19" i="3"/>
  <c r="AF19" i="3" s="1"/>
  <c r="AI63" i="3"/>
  <c r="AJ63" i="3" s="1"/>
  <c r="AI46" i="3"/>
  <c r="AJ46" i="3" s="1"/>
  <c r="AI39" i="3"/>
  <c r="AJ39" i="3" s="1"/>
  <c r="AE8" i="3"/>
  <c r="AF8" i="3" s="1"/>
  <c r="AE55" i="3"/>
  <c r="AF55" i="3" s="1"/>
  <c r="AE56" i="3"/>
  <c r="AF56" i="3" s="1"/>
  <c r="AI65" i="3"/>
  <c r="AJ65" i="3" s="1"/>
  <c r="AE41" i="3"/>
  <c r="AF41" i="3" s="1"/>
  <c r="AE47" i="3"/>
  <c r="AF47" i="3" s="1"/>
  <c r="AI53" i="3"/>
  <c r="AJ53" i="3" s="1"/>
  <c r="AI9" i="3"/>
  <c r="AJ9" i="3" s="1"/>
  <c r="AI61" i="3"/>
  <c r="AJ61" i="3" s="1"/>
  <c r="AI31" i="3"/>
  <c r="AJ31" i="3" s="1"/>
  <c r="AE13" i="3"/>
  <c r="AF13" i="3" s="1"/>
  <c r="AI22" i="3"/>
  <c r="AJ22" i="3" s="1"/>
  <c r="AE62" i="3"/>
  <c r="AF62" i="3" s="1"/>
  <c r="AE30" i="3"/>
  <c r="AF30" i="3" s="1"/>
  <c r="AE26" i="3"/>
  <c r="AF26" i="3" s="1"/>
  <c r="AE14" i="3"/>
  <c r="AF14" i="3" s="1"/>
  <c r="AI8" i="3"/>
  <c r="AJ8" i="3" s="1"/>
  <c r="AI23" i="3"/>
  <c r="AJ23" i="3" s="1"/>
  <c r="AE59" i="3"/>
  <c r="AF59" i="3" s="1"/>
  <c r="AI6" i="3"/>
  <c r="AJ6" i="3" s="1"/>
  <c r="AI24" i="3"/>
  <c r="AJ24" i="3" s="1"/>
  <c r="AI38" i="3"/>
  <c r="AJ38" i="3" s="1"/>
  <c r="AI12" i="3"/>
  <c r="AJ12" i="3" s="1"/>
  <c r="AI54" i="3"/>
  <c r="AJ54" i="3" s="1"/>
  <c r="AI56" i="3"/>
  <c r="AJ56" i="3" s="1"/>
  <c r="AI55" i="3"/>
  <c r="AJ55" i="3" s="1"/>
  <c r="AI11" i="3"/>
  <c r="AJ11" i="3" s="1"/>
  <c r="AE32" i="3"/>
  <c r="AF32" i="3" s="1"/>
  <c r="AI37" i="3"/>
  <c r="AJ37" i="3" s="1"/>
  <c r="AI16" i="3"/>
  <c r="AJ16" i="3" s="1"/>
  <c r="AE31" i="3"/>
  <c r="AF31" i="3" s="1"/>
  <c r="AE46" i="3"/>
  <c r="AF46" i="3" s="1"/>
  <c r="AE7" i="3"/>
  <c r="AF7" i="3" s="1"/>
  <c r="AE33" i="3"/>
  <c r="AF33" i="3" s="1"/>
  <c r="AE35" i="3"/>
  <c r="AF35" i="3" s="1"/>
  <c r="AI41" i="3"/>
  <c r="AJ41" i="3" s="1"/>
  <c r="AE54" i="3"/>
  <c r="AF54" i="3" s="1"/>
  <c r="AE28" i="3"/>
  <c r="AF28" i="3" s="1"/>
  <c r="AE17" i="3"/>
  <c r="AF17" i="3" s="1"/>
  <c r="AI36" i="3"/>
  <c r="AJ36" i="3" s="1"/>
  <c r="AI10" i="3"/>
  <c r="AJ10" i="3" s="1"/>
  <c r="AI28" i="3"/>
  <c r="AJ28" i="3" s="1"/>
  <c r="AE24" i="3"/>
  <c r="AF24" i="3" s="1"/>
  <c r="AE43" i="3"/>
  <c r="AF43" i="3" s="1"/>
  <c r="AE11" i="3"/>
  <c r="AF11" i="3" s="1"/>
  <c r="AI29" i="3"/>
  <c r="AJ29" i="3" s="1"/>
  <c r="AI59" i="3"/>
  <c r="AJ59" i="3" s="1"/>
  <c r="AI49" i="3"/>
  <c r="AJ49" i="3" s="1"/>
  <c r="AI32" i="3"/>
  <c r="AJ32" i="3" s="1"/>
  <c r="AE52" i="3"/>
  <c r="AF52" i="3" s="1"/>
  <c r="AI17" i="3"/>
  <c r="AJ17" i="3" s="1"/>
  <c r="AE51" i="3"/>
  <c r="AF51" i="3" s="1"/>
  <c r="AE37" i="3"/>
  <c r="AF37" i="3" s="1"/>
  <c r="AE60" i="3"/>
  <c r="AF60" i="3" s="1"/>
  <c r="AE36" i="3"/>
  <c r="AF36" i="3" s="1"/>
  <c r="AI7" i="3"/>
  <c r="AJ7" i="3" s="1"/>
  <c r="AE64" i="3"/>
  <c r="AF64" i="3" s="1"/>
  <c r="AI45" i="3"/>
  <c r="AJ45" i="3" s="1"/>
  <c r="AI21" i="3"/>
  <c r="AJ21" i="3" s="1"/>
  <c r="AI35" i="3"/>
  <c r="AJ35" i="3" s="1"/>
  <c r="AI25" i="3"/>
  <c r="AJ25" i="3" s="1"/>
  <c r="AE5" i="3"/>
  <c r="AF5" i="3" s="1"/>
  <c r="AI30" i="3"/>
  <c r="AJ30" i="3" s="1"/>
  <c r="Z51" i="3"/>
  <c r="Y68" i="3"/>
  <c r="AA4" i="3" s="1"/>
  <c r="AB4" i="3" s="1"/>
  <c r="Z54" i="3"/>
  <c r="Z52" i="3"/>
  <c r="Z44" i="3"/>
  <c r="Z39" i="3"/>
  <c r="Z63" i="3"/>
  <c r="Z15" i="3"/>
  <c r="Z5" i="3"/>
  <c r="Z29" i="3"/>
  <c r="Z8" i="3"/>
  <c r="Z32" i="3"/>
  <c r="Z45" i="3"/>
  <c r="Z11" i="3"/>
  <c r="Z43" i="3"/>
  <c r="Z61" i="3"/>
  <c r="Z14" i="3"/>
  <c r="Z31" i="3"/>
  <c r="Z42" i="3"/>
  <c r="Z30" i="3"/>
  <c r="Z46" i="3"/>
  <c r="Z12" i="3"/>
  <c r="Z17" i="3"/>
  <c r="Z65" i="3"/>
  <c r="Z62" i="3"/>
  <c r="Z41" i="3"/>
  <c r="Z7" i="3"/>
  <c r="Z35" i="3"/>
  <c r="Z26" i="3"/>
  <c r="Z55" i="3"/>
  <c r="Z48" i="3"/>
  <c r="Z24" i="3"/>
  <c r="Z64" i="3"/>
  <c r="Z59" i="3"/>
  <c r="Z33" i="3"/>
  <c r="Z21" i="3"/>
  <c r="Z6" i="3"/>
  <c r="Z22" i="3"/>
  <c r="Z36" i="3"/>
  <c r="Z40" i="3"/>
  <c r="Z53" i="3"/>
  <c r="Z9" i="3"/>
  <c r="Z50" i="3"/>
  <c r="Z10" i="3"/>
  <c r="Z58" i="3"/>
  <c r="Z27" i="3"/>
  <c r="Z56" i="3"/>
  <c r="Z49" i="3"/>
  <c r="Z28" i="3"/>
  <c r="Z18" i="3"/>
  <c r="Z23" i="3"/>
  <c r="Z16" i="3"/>
  <c r="Z25" i="3"/>
  <c r="Z34" i="3"/>
  <c r="Z60" i="3"/>
  <c r="Z19" i="3"/>
  <c r="Z20" i="3"/>
  <c r="Z37" i="3"/>
  <c r="Z38" i="3"/>
  <c r="Z47" i="3"/>
  <c r="Z57" i="3"/>
  <c r="Z13" i="3"/>
  <c r="AG65" i="1"/>
  <c r="AG67" i="1"/>
  <c r="AH28" i="1"/>
  <c r="AH59" i="1"/>
  <c r="AI59" i="1" s="1"/>
  <c r="AJ59" i="1" s="1"/>
  <c r="AH52" i="1"/>
  <c r="AI52" i="1" s="1"/>
  <c r="AJ52" i="1" s="1"/>
  <c r="AH51" i="1"/>
  <c r="AI51" i="1" s="1"/>
  <c r="AJ51" i="1" s="1"/>
  <c r="AH50" i="1"/>
  <c r="AI50" i="1" s="1"/>
  <c r="AJ50" i="1" s="1"/>
  <c r="AH36" i="1"/>
  <c r="AH33" i="1"/>
  <c r="AI33" i="1" s="1"/>
  <c r="AJ33" i="1" s="1"/>
  <c r="AH29" i="1"/>
  <c r="AI29" i="1" s="1"/>
  <c r="AJ29" i="1" s="1"/>
  <c r="AH30" i="1"/>
  <c r="AI30" i="1" s="1"/>
  <c r="AJ30" i="1" s="1"/>
  <c r="AH27" i="1"/>
  <c r="AI27" i="1" s="1"/>
  <c r="AJ27" i="1" s="1"/>
  <c r="AH19" i="1"/>
  <c r="AI19" i="1" s="1"/>
  <c r="AJ19" i="1" s="1"/>
  <c r="AH35" i="1"/>
  <c r="AH21" i="1"/>
  <c r="AH34" i="1"/>
  <c r="AH39" i="1"/>
  <c r="AH25" i="1"/>
  <c r="AI25" i="1" s="1"/>
  <c r="AJ25" i="1" s="1"/>
  <c r="AH41" i="1"/>
  <c r="AH16" i="1"/>
  <c r="AI16" i="1" s="1"/>
  <c r="AJ16" i="1" s="1"/>
  <c r="AH14" i="1"/>
  <c r="AI14" i="1" s="1"/>
  <c r="AJ14" i="1" s="1"/>
  <c r="AH7" i="1"/>
  <c r="AI7" i="1" s="1"/>
  <c r="AJ7" i="1" s="1"/>
  <c r="AH42" i="1"/>
  <c r="AI42" i="1" s="1"/>
  <c r="AJ42" i="1" s="1"/>
  <c r="AH37" i="1"/>
  <c r="AI37" i="1" s="1"/>
  <c r="AJ37" i="1" s="1"/>
  <c r="AH31" i="1"/>
  <c r="AI31" i="1" s="1"/>
  <c r="AJ31" i="1" s="1"/>
  <c r="AH12" i="1"/>
  <c r="AI12" i="1" s="1"/>
  <c r="AJ12" i="1" s="1"/>
  <c r="AH18" i="1"/>
  <c r="AI18" i="1" s="1"/>
  <c r="AJ18" i="1" s="1"/>
  <c r="AH26" i="1"/>
  <c r="AI26" i="1" s="1"/>
  <c r="AJ26" i="1" s="1"/>
  <c r="AH20" i="1"/>
  <c r="AI20" i="1" s="1"/>
  <c r="AJ20" i="1" s="1"/>
  <c r="AH54" i="1"/>
  <c r="AH38" i="1"/>
  <c r="AH32" i="1"/>
  <c r="AS65" i="1"/>
  <c r="AT10" i="1" s="1"/>
  <c r="AH6" i="1"/>
  <c r="AI6" i="1" s="1"/>
  <c r="AJ6" i="1" s="1"/>
  <c r="BQ65" i="1"/>
  <c r="BR25" i="1" s="1"/>
  <c r="AT34" i="1"/>
  <c r="AW65" i="1"/>
  <c r="AX13" i="1" s="1"/>
  <c r="AT5" i="1"/>
  <c r="AH56" i="1"/>
  <c r="AI56" i="1" s="1"/>
  <c r="AJ56" i="1" s="1"/>
  <c r="BN60" i="1"/>
  <c r="AO65" i="1"/>
  <c r="AP51" i="1" s="1"/>
  <c r="AH22" i="1"/>
  <c r="AI22" i="1" s="1"/>
  <c r="AJ22" i="1" s="1"/>
  <c r="AT50" i="1"/>
  <c r="BR53" i="1"/>
  <c r="AH8" i="1"/>
  <c r="AH24" i="1"/>
  <c r="AH23" i="1"/>
  <c r="AI23" i="1" s="1"/>
  <c r="AJ23" i="1" s="1"/>
  <c r="BR42" i="1"/>
  <c r="BR59" i="1"/>
  <c r="BN51" i="1"/>
  <c r="AT62" i="1"/>
  <c r="AT45" i="1"/>
  <c r="BR58" i="1"/>
  <c r="AC65" i="1"/>
  <c r="AD7" i="1" s="1"/>
  <c r="AD4" i="1"/>
  <c r="AT14" i="1"/>
  <c r="Z57" i="1"/>
  <c r="AT13" i="1"/>
  <c r="BB31" i="1"/>
  <c r="AT53" i="1"/>
  <c r="AH4" i="1"/>
  <c r="AI4" i="1" s="1"/>
  <c r="AJ4" i="1" s="1"/>
  <c r="Z6" i="1"/>
  <c r="Z13" i="1"/>
  <c r="AT36" i="1"/>
  <c r="AH40" i="1"/>
  <c r="AI40" i="1" s="1"/>
  <c r="AJ40" i="1" s="1"/>
  <c r="AH57" i="1"/>
  <c r="AH10" i="1"/>
  <c r="AT24" i="1"/>
  <c r="BA65" i="1"/>
  <c r="BB57" i="1" s="1"/>
  <c r="AH47" i="1"/>
  <c r="BI65" i="1"/>
  <c r="BJ41" i="1" s="1"/>
  <c r="AH5" i="1"/>
  <c r="AI5" i="1" s="1"/>
  <c r="AJ5" i="1" s="1"/>
  <c r="AH11" i="1"/>
  <c r="AI11" i="1" s="1"/>
  <c r="AJ11" i="1" s="1"/>
  <c r="BR44" i="1"/>
  <c r="AH55" i="1"/>
  <c r="AI55" i="1" s="1"/>
  <c r="AJ55" i="1" s="1"/>
  <c r="AH58" i="1"/>
  <c r="AI58" i="1" s="1"/>
  <c r="AJ58" i="1" s="1"/>
  <c r="AH64" i="1"/>
  <c r="AI64" i="1" s="1"/>
  <c r="AJ64" i="1" s="1"/>
  <c r="AT22" i="1"/>
  <c r="Z23" i="1"/>
  <c r="Y65" i="1"/>
  <c r="Z24" i="1" s="1"/>
  <c r="AH15" i="1"/>
  <c r="AI15" i="1" s="1"/>
  <c r="AJ15" i="1" s="1"/>
  <c r="Z36" i="1"/>
  <c r="AT26" i="1"/>
  <c r="Z30" i="1"/>
  <c r="AT44" i="1"/>
  <c r="AH9" i="1"/>
  <c r="AI9" i="1" s="1"/>
  <c r="AJ9" i="1" s="1"/>
  <c r="BM65" i="1"/>
  <c r="BN59" i="1" s="1"/>
  <c r="AH13" i="1"/>
  <c r="BJ25" i="1"/>
  <c r="AH43" i="1"/>
  <c r="AI43" i="1" s="1"/>
  <c r="AJ43" i="1" s="1"/>
  <c r="AT18" i="1"/>
  <c r="AT20" i="1"/>
  <c r="Z22" i="1"/>
  <c r="AT52" i="1"/>
  <c r="AH46" i="1"/>
  <c r="AT37" i="1"/>
  <c r="AT48" i="1"/>
  <c r="BR48" i="1"/>
  <c r="Z53" i="1"/>
  <c r="BR24" i="1"/>
  <c r="Z44" i="1"/>
  <c r="BE65" i="1"/>
  <c r="BF22" i="1" s="1"/>
  <c r="AT32" i="1"/>
  <c r="Z42" i="1"/>
  <c r="AH45" i="1"/>
  <c r="AI45" i="1" s="1"/>
  <c r="AJ45" i="1" s="1"/>
  <c r="AT55" i="1"/>
  <c r="AH62" i="1"/>
  <c r="AI62" i="1" s="1"/>
  <c r="AJ62" i="1" s="1"/>
  <c r="AH17" i="1"/>
  <c r="AH44" i="1"/>
  <c r="AI44" i="1" s="1"/>
  <c r="AJ44" i="1" s="1"/>
  <c r="Z55" i="1"/>
  <c r="AH61" i="1"/>
  <c r="AI61" i="1" s="1"/>
  <c r="AJ61" i="1" s="1"/>
  <c r="AK65" i="1"/>
  <c r="AL33" i="1" s="1"/>
  <c r="Z41" i="1"/>
  <c r="AT46" i="1"/>
  <c r="AH48" i="1"/>
  <c r="AI48" i="1" s="1"/>
  <c r="AJ48" i="1" s="1"/>
  <c r="AH49" i="1"/>
  <c r="AH60" i="1"/>
  <c r="AI60" i="1" s="1"/>
  <c r="AJ60" i="1" s="1"/>
  <c r="BJ49" i="1"/>
  <c r="AH53" i="1"/>
  <c r="AI53" i="1" s="1"/>
  <c r="AJ53" i="1" s="1"/>
  <c r="AT60" i="1"/>
  <c r="AH63" i="1"/>
  <c r="AI63" i="1" s="1"/>
  <c r="AJ63" i="1" s="1"/>
  <c r="L66" i="3"/>
  <c r="M11" i="3" s="1"/>
  <c r="U66" i="3"/>
  <c r="V58" i="3" s="1"/>
  <c r="AA16" i="3" l="1"/>
  <c r="AB16" i="3" s="1"/>
  <c r="AA21" i="3"/>
  <c r="AB21" i="3" s="1"/>
  <c r="AA30" i="3"/>
  <c r="AB30" i="3" s="1"/>
  <c r="AA23" i="3"/>
  <c r="AB23" i="3" s="1"/>
  <c r="AA33" i="3"/>
  <c r="AB33" i="3" s="1"/>
  <c r="AA42" i="3"/>
  <c r="AB42" i="3" s="1"/>
  <c r="AA54" i="3"/>
  <c r="AB54" i="3" s="1"/>
  <c r="AR66" i="3"/>
  <c r="AA25" i="3"/>
  <c r="AB25" i="3" s="1"/>
  <c r="AA6" i="3"/>
  <c r="AB6" i="3" s="1"/>
  <c r="AA46" i="3"/>
  <c r="AB46" i="3" s="1"/>
  <c r="AA44" i="3"/>
  <c r="AB44" i="3" s="1"/>
  <c r="AA34" i="3"/>
  <c r="AB34" i="3" s="1"/>
  <c r="AA22" i="3"/>
  <c r="AB22" i="3" s="1"/>
  <c r="AA12" i="3"/>
  <c r="AB12" i="3" s="1"/>
  <c r="AA39" i="3"/>
  <c r="AB39" i="3" s="1"/>
  <c r="AN66" i="3"/>
  <c r="AA65" i="3"/>
  <c r="AB65" i="3" s="1"/>
  <c r="AA15" i="3"/>
  <c r="AB15" i="3" s="1"/>
  <c r="AA19" i="3"/>
  <c r="AB19" i="3" s="1"/>
  <c r="AA40" i="3"/>
  <c r="AB40" i="3" s="1"/>
  <c r="AA60" i="3"/>
  <c r="AB60" i="3" s="1"/>
  <c r="AA36" i="3"/>
  <c r="AB36" i="3" s="1"/>
  <c r="AA17" i="3"/>
  <c r="AB17" i="3" s="1"/>
  <c r="AA63" i="3"/>
  <c r="AB63" i="3" s="1"/>
  <c r="AF65" i="7"/>
  <c r="BP65" i="7"/>
  <c r="AV65" i="7"/>
  <c r="BT65" i="7"/>
  <c r="AZ65" i="7"/>
  <c r="BD65" i="7"/>
  <c r="AB65" i="7"/>
  <c r="AJ65" i="7"/>
  <c r="BL65" i="7"/>
  <c r="U61" i="8"/>
  <c r="AG61" i="8"/>
  <c r="AC61" i="8"/>
  <c r="AC66" i="8"/>
  <c r="Q66" i="8"/>
  <c r="Y61" i="8"/>
  <c r="BH65" i="7"/>
  <c r="AR65" i="7"/>
  <c r="AG66" i="5"/>
  <c r="Y66" i="5"/>
  <c r="U66" i="5"/>
  <c r="Q66" i="5"/>
  <c r="AC66" i="5"/>
  <c r="BP65" i="4"/>
  <c r="AF65" i="4"/>
  <c r="AN65" i="4"/>
  <c r="AZ65" i="4"/>
  <c r="AV65" i="4"/>
  <c r="BD65" i="4"/>
  <c r="BH65" i="4"/>
  <c r="AB65" i="4"/>
  <c r="BL65" i="4"/>
  <c r="AA20" i="3"/>
  <c r="AB20" i="3" s="1"/>
  <c r="AA53" i="3"/>
  <c r="AB53" i="3" s="1"/>
  <c r="AA62" i="3"/>
  <c r="AB62" i="3" s="1"/>
  <c r="AA5" i="3"/>
  <c r="AB5" i="3" s="1"/>
  <c r="AF66" i="3"/>
  <c r="AA59" i="3"/>
  <c r="AB59" i="3" s="1"/>
  <c r="AA37" i="3"/>
  <c r="AB37" i="3" s="1"/>
  <c r="AA9" i="3"/>
  <c r="AB9" i="3" s="1"/>
  <c r="AA41" i="3"/>
  <c r="AB41" i="3" s="1"/>
  <c r="AA29" i="3"/>
  <c r="AB29" i="3" s="1"/>
  <c r="AA45" i="3"/>
  <c r="AB45" i="3" s="1"/>
  <c r="AA43" i="3"/>
  <c r="AB43" i="3" s="1"/>
  <c r="AA27" i="3"/>
  <c r="AB27" i="3" s="1"/>
  <c r="AA11" i="3"/>
  <c r="AB11" i="3" s="1"/>
  <c r="AA58" i="3"/>
  <c r="AB58" i="3" s="1"/>
  <c r="AA47" i="3"/>
  <c r="AB47" i="3" s="1"/>
  <c r="AA10" i="3"/>
  <c r="AB10" i="3" s="1"/>
  <c r="AA35" i="3"/>
  <c r="AB35" i="3" s="1"/>
  <c r="AA32" i="3"/>
  <c r="AB32" i="3" s="1"/>
  <c r="AJ66" i="3"/>
  <c r="AA18" i="3"/>
  <c r="AB18" i="3" s="1"/>
  <c r="AA56" i="3"/>
  <c r="AB56" i="3" s="1"/>
  <c r="AA48" i="3"/>
  <c r="AB48" i="3" s="1"/>
  <c r="AA13" i="3"/>
  <c r="AB13" i="3" s="1"/>
  <c r="AA55" i="3"/>
  <c r="AB55" i="3" s="1"/>
  <c r="AA57" i="3"/>
  <c r="AB57" i="3" s="1"/>
  <c r="AA26" i="3"/>
  <c r="AB26" i="3" s="1"/>
  <c r="AA38" i="3"/>
  <c r="AB38" i="3" s="1"/>
  <c r="AA50" i="3"/>
  <c r="AB50" i="3" s="1"/>
  <c r="AA7" i="3"/>
  <c r="AB7" i="3" s="1"/>
  <c r="AA8" i="3"/>
  <c r="AB8" i="3" s="1"/>
  <c r="AA49" i="3"/>
  <c r="AB49" i="3" s="1"/>
  <c r="AA24" i="3"/>
  <c r="AB24" i="3" s="1"/>
  <c r="AA61" i="3"/>
  <c r="AB61" i="3" s="1"/>
  <c r="M33" i="3"/>
  <c r="AA52" i="3"/>
  <c r="AB52" i="3" s="1"/>
  <c r="AA31" i="3"/>
  <c r="AB31" i="3" s="1"/>
  <c r="M12" i="3"/>
  <c r="AA28" i="3"/>
  <c r="AB28" i="3" s="1"/>
  <c r="AA64" i="3"/>
  <c r="AB64" i="3" s="1"/>
  <c r="AA14" i="3"/>
  <c r="AB14" i="3" s="1"/>
  <c r="AA51" i="3"/>
  <c r="AB51" i="3" s="1"/>
  <c r="V34" i="3"/>
  <c r="V45" i="3"/>
  <c r="M61" i="3"/>
  <c r="M35" i="3"/>
  <c r="V5" i="3"/>
  <c r="V4" i="3"/>
  <c r="V60" i="3"/>
  <c r="BF15" i="1"/>
  <c r="AD30" i="1"/>
  <c r="AD41" i="1"/>
  <c r="BF12" i="1"/>
  <c r="V65" i="3"/>
  <c r="V43" i="3"/>
  <c r="M27" i="3"/>
  <c r="BF16" i="1"/>
  <c r="BG16" i="1" s="1"/>
  <c r="BH16" i="1" s="1"/>
  <c r="AL64" i="1"/>
  <c r="AD26" i="1"/>
  <c r="AD38" i="1"/>
  <c r="V18" i="3"/>
  <c r="V42" i="3"/>
  <c r="V28" i="3"/>
  <c r="V41" i="3"/>
  <c r="V52" i="3"/>
  <c r="V13" i="3"/>
  <c r="V47" i="3"/>
  <c r="BJ52" i="1"/>
  <c r="BF64" i="1"/>
  <c r="BN47" i="1"/>
  <c r="BF37" i="1"/>
  <c r="BR35" i="1"/>
  <c r="AP6" i="1"/>
  <c r="Z21" i="1"/>
  <c r="V51" i="3"/>
  <c r="AD50" i="1"/>
  <c r="BN38" i="1"/>
  <c r="V11" i="3"/>
  <c r="V25" i="3"/>
  <c r="AD10" i="1"/>
  <c r="BF43" i="1"/>
  <c r="BF29" i="1"/>
  <c r="AL42" i="1"/>
  <c r="V61" i="3"/>
  <c r="BF57" i="1"/>
  <c r="BN56" i="1"/>
  <c r="BF54" i="1"/>
  <c r="V55" i="3"/>
  <c r="M16" i="3"/>
  <c r="V37" i="3"/>
  <c r="AD58" i="1"/>
  <c r="BF46" i="1"/>
  <c r="BR33" i="1"/>
  <c r="AL56" i="1"/>
  <c r="AX45" i="1"/>
  <c r="AL43" i="1"/>
  <c r="AM43" i="1" s="1"/>
  <c r="AN43" i="1" s="1"/>
  <c r="V12" i="3"/>
  <c r="V27" i="3"/>
  <c r="AX49" i="1"/>
  <c r="AL45" i="1"/>
  <c r="AT57" i="1"/>
  <c r="AT23" i="1"/>
  <c r="BF4" i="1"/>
  <c r="AP53" i="1"/>
  <c r="AL48" i="1"/>
  <c r="AM48" i="1" s="1"/>
  <c r="AN48" i="1" s="1"/>
  <c r="V29" i="3"/>
  <c r="V20" i="3"/>
  <c r="V19" i="3"/>
  <c r="AL30" i="1"/>
  <c r="AT38" i="1"/>
  <c r="BB42" i="1"/>
  <c r="AL37" i="1"/>
  <c r="AX56" i="1"/>
  <c r="AL60" i="1"/>
  <c r="BF21" i="1"/>
  <c r="AT21" i="1"/>
  <c r="AI36" i="1"/>
  <c r="AJ36" i="1" s="1"/>
  <c r="BB44" i="1"/>
  <c r="AL53" i="1"/>
  <c r="AX52" i="1"/>
  <c r="AL63" i="1"/>
  <c r="AT8" i="1"/>
  <c r="AI10" i="1"/>
  <c r="AJ10" i="1" s="1"/>
  <c r="BF19" i="1"/>
  <c r="BG19" i="1" s="1"/>
  <c r="BH19" i="1" s="1"/>
  <c r="BF41" i="1"/>
  <c r="AT31" i="1"/>
  <c r="AU31" i="1" s="1"/>
  <c r="AV31" i="1" s="1"/>
  <c r="BF52" i="1"/>
  <c r="BB26" i="1"/>
  <c r="AI41" i="1"/>
  <c r="AJ41" i="1" s="1"/>
  <c r="AI28" i="1"/>
  <c r="AJ28" i="1" s="1"/>
  <c r="AX61" i="1"/>
  <c r="BF34" i="1"/>
  <c r="AL58" i="1"/>
  <c r="AT30" i="1"/>
  <c r="BB64" i="1"/>
  <c r="AT43" i="1"/>
  <c r="V46" i="3"/>
  <c r="V50" i="3"/>
  <c r="AI46" i="1"/>
  <c r="AJ46" i="1" s="1"/>
  <c r="AI24" i="1"/>
  <c r="AJ24" i="1" s="1"/>
  <c r="AP33" i="1"/>
  <c r="V36" i="3"/>
  <c r="M45" i="3"/>
  <c r="V7" i="3"/>
  <c r="BF59" i="1"/>
  <c r="BF13" i="1"/>
  <c r="AT7" i="1"/>
  <c r="AD19" i="1"/>
  <c r="BF55" i="1"/>
  <c r="V49" i="3"/>
  <c r="V38" i="3"/>
  <c r="BB58" i="1"/>
  <c r="AI13" i="1"/>
  <c r="AJ13" i="1" s="1"/>
  <c r="AI39" i="1"/>
  <c r="AJ39" i="1" s="1"/>
  <c r="BB62" i="1"/>
  <c r="AT15" i="1"/>
  <c r="Z29" i="1"/>
  <c r="AI32" i="1"/>
  <c r="AJ32" i="1" s="1"/>
  <c r="AI34" i="1"/>
  <c r="AJ34" i="1" s="1"/>
  <c r="V39" i="3"/>
  <c r="V6" i="3"/>
  <c r="AI49" i="1"/>
  <c r="AJ49" i="1" s="1"/>
  <c r="AD44" i="1"/>
  <c r="BB30" i="1"/>
  <c r="AT64" i="1"/>
  <c r="AD29" i="1"/>
  <c r="BF25" i="1"/>
  <c r="BN58" i="1"/>
  <c r="AI57" i="1"/>
  <c r="AJ57" i="1" s="1"/>
  <c r="AX39" i="1"/>
  <c r="AY39" i="1" s="1"/>
  <c r="AZ39" i="1" s="1"/>
  <c r="BF11" i="1"/>
  <c r="AT17" i="1"/>
  <c r="BR26" i="1"/>
  <c r="AI38" i="1"/>
  <c r="AJ38" i="1" s="1"/>
  <c r="AI21" i="1"/>
  <c r="AJ21" i="1" s="1"/>
  <c r="BF27" i="1"/>
  <c r="AL34" i="1"/>
  <c r="BB41" i="1"/>
  <c r="BB53" i="1"/>
  <c r="V9" i="3"/>
  <c r="BB55" i="1"/>
  <c r="AT4" i="1"/>
  <c r="BF10" i="1"/>
  <c r="M53" i="3"/>
  <c r="V62" i="3"/>
  <c r="M28" i="3"/>
  <c r="V57" i="3"/>
  <c r="AI17" i="1"/>
  <c r="AJ17" i="1" s="1"/>
  <c r="AD6" i="1"/>
  <c r="AD18" i="1"/>
  <c r="Z4" i="1"/>
  <c r="AT49" i="1"/>
  <c r="BB40" i="1"/>
  <c r="BR49" i="1"/>
  <c r="V53" i="3"/>
  <c r="V31" i="3"/>
  <c r="V15" i="3"/>
  <c r="V14" i="3"/>
  <c r="BN46" i="1"/>
  <c r="AX43" i="1"/>
  <c r="BB59" i="1"/>
  <c r="AT16" i="1"/>
  <c r="AT11" i="1"/>
  <c r="V23" i="3"/>
  <c r="V26" i="3"/>
  <c r="V44" i="3"/>
  <c r="V63" i="3"/>
  <c r="V17" i="3"/>
  <c r="BF26" i="1"/>
  <c r="AI47" i="1"/>
  <c r="AJ47" i="1" s="1"/>
  <c r="AT56" i="1"/>
  <c r="AT33" i="1"/>
  <c r="AU33" i="1" s="1"/>
  <c r="AV33" i="1" s="1"/>
  <c r="AD60" i="1"/>
  <c r="AI8" i="1"/>
  <c r="AJ8" i="1" s="1"/>
  <c r="AI54" i="1"/>
  <c r="AJ54" i="1" s="1"/>
  <c r="AI35" i="1"/>
  <c r="AJ35" i="1" s="1"/>
  <c r="BI67" i="1"/>
  <c r="BK41" i="1" s="1"/>
  <c r="BL41" i="1" s="1"/>
  <c r="BJ46" i="1"/>
  <c r="BK46" i="1" s="1"/>
  <c r="BL46" i="1" s="1"/>
  <c r="BJ61" i="1"/>
  <c r="BJ16" i="1"/>
  <c r="BK16" i="1" s="1"/>
  <c r="BL16" i="1" s="1"/>
  <c r="BJ11" i="1"/>
  <c r="BK11" i="1" s="1"/>
  <c r="BL11" i="1" s="1"/>
  <c r="BJ45" i="1"/>
  <c r="BK45" i="1" s="1"/>
  <c r="BL45" i="1" s="1"/>
  <c r="BJ29" i="1"/>
  <c r="BJ26" i="1"/>
  <c r="BJ53" i="1"/>
  <c r="BJ39" i="1"/>
  <c r="BJ48" i="1"/>
  <c r="BJ5" i="1"/>
  <c r="BJ37" i="1"/>
  <c r="BJ40" i="1"/>
  <c r="BJ30" i="1"/>
  <c r="BJ15" i="1"/>
  <c r="BJ13" i="1"/>
  <c r="BK13" i="1" s="1"/>
  <c r="BL13" i="1" s="1"/>
  <c r="BJ55" i="1"/>
  <c r="BK55" i="1" s="1"/>
  <c r="BL55" i="1" s="1"/>
  <c r="BJ6" i="1"/>
  <c r="BJ31" i="1"/>
  <c r="BK31" i="1" s="1"/>
  <c r="BL31" i="1" s="1"/>
  <c r="BJ20" i="1"/>
  <c r="BK20" i="1" s="1"/>
  <c r="BL20" i="1" s="1"/>
  <c r="BJ4" i="1"/>
  <c r="BK4" i="1" s="1"/>
  <c r="BL4" i="1" s="1"/>
  <c r="BJ51" i="1"/>
  <c r="BJ24" i="1"/>
  <c r="BJ56" i="1"/>
  <c r="BJ34" i="1"/>
  <c r="BJ35" i="1"/>
  <c r="BJ59" i="1"/>
  <c r="BJ14" i="1"/>
  <c r="AP40" i="1"/>
  <c r="AO67" i="1"/>
  <c r="AP37" i="1"/>
  <c r="AQ37" i="1" s="1"/>
  <c r="AR37" i="1" s="1"/>
  <c r="AP34" i="1"/>
  <c r="AQ34" i="1" s="1"/>
  <c r="AR34" i="1" s="1"/>
  <c r="AP10" i="1"/>
  <c r="AQ10" i="1" s="1"/>
  <c r="AR10" i="1" s="1"/>
  <c r="AP54" i="1"/>
  <c r="AQ54" i="1" s="1"/>
  <c r="AR54" i="1" s="1"/>
  <c r="AP29" i="1"/>
  <c r="AQ29" i="1" s="1"/>
  <c r="AR29" i="1" s="1"/>
  <c r="AP23" i="1"/>
  <c r="AQ23" i="1" s="1"/>
  <c r="AR23" i="1" s="1"/>
  <c r="AP25" i="1"/>
  <c r="AP17" i="1"/>
  <c r="AP4" i="1"/>
  <c r="AP21" i="1"/>
  <c r="AP48" i="1"/>
  <c r="AP58" i="1"/>
  <c r="AP43" i="1"/>
  <c r="AP11" i="1"/>
  <c r="AP16" i="1"/>
  <c r="AP39" i="1"/>
  <c r="AP31" i="1"/>
  <c r="AQ31" i="1" s="1"/>
  <c r="AR31" i="1" s="1"/>
  <c r="AP64" i="1"/>
  <c r="AQ64" i="1" s="1"/>
  <c r="AR64" i="1" s="1"/>
  <c r="AP52" i="1"/>
  <c r="AQ52" i="1" s="1"/>
  <c r="AR52" i="1" s="1"/>
  <c r="AP36" i="1"/>
  <c r="AQ36" i="1" s="1"/>
  <c r="AR36" i="1" s="1"/>
  <c r="AP32" i="1"/>
  <c r="AQ32" i="1" s="1"/>
  <c r="AR32" i="1" s="1"/>
  <c r="AP41" i="1"/>
  <c r="AQ41" i="1" s="1"/>
  <c r="AR41" i="1" s="1"/>
  <c r="AP20" i="1"/>
  <c r="AP5" i="1"/>
  <c r="AP30" i="1"/>
  <c r="AP19" i="1"/>
  <c r="AP35" i="1"/>
  <c r="AP63" i="1"/>
  <c r="BJ23" i="1"/>
  <c r="M15" i="3"/>
  <c r="M4" i="3"/>
  <c r="M63" i="3"/>
  <c r="M21" i="3"/>
  <c r="M56" i="3"/>
  <c r="M23" i="3"/>
  <c r="M52" i="3"/>
  <c r="M40" i="3"/>
  <c r="M65" i="3"/>
  <c r="M10" i="3"/>
  <c r="M41" i="3"/>
  <c r="M37" i="3"/>
  <c r="M32" i="3"/>
  <c r="AP9" i="1"/>
  <c r="BJ12" i="1"/>
  <c r="AP45" i="1"/>
  <c r="BJ22" i="1"/>
  <c r="M58" i="3"/>
  <c r="BN50" i="1"/>
  <c r="BO50" i="1" s="1"/>
  <c r="BP50" i="1" s="1"/>
  <c r="AP60" i="1"/>
  <c r="AQ60" i="1" s="1"/>
  <c r="AR60" i="1" s="1"/>
  <c r="AD31" i="1"/>
  <c r="AP47" i="1"/>
  <c r="AQ47" i="1" s="1"/>
  <c r="AR47" i="1" s="1"/>
  <c r="AX63" i="1"/>
  <c r="AP18" i="1"/>
  <c r="BJ36" i="1"/>
  <c r="M42" i="3"/>
  <c r="M47" i="3"/>
  <c r="M26" i="3"/>
  <c r="AP62" i="1"/>
  <c r="AM53" i="1"/>
  <c r="AN53" i="1" s="1"/>
  <c r="BM67" i="1"/>
  <c r="BO59" i="1" s="1"/>
  <c r="BP59" i="1" s="1"/>
  <c r="BN42" i="1"/>
  <c r="BN36" i="1"/>
  <c r="BO36" i="1" s="1"/>
  <c r="BP36" i="1" s="1"/>
  <c r="BN63" i="1"/>
  <c r="BO63" i="1" s="1"/>
  <c r="BP63" i="1" s="1"/>
  <c r="BN62" i="1"/>
  <c r="BO62" i="1" s="1"/>
  <c r="BP62" i="1" s="1"/>
  <c r="BN35" i="1"/>
  <c r="BO35" i="1" s="1"/>
  <c r="BP35" i="1" s="1"/>
  <c r="BN32" i="1"/>
  <c r="BN28" i="1"/>
  <c r="BN33" i="1"/>
  <c r="BN7" i="1"/>
  <c r="BN20" i="1"/>
  <c r="BN25" i="1"/>
  <c r="BN22" i="1"/>
  <c r="BN10" i="1"/>
  <c r="BN53" i="1"/>
  <c r="BN43" i="1"/>
  <c r="BN31" i="1"/>
  <c r="BN19" i="1"/>
  <c r="BN18" i="1"/>
  <c r="BO18" i="1" s="1"/>
  <c r="BP18" i="1" s="1"/>
  <c r="BN45" i="1"/>
  <c r="BO45" i="1" s="1"/>
  <c r="BP45" i="1" s="1"/>
  <c r="BN34" i="1"/>
  <c r="BO34" i="1" s="1"/>
  <c r="BP34" i="1" s="1"/>
  <c r="BN21" i="1"/>
  <c r="BO21" i="1" s="1"/>
  <c r="BP21" i="1" s="1"/>
  <c r="BN40" i="1"/>
  <c r="BN29" i="1"/>
  <c r="BN26" i="1"/>
  <c r="BN61" i="1"/>
  <c r="BN24" i="1"/>
  <c r="BN23" i="1"/>
  <c r="BN27" i="1"/>
  <c r="BN16" i="1"/>
  <c r="BN5" i="1"/>
  <c r="BN11" i="1"/>
  <c r="BN48" i="1"/>
  <c r="BO48" i="1" s="1"/>
  <c r="BP48" i="1" s="1"/>
  <c r="BN30" i="1"/>
  <c r="BN6" i="1"/>
  <c r="BO6" i="1" s="1"/>
  <c r="BP6" i="1" s="1"/>
  <c r="BN17" i="1"/>
  <c r="BO17" i="1" s="1"/>
  <c r="BP17" i="1" s="1"/>
  <c r="BN64" i="1"/>
  <c r="BO64" i="1" s="1"/>
  <c r="BP64" i="1" s="1"/>
  <c r="BN4" i="1"/>
  <c r="BO4" i="1" s="1"/>
  <c r="BP4" i="1" s="1"/>
  <c r="BN44" i="1"/>
  <c r="BN12" i="1"/>
  <c r="BN57" i="1"/>
  <c r="BJ47" i="1"/>
  <c r="BJ33" i="1"/>
  <c r="BJ27" i="1"/>
  <c r="AP12" i="1"/>
  <c r="M13" i="3"/>
  <c r="AP42" i="1"/>
  <c r="AQ42" i="1" s="1"/>
  <c r="AR42" i="1" s="1"/>
  <c r="AU32" i="1"/>
  <c r="AV32" i="1" s="1"/>
  <c r="AP44" i="1"/>
  <c r="AX46" i="1"/>
  <c r="BJ60" i="1"/>
  <c r="BK60" i="1" s="1"/>
  <c r="BL60" i="1" s="1"/>
  <c r="AP28" i="1"/>
  <c r="M5" i="3"/>
  <c r="M17" i="3"/>
  <c r="M57" i="3"/>
  <c r="M7" i="3"/>
  <c r="AP61" i="1"/>
  <c r="Z45" i="1"/>
  <c r="Z58" i="1"/>
  <c r="Z31" i="1"/>
  <c r="Z26" i="1"/>
  <c r="Y67" i="1"/>
  <c r="AA21" i="1" s="1"/>
  <c r="AB21" i="1" s="1"/>
  <c r="Z5" i="1"/>
  <c r="AA5" i="1" s="1"/>
  <c r="AB5" i="1" s="1"/>
  <c r="Z61" i="1"/>
  <c r="Z32" i="1"/>
  <c r="Z28" i="1"/>
  <c r="Z25" i="1"/>
  <c r="Z18" i="1"/>
  <c r="Z37" i="1"/>
  <c r="Z33" i="1"/>
  <c r="Z16" i="1"/>
  <c r="Z27" i="1"/>
  <c r="Z38" i="1"/>
  <c r="Z35" i="1"/>
  <c r="Z15" i="1"/>
  <c r="Z56" i="1"/>
  <c r="Z19" i="1"/>
  <c r="Z7" i="1"/>
  <c r="AA7" i="1" s="1"/>
  <c r="AB7" i="1" s="1"/>
  <c r="Z59" i="1"/>
  <c r="AA59" i="1" s="1"/>
  <c r="AB59" i="1" s="1"/>
  <c r="Z50" i="1"/>
  <c r="Z40" i="1"/>
  <c r="Z43" i="1"/>
  <c r="BJ18" i="1"/>
  <c r="BJ43" i="1"/>
  <c r="BJ63" i="1"/>
  <c r="AP15" i="1"/>
  <c r="BN15" i="1"/>
  <c r="M50" i="3"/>
  <c r="Z46" i="1"/>
  <c r="AD15" i="1"/>
  <c r="AD34" i="1"/>
  <c r="AP56" i="1"/>
  <c r="AP24" i="1"/>
  <c r="Z54" i="1"/>
  <c r="AP50" i="1"/>
  <c r="AP14" i="1"/>
  <c r="AQ14" i="1" s="1"/>
  <c r="AR14" i="1" s="1"/>
  <c r="BQ67" i="1"/>
  <c r="BS49" i="1" s="1"/>
  <c r="BT49" i="1" s="1"/>
  <c r="BR38" i="1"/>
  <c r="BR55" i="1"/>
  <c r="BR64" i="1"/>
  <c r="BR29" i="1"/>
  <c r="BR23" i="1"/>
  <c r="BR22" i="1"/>
  <c r="BR21" i="1"/>
  <c r="BR20" i="1"/>
  <c r="BR19" i="1"/>
  <c r="BR18" i="1"/>
  <c r="BR17" i="1"/>
  <c r="BR16" i="1"/>
  <c r="BR15" i="1"/>
  <c r="BR14" i="1"/>
  <c r="BR13" i="1"/>
  <c r="BR11" i="1"/>
  <c r="BR8" i="1"/>
  <c r="BR28" i="1"/>
  <c r="BR51" i="1"/>
  <c r="BR9" i="1"/>
  <c r="BR4" i="1"/>
  <c r="BR60" i="1"/>
  <c r="BR50" i="1"/>
  <c r="BR34" i="1"/>
  <c r="BR7" i="1"/>
  <c r="BR6" i="1"/>
  <c r="BR5" i="1"/>
  <c r="BR12" i="1"/>
  <c r="BR10" i="1"/>
  <c r="BR46" i="1"/>
  <c r="BR57" i="1"/>
  <c r="BR61" i="1"/>
  <c r="BS61" i="1" s="1"/>
  <c r="BT61" i="1" s="1"/>
  <c r="BR37" i="1"/>
  <c r="BR56" i="1"/>
  <c r="BR52" i="1"/>
  <c r="BR54" i="1"/>
  <c r="BR41" i="1"/>
  <c r="BJ44" i="1"/>
  <c r="M34" i="3"/>
  <c r="AD49" i="1"/>
  <c r="BE67" i="1"/>
  <c r="BG54" i="1" s="1"/>
  <c r="BH54" i="1" s="1"/>
  <c r="BF45" i="1"/>
  <c r="BG45" i="1" s="1"/>
  <c r="BH45" i="1" s="1"/>
  <c r="BF48" i="1"/>
  <c r="BG48" i="1" s="1"/>
  <c r="BH48" i="1" s="1"/>
  <c r="BF44" i="1"/>
  <c r="BF30" i="1"/>
  <c r="BF53" i="1"/>
  <c r="BF6" i="1"/>
  <c r="BF14" i="1"/>
  <c r="BF33" i="1"/>
  <c r="BF39" i="1"/>
  <c r="BF9" i="1"/>
  <c r="BF7" i="1"/>
  <c r="BF38" i="1"/>
  <c r="BF32" i="1"/>
  <c r="BF31" i="1"/>
  <c r="BF5" i="1"/>
  <c r="BF28" i="1"/>
  <c r="BF60" i="1"/>
  <c r="BG60" i="1" s="1"/>
  <c r="BH60" i="1" s="1"/>
  <c r="BF20" i="1"/>
  <c r="BG20" i="1" s="1"/>
  <c r="BH20" i="1" s="1"/>
  <c r="BF47" i="1"/>
  <c r="BF50" i="1"/>
  <c r="AD24" i="1"/>
  <c r="AX57" i="1"/>
  <c r="AM64" i="1"/>
  <c r="AN64" i="1" s="1"/>
  <c r="Z62" i="1"/>
  <c r="AD28" i="1"/>
  <c r="BR40" i="1"/>
  <c r="BR32" i="1"/>
  <c r="Z12" i="1"/>
  <c r="BJ58" i="1"/>
  <c r="AP13" i="1"/>
  <c r="BF24" i="1"/>
  <c r="BF8" i="1"/>
  <c r="BJ57" i="1"/>
  <c r="AP26" i="1"/>
  <c r="AX48" i="1"/>
  <c r="AX58" i="1"/>
  <c r="Z20" i="1"/>
  <c r="AX44" i="1"/>
  <c r="BF51" i="1"/>
  <c r="AD13" i="1"/>
  <c r="AP8" i="1"/>
  <c r="Z17" i="1"/>
  <c r="BR39" i="1"/>
  <c r="AX64" i="1"/>
  <c r="AX10" i="1"/>
  <c r="BF23" i="1"/>
  <c r="BG23" i="1" s="1"/>
  <c r="BH23" i="1" s="1"/>
  <c r="BN14" i="1"/>
  <c r="M60" i="3"/>
  <c r="M9" i="3"/>
  <c r="M59" i="3"/>
  <c r="Z60" i="1"/>
  <c r="BF63" i="1"/>
  <c r="BF40" i="1"/>
  <c r="AL44" i="1"/>
  <c r="AL62" i="1"/>
  <c r="AL57" i="1"/>
  <c r="AK67" i="1"/>
  <c r="AM45" i="1" s="1"/>
  <c r="AN45" i="1" s="1"/>
  <c r="AL24" i="1"/>
  <c r="AM24" i="1" s="1"/>
  <c r="AN24" i="1" s="1"/>
  <c r="AL23" i="1"/>
  <c r="AM23" i="1" s="1"/>
  <c r="AN23" i="1" s="1"/>
  <c r="AL22" i="1"/>
  <c r="AM22" i="1" s="1"/>
  <c r="AN22" i="1" s="1"/>
  <c r="AL21" i="1"/>
  <c r="AM21" i="1" s="1"/>
  <c r="AN21" i="1" s="1"/>
  <c r="AL20" i="1"/>
  <c r="AM20" i="1" s="1"/>
  <c r="AN20" i="1" s="1"/>
  <c r="AL19" i="1"/>
  <c r="AL18" i="1"/>
  <c r="AL17" i="1"/>
  <c r="AL16" i="1"/>
  <c r="AL15" i="1"/>
  <c r="AL14" i="1"/>
  <c r="AL13" i="1"/>
  <c r="AL12" i="1"/>
  <c r="AL9" i="1"/>
  <c r="AL50" i="1"/>
  <c r="AL10" i="1"/>
  <c r="AM10" i="1" s="1"/>
  <c r="AN10" i="1" s="1"/>
  <c r="AL4" i="1"/>
  <c r="AM4" i="1" s="1"/>
  <c r="AN4" i="1" s="1"/>
  <c r="AL29" i="1"/>
  <c r="AM29" i="1" s="1"/>
  <c r="AN29" i="1" s="1"/>
  <c r="AL5" i="1"/>
  <c r="AM5" i="1" s="1"/>
  <c r="AN5" i="1" s="1"/>
  <c r="AL55" i="1"/>
  <c r="AM55" i="1" s="1"/>
  <c r="AN55" i="1" s="1"/>
  <c r="AL31" i="1"/>
  <c r="AM31" i="1" s="1"/>
  <c r="AN31" i="1" s="1"/>
  <c r="AL11" i="1"/>
  <c r="AL61" i="1"/>
  <c r="AL40" i="1"/>
  <c r="AL49" i="1"/>
  <c r="AL38" i="1"/>
  <c r="AL32" i="1"/>
  <c r="AL8" i="1"/>
  <c r="AL7" i="1"/>
  <c r="AL6" i="1"/>
  <c r="AL41" i="1"/>
  <c r="AL39" i="1"/>
  <c r="AM39" i="1" s="1"/>
  <c r="AN39" i="1" s="1"/>
  <c r="AL51" i="1"/>
  <c r="AM51" i="1" s="1"/>
  <c r="AN51" i="1" s="1"/>
  <c r="AL26" i="1"/>
  <c r="AM26" i="1" s="1"/>
  <c r="AN26" i="1" s="1"/>
  <c r="AL35" i="1"/>
  <c r="AM35" i="1" s="1"/>
  <c r="AN35" i="1" s="1"/>
  <c r="AL25" i="1"/>
  <c r="AM25" i="1" s="1"/>
  <c r="AN25" i="1" s="1"/>
  <c r="AD56" i="1"/>
  <c r="AX17" i="1"/>
  <c r="AX54" i="1"/>
  <c r="BF56" i="1"/>
  <c r="Z8" i="1"/>
  <c r="BA67" i="1"/>
  <c r="BC41" i="1" s="1"/>
  <c r="BD41" i="1" s="1"/>
  <c r="BB63" i="1"/>
  <c r="BC63" i="1" s="1"/>
  <c r="BD63" i="1" s="1"/>
  <c r="BB36" i="1"/>
  <c r="BC36" i="1" s="1"/>
  <c r="BD36" i="1" s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43" i="1"/>
  <c r="BB61" i="1"/>
  <c r="BC61" i="1" s="1"/>
  <c r="BD61" i="1" s="1"/>
  <c r="BB9" i="1"/>
  <c r="BC9" i="1" s="1"/>
  <c r="BD9" i="1" s="1"/>
  <c r="BB4" i="1"/>
  <c r="BB8" i="1"/>
  <c r="BB46" i="1"/>
  <c r="BB7" i="1"/>
  <c r="BB6" i="1"/>
  <c r="BB50" i="1"/>
  <c r="BB39" i="1"/>
  <c r="BB11" i="1"/>
  <c r="BB5" i="1"/>
  <c r="BB10" i="1"/>
  <c r="BB37" i="1"/>
  <c r="BB60" i="1"/>
  <c r="BB45" i="1"/>
  <c r="BB32" i="1"/>
  <c r="BC32" i="1" s="1"/>
  <c r="BD32" i="1" s="1"/>
  <c r="BB54" i="1"/>
  <c r="BC54" i="1" s="1"/>
  <c r="BD54" i="1" s="1"/>
  <c r="BB27" i="1"/>
  <c r="BC27" i="1" s="1"/>
  <c r="BD27" i="1" s="1"/>
  <c r="BB33" i="1"/>
  <c r="BB34" i="1"/>
  <c r="BB48" i="1"/>
  <c r="BB56" i="1"/>
  <c r="BB49" i="1"/>
  <c r="AP27" i="1"/>
  <c r="BN52" i="1"/>
  <c r="AD5" i="1"/>
  <c r="Z51" i="1"/>
  <c r="BJ32" i="1"/>
  <c r="BJ38" i="1"/>
  <c r="BF36" i="1"/>
  <c r="BR43" i="1"/>
  <c r="BJ10" i="1"/>
  <c r="BK10" i="1" s="1"/>
  <c r="BL10" i="1" s="1"/>
  <c r="BJ21" i="1"/>
  <c r="BK21" i="1" s="1"/>
  <c r="BL21" i="1" s="1"/>
  <c r="BJ54" i="1"/>
  <c r="BK54" i="1" s="1"/>
  <c r="BL54" i="1" s="1"/>
  <c r="M44" i="3"/>
  <c r="AP57" i="1"/>
  <c r="BB38" i="1"/>
  <c r="BB52" i="1"/>
  <c r="BJ62" i="1"/>
  <c r="AD42" i="1"/>
  <c r="AD12" i="1"/>
  <c r="AX42" i="1"/>
  <c r="AP38" i="1"/>
  <c r="BN39" i="1"/>
  <c r="BR45" i="1"/>
  <c r="AL52" i="1"/>
  <c r="BB25" i="1"/>
  <c r="AX50" i="1"/>
  <c r="BJ64" i="1"/>
  <c r="BK64" i="1" s="1"/>
  <c r="BL64" i="1" s="1"/>
  <c r="AP7" i="1"/>
  <c r="AQ7" i="1" s="1"/>
  <c r="AR7" i="1" s="1"/>
  <c r="BB29" i="1"/>
  <c r="BF35" i="1"/>
  <c r="BN41" i="1"/>
  <c r="Z9" i="1"/>
  <c r="BN9" i="1"/>
  <c r="BJ9" i="1"/>
  <c r="BJ19" i="1"/>
  <c r="M8" i="3"/>
  <c r="M29" i="3"/>
  <c r="Z52" i="1"/>
  <c r="Z34" i="1"/>
  <c r="BF61" i="1"/>
  <c r="Z39" i="1"/>
  <c r="AP55" i="1"/>
  <c r="AQ55" i="1" s="1"/>
  <c r="AR55" i="1" s="1"/>
  <c r="Z11" i="1"/>
  <c r="BN37" i="1"/>
  <c r="BO37" i="1" s="1"/>
  <c r="BP37" i="1" s="1"/>
  <c r="AL36" i="1"/>
  <c r="BB51" i="1"/>
  <c r="BN55" i="1"/>
  <c r="AD16" i="1"/>
  <c r="AP22" i="1"/>
  <c r="BR63" i="1"/>
  <c r="AX5" i="1"/>
  <c r="BN49" i="1"/>
  <c r="BF18" i="1"/>
  <c r="AL27" i="1"/>
  <c r="AX4" i="1"/>
  <c r="BF42" i="1"/>
  <c r="M64" i="3"/>
  <c r="M55" i="3"/>
  <c r="AP49" i="1"/>
  <c r="AQ49" i="1" s="1"/>
  <c r="AR49" i="1" s="1"/>
  <c r="BF62" i="1"/>
  <c r="BF49" i="1"/>
  <c r="Z49" i="1"/>
  <c r="AL54" i="1"/>
  <c r="AM54" i="1" s="1"/>
  <c r="AN54" i="1" s="1"/>
  <c r="AX8" i="1"/>
  <c r="BR36" i="1"/>
  <c r="BR31" i="1"/>
  <c r="AL47" i="1"/>
  <c r="BJ50" i="1"/>
  <c r="AD14" i="1"/>
  <c r="AX14" i="1"/>
  <c r="BB28" i="1"/>
  <c r="AX62" i="1"/>
  <c r="AP59" i="1"/>
  <c r="AQ59" i="1" s="1"/>
  <c r="AR59" i="1" s="1"/>
  <c r="BB47" i="1"/>
  <c r="BC47" i="1" s="1"/>
  <c r="BD47" i="1" s="1"/>
  <c r="BJ17" i="1"/>
  <c r="BK17" i="1" s="1"/>
  <c r="BL17" i="1" s="1"/>
  <c r="BF17" i="1"/>
  <c r="AL28" i="1"/>
  <c r="AD63" i="1"/>
  <c r="M48" i="3"/>
  <c r="M39" i="3"/>
  <c r="Z64" i="1"/>
  <c r="AD27" i="1"/>
  <c r="AL59" i="1"/>
  <c r="AL46" i="1"/>
  <c r="BB35" i="1"/>
  <c r="BJ28" i="1"/>
  <c r="Z48" i="1"/>
  <c r="BR47" i="1"/>
  <c r="Z14" i="1"/>
  <c r="BR27" i="1"/>
  <c r="AP46" i="1"/>
  <c r="Z47" i="1"/>
  <c r="BF58" i="1"/>
  <c r="BN13" i="1"/>
  <c r="BJ8" i="1"/>
  <c r="BR30" i="1"/>
  <c r="AW67" i="1"/>
  <c r="AY13" i="1" s="1"/>
  <c r="AZ13" i="1" s="1"/>
  <c r="AX59" i="1"/>
  <c r="AX31" i="1"/>
  <c r="AX41" i="1"/>
  <c r="AX28" i="1"/>
  <c r="AX55" i="1"/>
  <c r="AX37" i="1"/>
  <c r="AX32" i="1"/>
  <c r="AX22" i="1"/>
  <c r="AX12" i="1"/>
  <c r="AX36" i="1"/>
  <c r="AX24" i="1"/>
  <c r="AX35" i="1"/>
  <c r="AX23" i="1"/>
  <c r="AX60" i="1"/>
  <c r="AX27" i="1"/>
  <c r="AX30" i="1"/>
  <c r="AX51" i="1"/>
  <c r="AX33" i="1"/>
  <c r="AX25" i="1"/>
  <c r="AX19" i="1"/>
  <c r="AX26" i="1"/>
  <c r="AX29" i="1"/>
  <c r="AX21" i="1"/>
  <c r="AX47" i="1"/>
  <c r="AX20" i="1"/>
  <c r="AX18" i="1"/>
  <c r="AX34" i="1"/>
  <c r="AX9" i="1"/>
  <c r="AX11" i="1"/>
  <c r="AX6" i="1"/>
  <c r="AX40" i="1"/>
  <c r="AX15" i="1"/>
  <c r="AX7" i="1"/>
  <c r="AX53" i="1"/>
  <c r="AX38" i="1"/>
  <c r="BN8" i="1"/>
  <c r="BO8" i="1" s="1"/>
  <c r="BP8" i="1" s="1"/>
  <c r="AX16" i="1"/>
  <c r="BJ42" i="1"/>
  <c r="BK42" i="1" s="1"/>
  <c r="BL42" i="1" s="1"/>
  <c r="BN54" i="1"/>
  <c r="BO54" i="1" s="1"/>
  <c r="BP54" i="1" s="1"/>
  <c r="AD59" i="1"/>
  <c r="AC67" i="1"/>
  <c r="AE4" i="1" s="1"/>
  <c r="AF4" i="1" s="1"/>
  <c r="AD54" i="1"/>
  <c r="AD45" i="1"/>
  <c r="AD35" i="1"/>
  <c r="AD36" i="1"/>
  <c r="AD22" i="1"/>
  <c r="AD33" i="1"/>
  <c r="AD64" i="1"/>
  <c r="AD61" i="1"/>
  <c r="AD52" i="1"/>
  <c r="AD37" i="1"/>
  <c r="AD11" i="1"/>
  <c r="AD20" i="1"/>
  <c r="AD46" i="1"/>
  <c r="AD21" i="1"/>
  <c r="AD48" i="1"/>
  <c r="AD53" i="1"/>
  <c r="AD55" i="1"/>
  <c r="AD51" i="1"/>
  <c r="AD23" i="1"/>
  <c r="AD47" i="1"/>
  <c r="AD39" i="1"/>
  <c r="AD8" i="1"/>
  <c r="AD57" i="1"/>
  <c r="AD9" i="1"/>
  <c r="AD25" i="1"/>
  <c r="AD32" i="1"/>
  <c r="AD17" i="1"/>
  <c r="AD43" i="1"/>
  <c r="AD62" i="1"/>
  <c r="BG15" i="1"/>
  <c r="BH15" i="1" s="1"/>
  <c r="Z10" i="1"/>
  <c r="Z63" i="1"/>
  <c r="BR62" i="1"/>
  <c r="AD40" i="1"/>
  <c r="BJ7" i="1"/>
  <c r="AT58" i="1"/>
  <c r="AT40" i="1"/>
  <c r="AT59" i="1"/>
  <c r="AT12" i="1"/>
  <c r="AT41" i="1"/>
  <c r="AS67" i="1"/>
  <c r="AU24" i="1" s="1"/>
  <c r="AV24" i="1" s="1"/>
  <c r="AT39" i="1"/>
  <c r="AT27" i="1"/>
  <c r="AU27" i="1" s="1"/>
  <c r="AV27" i="1" s="1"/>
  <c r="AT6" i="1"/>
  <c r="AT47" i="1"/>
  <c r="AU47" i="1" s="1"/>
  <c r="AV47" i="1" s="1"/>
  <c r="AT28" i="1"/>
  <c r="AT25" i="1"/>
  <c r="AT63" i="1"/>
  <c r="AT42" i="1"/>
  <c r="AT61" i="1"/>
  <c r="AT29" i="1"/>
  <c r="AT54" i="1"/>
  <c r="AT19" i="1"/>
  <c r="AT35" i="1"/>
  <c r="V59" i="3"/>
  <c r="AT51" i="1"/>
  <c r="AT9" i="1"/>
  <c r="L68" i="3"/>
  <c r="M6" i="3"/>
  <c r="M30" i="3"/>
  <c r="M46" i="3"/>
  <c r="M54" i="3"/>
  <c r="M14" i="3"/>
  <c r="M62" i="3"/>
  <c r="M22" i="3"/>
  <c r="M38" i="3"/>
  <c r="M49" i="3"/>
  <c r="V54" i="3"/>
  <c r="M18" i="3"/>
  <c r="V21" i="3"/>
  <c r="M36" i="3"/>
  <c r="V22" i="3"/>
  <c r="M24" i="3"/>
  <c r="M31" i="3"/>
  <c r="M43" i="3"/>
  <c r="M51" i="3"/>
  <c r="U68" i="3"/>
  <c r="V8" i="3"/>
  <c r="V64" i="3"/>
  <c r="V40" i="3"/>
  <c r="V35" i="3"/>
  <c r="V48" i="3"/>
  <c r="V56" i="3"/>
  <c r="V16" i="3"/>
  <c r="V24" i="3"/>
  <c r="V32" i="3"/>
  <c r="V30" i="3"/>
  <c r="M20" i="3"/>
  <c r="V10" i="3"/>
  <c r="V33" i="3"/>
  <c r="M19" i="3"/>
  <c r="M25" i="3"/>
  <c r="W8" i="3" l="1"/>
  <c r="X8" i="3" s="1"/>
  <c r="N19" i="3"/>
  <c r="T19" i="3" s="1"/>
  <c r="N43" i="3"/>
  <c r="T43" i="3" s="1"/>
  <c r="N6" i="3"/>
  <c r="T6" i="3" s="1"/>
  <c r="U66" i="8"/>
  <c r="Y66" i="8"/>
  <c r="AG66" i="8"/>
  <c r="AB66" i="3"/>
  <c r="N62" i="3"/>
  <c r="T62" i="3" s="1"/>
  <c r="N25" i="3"/>
  <c r="T25" i="3" s="1"/>
  <c r="N51" i="3"/>
  <c r="T51" i="3" s="1"/>
  <c r="N28" i="3"/>
  <c r="T28" i="3" s="1"/>
  <c r="N54" i="3"/>
  <c r="T54" i="3" s="1"/>
  <c r="N46" i="3"/>
  <c r="T46" i="3" s="1"/>
  <c r="N38" i="3"/>
  <c r="T38" i="3" s="1"/>
  <c r="N22" i="3"/>
  <c r="T22" i="3" s="1"/>
  <c r="N26" i="3"/>
  <c r="T26" i="3" s="1"/>
  <c r="N61" i="3"/>
  <c r="T61" i="3" s="1"/>
  <c r="N14" i="3"/>
  <c r="T14" i="3" s="1"/>
  <c r="N31" i="3"/>
  <c r="T31" i="3" s="1"/>
  <c r="W40" i="3"/>
  <c r="X40" i="3" s="1"/>
  <c r="N47" i="3"/>
  <c r="T47" i="3" s="1"/>
  <c r="N30" i="3"/>
  <c r="T30" i="3" s="1"/>
  <c r="N17" i="3"/>
  <c r="T17" i="3" s="1"/>
  <c r="N53" i="3"/>
  <c r="T53" i="3" s="1"/>
  <c r="N27" i="3"/>
  <c r="T27" i="3" s="1"/>
  <c r="N5" i="3"/>
  <c r="T5" i="3" s="1"/>
  <c r="N58" i="3"/>
  <c r="T58" i="3" s="1"/>
  <c r="N4" i="3"/>
  <c r="T4" i="3" s="1"/>
  <c r="N50" i="3"/>
  <c r="T50" i="3" s="1"/>
  <c r="N23" i="3"/>
  <c r="T23" i="3" s="1"/>
  <c r="N8" i="3"/>
  <c r="T8" i="3" s="1"/>
  <c r="N16" i="3"/>
  <c r="T16" i="3" s="1"/>
  <c r="N41" i="3"/>
  <c r="T41" i="3" s="1"/>
  <c r="W4" i="3"/>
  <c r="X4" i="3" s="1"/>
  <c r="N45" i="3"/>
  <c r="T45" i="3" s="1"/>
  <c r="N65" i="3"/>
  <c r="T65" i="3" s="1"/>
  <c r="N52" i="3"/>
  <c r="T52" i="3" s="1"/>
  <c r="BG4" i="1"/>
  <c r="BH4" i="1" s="1"/>
  <c r="BG12" i="1"/>
  <c r="BH12" i="1" s="1"/>
  <c r="BK9" i="1"/>
  <c r="BL9" i="1" s="1"/>
  <c r="AQ27" i="1"/>
  <c r="AR27" i="1" s="1"/>
  <c r="BC50" i="1"/>
  <c r="BD50" i="1" s="1"/>
  <c r="BC19" i="1"/>
  <c r="BD19" i="1" s="1"/>
  <c r="BO23" i="1"/>
  <c r="BP23" i="1" s="1"/>
  <c r="BO25" i="1"/>
  <c r="BP25" i="1" s="1"/>
  <c r="AM60" i="1"/>
  <c r="AN60" i="1" s="1"/>
  <c r="BK59" i="1"/>
  <c r="BL59" i="1" s="1"/>
  <c r="BK5" i="1"/>
  <c r="BL5" i="1" s="1"/>
  <c r="BC44" i="1"/>
  <c r="BD44" i="1" s="1"/>
  <c r="AJ65" i="1"/>
  <c r="BC62" i="1"/>
  <c r="BD62" i="1" s="1"/>
  <c r="AQ39" i="1"/>
  <c r="AR39" i="1" s="1"/>
  <c r="AQ12" i="1"/>
  <c r="AR12" i="1" s="1"/>
  <c r="BK25" i="1"/>
  <c r="BL25" i="1" s="1"/>
  <c r="BK50" i="1"/>
  <c r="BL50" i="1" s="1"/>
  <c r="BK12" i="1"/>
  <c r="BL12" i="1" s="1"/>
  <c r="BO52" i="1"/>
  <c r="BP52" i="1" s="1"/>
  <c r="BC40" i="1"/>
  <c r="BD40" i="1" s="1"/>
  <c r="AA13" i="1"/>
  <c r="AB13" i="1" s="1"/>
  <c r="BO46" i="1"/>
  <c r="BP46" i="1" s="1"/>
  <c r="BK62" i="1"/>
  <c r="BL62" i="1" s="1"/>
  <c r="BK44" i="1"/>
  <c r="BL44" i="1" s="1"/>
  <c r="BO24" i="1"/>
  <c r="BP24" i="1" s="1"/>
  <c r="BK48" i="1"/>
  <c r="BL48" i="1" s="1"/>
  <c r="BC52" i="1"/>
  <c r="BD52" i="1" s="1"/>
  <c r="BC56" i="1"/>
  <c r="BD56" i="1" s="1"/>
  <c r="BC7" i="1"/>
  <c r="BD7" i="1" s="1"/>
  <c r="BC21" i="1"/>
  <c r="BD21" i="1" s="1"/>
  <c r="AQ15" i="1"/>
  <c r="AR15" i="1" s="1"/>
  <c r="BG13" i="1"/>
  <c r="BH13" i="1" s="1"/>
  <c r="BO61" i="1"/>
  <c r="BP61" i="1" s="1"/>
  <c r="BO7" i="1"/>
  <c r="BP7" i="1" s="1"/>
  <c r="BO60" i="1"/>
  <c r="BP60" i="1" s="1"/>
  <c r="BK34" i="1"/>
  <c r="BL34" i="1" s="1"/>
  <c r="BK39" i="1"/>
  <c r="BL39" i="1" s="1"/>
  <c r="BC11" i="1"/>
  <c r="BD11" i="1" s="1"/>
  <c r="BC18" i="1"/>
  <c r="BD18" i="1" s="1"/>
  <c r="BC49" i="1"/>
  <c r="BD49" i="1" s="1"/>
  <c r="AU57" i="1"/>
  <c r="AV57" i="1" s="1"/>
  <c r="BK63" i="1"/>
  <c r="BL63" i="1" s="1"/>
  <c r="AE53" i="1"/>
  <c r="AF53" i="1" s="1"/>
  <c r="BK49" i="1"/>
  <c r="BL49" i="1" s="1"/>
  <c r="BC17" i="1"/>
  <c r="BD17" i="1" s="1"/>
  <c r="BG8" i="1"/>
  <c r="BH8" i="1" s="1"/>
  <c r="BK27" i="1"/>
  <c r="BL27" i="1" s="1"/>
  <c r="AQ62" i="1"/>
  <c r="AR62" i="1" s="1"/>
  <c r="BO58" i="1"/>
  <c r="BP58" i="1" s="1"/>
  <c r="BK37" i="1"/>
  <c r="BL37" i="1" s="1"/>
  <c r="BG10" i="1"/>
  <c r="BH10" i="1" s="1"/>
  <c r="BC64" i="1"/>
  <c r="BD64" i="1" s="1"/>
  <c r="AQ22" i="1"/>
  <c r="AR22" i="1" s="1"/>
  <c r="BC20" i="1"/>
  <c r="BD20" i="1" s="1"/>
  <c r="AE35" i="1"/>
  <c r="AF35" i="1" s="1"/>
  <c r="BC38" i="1"/>
  <c r="BD38" i="1" s="1"/>
  <c r="BC46" i="1"/>
  <c r="BD46" i="1" s="1"/>
  <c r="BO57" i="1"/>
  <c r="BP57" i="1" s="1"/>
  <c r="BO26" i="1"/>
  <c r="BP26" i="1" s="1"/>
  <c r="BO33" i="1"/>
  <c r="BP33" i="1" s="1"/>
  <c r="AE40" i="1"/>
  <c r="AF40" i="1" s="1"/>
  <c r="AE63" i="1"/>
  <c r="AF63" i="1" s="1"/>
  <c r="BC51" i="1"/>
  <c r="BD51" i="1" s="1"/>
  <c r="BG35" i="1"/>
  <c r="BH35" i="1" s="1"/>
  <c r="AQ57" i="1"/>
  <c r="AR57" i="1" s="1"/>
  <c r="BC34" i="1"/>
  <c r="BD34" i="1" s="1"/>
  <c r="BC8" i="1"/>
  <c r="BD8" i="1" s="1"/>
  <c r="BC23" i="1"/>
  <c r="BD23" i="1" s="1"/>
  <c r="BK43" i="1"/>
  <c r="BL43" i="1" s="1"/>
  <c r="AQ5" i="1"/>
  <c r="AR5" i="1" s="1"/>
  <c r="AQ17" i="1"/>
  <c r="AR17" i="1" s="1"/>
  <c r="BS27" i="1"/>
  <c r="BT27" i="1" s="1"/>
  <c r="BC25" i="1"/>
  <c r="BD25" i="1" s="1"/>
  <c r="AE58" i="1"/>
  <c r="AF58" i="1" s="1"/>
  <c r="BC58" i="1"/>
  <c r="BD58" i="1" s="1"/>
  <c r="AE56" i="1"/>
  <c r="AF56" i="1" s="1"/>
  <c r="BK57" i="1"/>
  <c r="BL57" i="1" s="1"/>
  <c r="BO49" i="1"/>
  <c r="BP49" i="1" s="1"/>
  <c r="BK14" i="1"/>
  <c r="BL14" i="1" s="1"/>
  <c r="AY15" i="1"/>
  <c r="AZ15" i="1" s="1"/>
  <c r="BK19" i="1"/>
  <c r="BL19" i="1" s="1"/>
  <c r="BC39" i="1"/>
  <c r="BD39" i="1" s="1"/>
  <c r="BK33" i="1"/>
  <c r="BL33" i="1" s="1"/>
  <c r="BO9" i="1"/>
  <c r="BP9" i="1" s="1"/>
  <c r="BC6" i="1"/>
  <c r="BD6" i="1" s="1"/>
  <c r="BK58" i="1"/>
  <c r="BL58" i="1" s="1"/>
  <c r="AU22" i="1"/>
  <c r="AV22" i="1" s="1"/>
  <c r="BO20" i="1"/>
  <c r="BP20" i="1" s="1"/>
  <c r="BC53" i="1"/>
  <c r="BD53" i="1" s="1"/>
  <c r="BK35" i="1"/>
  <c r="BL35" i="1" s="1"/>
  <c r="BK7" i="1"/>
  <c r="BL7" i="1" s="1"/>
  <c r="AE23" i="1"/>
  <c r="AF23" i="1" s="1"/>
  <c r="BK8" i="1"/>
  <c r="BL8" i="1" s="1"/>
  <c r="BC48" i="1"/>
  <c r="BD48" i="1" s="1"/>
  <c r="AE55" i="1"/>
  <c r="AF55" i="1" s="1"/>
  <c r="AE54" i="1"/>
  <c r="AF54" i="1" s="1"/>
  <c r="AM28" i="1"/>
  <c r="AN28" i="1" s="1"/>
  <c r="AM36" i="1"/>
  <c r="AN36" i="1" s="1"/>
  <c r="BC29" i="1"/>
  <c r="BD29" i="1" s="1"/>
  <c r="N44" i="3"/>
  <c r="T44" i="3" s="1"/>
  <c r="BC33" i="1"/>
  <c r="BD33" i="1" s="1"/>
  <c r="BC4" i="1"/>
  <c r="BD4" i="1" s="1"/>
  <c r="BC24" i="1"/>
  <c r="BD24" i="1" s="1"/>
  <c r="BK18" i="1"/>
  <c r="BL18" i="1" s="1"/>
  <c r="AQ28" i="1"/>
  <c r="AR28" i="1" s="1"/>
  <c r="AQ18" i="1"/>
  <c r="AR18" i="1" s="1"/>
  <c r="BK51" i="1"/>
  <c r="BL51" i="1" s="1"/>
  <c r="BK29" i="1"/>
  <c r="BL29" i="1" s="1"/>
  <c r="AM34" i="1"/>
  <c r="AN34" i="1" s="1"/>
  <c r="AA26" i="1"/>
  <c r="AB26" i="1" s="1"/>
  <c r="W26" i="3"/>
  <c r="X26" i="3" s="1"/>
  <c r="AA56" i="1"/>
  <c r="AB56" i="1" s="1"/>
  <c r="AA63" i="1"/>
  <c r="AB63" i="1" s="1"/>
  <c r="AY8" i="1"/>
  <c r="AZ8" i="1" s="1"/>
  <c r="AE16" i="1"/>
  <c r="AF16" i="1" s="1"/>
  <c r="AA9" i="1"/>
  <c r="AB9" i="1" s="1"/>
  <c r="AA15" i="1"/>
  <c r="AB15" i="1" s="1"/>
  <c r="AA58" i="1"/>
  <c r="AB58" i="1" s="1"/>
  <c r="BO12" i="1"/>
  <c r="BP12" i="1" s="1"/>
  <c r="BO29" i="1"/>
  <c r="BP29" i="1" s="1"/>
  <c r="BO28" i="1"/>
  <c r="BP28" i="1" s="1"/>
  <c r="BK56" i="1"/>
  <c r="BL56" i="1" s="1"/>
  <c r="BK53" i="1"/>
  <c r="BL53" i="1" s="1"/>
  <c r="AA19" i="1"/>
  <c r="AB19" i="1" s="1"/>
  <c r="AA30" i="1"/>
  <c r="AB30" i="1" s="1"/>
  <c r="BG24" i="1"/>
  <c r="BH24" i="1" s="1"/>
  <c r="AA31" i="1"/>
  <c r="AB31" i="1" s="1"/>
  <c r="BG29" i="1"/>
  <c r="BH29" i="1" s="1"/>
  <c r="BG34" i="1"/>
  <c r="BH34" i="1" s="1"/>
  <c r="AA10" i="1"/>
  <c r="AB10" i="1" s="1"/>
  <c r="BO13" i="1"/>
  <c r="BP13" i="1" s="1"/>
  <c r="BO55" i="1"/>
  <c r="BP55" i="1" s="1"/>
  <c r="BO41" i="1"/>
  <c r="BP41" i="1" s="1"/>
  <c r="BC22" i="1"/>
  <c r="BD22" i="1" s="1"/>
  <c r="BO15" i="1"/>
  <c r="BP15" i="1" s="1"/>
  <c r="AA35" i="1"/>
  <c r="AB35" i="1" s="1"/>
  <c r="AA45" i="1"/>
  <c r="AB45" i="1" s="1"/>
  <c r="BO44" i="1"/>
  <c r="BP44" i="1" s="1"/>
  <c r="BO40" i="1"/>
  <c r="BP40" i="1" s="1"/>
  <c r="BO32" i="1"/>
  <c r="BP32" i="1" s="1"/>
  <c r="BK22" i="1"/>
  <c r="BL22" i="1" s="1"/>
  <c r="N40" i="3"/>
  <c r="T40" i="3" s="1"/>
  <c r="BK24" i="1"/>
  <c r="BL24" i="1" s="1"/>
  <c r="BK26" i="1"/>
  <c r="BL26" i="1" s="1"/>
  <c r="AM33" i="1"/>
  <c r="AN33" i="1" s="1"/>
  <c r="W50" i="3"/>
  <c r="X50" i="3" s="1"/>
  <c r="AU39" i="1"/>
  <c r="AV39" i="1" s="1"/>
  <c r="AY29" i="1"/>
  <c r="AZ29" i="1" s="1"/>
  <c r="AY37" i="1"/>
  <c r="AZ37" i="1" s="1"/>
  <c r="AA14" i="1"/>
  <c r="AB14" i="1" s="1"/>
  <c r="AY44" i="1"/>
  <c r="AZ44" i="1" s="1"/>
  <c r="AA62" i="1"/>
  <c r="AB62" i="1" s="1"/>
  <c r="BG33" i="1"/>
  <c r="BH33" i="1" s="1"/>
  <c r="BS37" i="1"/>
  <c r="BT37" i="1" s="1"/>
  <c r="BS8" i="1"/>
  <c r="BT8" i="1" s="1"/>
  <c r="BS38" i="1"/>
  <c r="BT38" i="1" s="1"/>
  <c r="BG37" i="1"/>
  <c r="BH37" i="1" s="1"/>
  <c r="BO30" i="1"/>
  <c r="BP30" i="1" s="1"/>
  <c r="BO19" i="1"/>
  <c r="BP19" i="1" s="1"/>
  <c r="BP65" i="1" s="1"/>
  <c r="BO42" i="1"/>
  <c r="BP42" i="1" s="1"/>
  <c r="AQ53" i="1"/>
  <c r="AR53" i="1" s="1"/>
  <c r="BK6" i="1"/>
  <c r="BL6" i="1" s="1"/>
  <c r="BK61" i="1"/>
  <c r="BL61" i="1" s="1"/>
  <c r="AY10" i="1"/>
  <c r="AZ10" i="1" s="1"/>
  <c r="AA57" i="1"/>
  <c r="AB57" i="1" s="1"/>
  <c r="BG46" i="1"/>
  <c r="BH46" i="1" s="1"/>
  <c r="W12" i="3"/>
  <c r="X12" i="3" s="1"/>
  <c r="BG62" i="1"/>
  <c r="BH62" i="1" s="1"/>
  <c r="W9" i="3"/>
  <c r="X9" i="3" s="1"/>
  <c r="BG39" i="1"/>
  <c r="BH39" i="1" s="1"/>
  <c r="AY26" i="1"/>
  <c r="AZ26" i="1" s="1"/>
  <c r="BO31" i="1"/>
  <c r="BP31" i="1" s="1"/>
  <c r="AA23" i="1"/>
  <c r="AB23" i="1" s="1"/>
  <c r="BC26" i="1"/>
  <c r="BD26" i="1" s="1"/>
  <c r="BS47" i="1"/>
  <c r="BT47" i="1" s="1"/>
  <c r="BG61" i="1"/>
  <c r="BH61" i="1" s="1"/>
  <c r="BG6" i="1"/>
  <c r="BH6" i="1" s="1"/>
  <c r="BC28" i="1"/>
  <c r="BD28" i="1" s="1"/>
  <c r="AY58" i="1"/>
  <c r="AZ58" i="1" s="1"/>
  <c r="BG53" i="1"/>
  <c r="BH53" i="1" s="1"/>
  <c r="BO5" i="1"/>
  <c r="BP5" i="1" s="1"/>
  <c r="BO53" i="1"/>
  <c r="BP53" i="1" s="1"/>
  <c r="BC30" i="1"/>
  <c r="BD30" i="1" s="1"/>
  <c r="BO56" i="1"/>
  <c r="BP56" i="1" s="1"/>
  <c r="AA36" i="1"/>
  <c r="AB36" i="1" s="1"/>
  <c r="BK23" i="1"/>
  <c r="BL23" i="1" s="1"/>
  <c r="BO51" i="1"/>
  <c r="BP51" i="1" s="1"/>
  <c r="AA49" i="1"/>
  <c r="AB49" i="1" s="1"/>
  <c r="BG55" i="1"/>
  <c r="BH55" i="1" s="1"/>
  <c r="AA38" i="1"/>
  <c r="AB38" i="1" s="1"/>
  <c r="BG49" i="1"/>
  <c r="BH49" i="1" s="1"/>
  <c r="BG26" i="1"/>
  <c r="BH26" i="1" s="1"/>
  <c r="AU9" i="1"/>
  <c r="AV9" i="1" s="1"/>
  <c r="AY55" i="1"/>
  <c r="AZ55" i="1" s="1"/>
  <c r="AA20" i="1"/>
  <c r="AB20" i="1" s="1"/>
  <c r="BG14" i="1"/>
  <c r="BH14" i="1" s="1"/>
  <c r="AY28" i="1"/>
  <c r="AZ28" i="1" s="1"/>
  <c r="BG42" i="1"/>
  <c r="BH42" i="1" s="1"/>
  <c r="AY57" i="1"/>
  <c r="AZ57" i="1" s="1"/>
  <c r="BG59" i="1"/>
  <c r="BH59" i="1" s="1"/>
  <c r="AA24" i="1"/>
  <c r="AB24" i="1" s="1"/>
  <c r="AY25" i="1"/>
  <c r="AZ25" i="1" s="1"/>
  <c r="AA48" i="1"/>
  <c r="AB48" i="1" s="1"/>
  <c r="BK38" i="1"/>
  <c r="BL38" i="1" s="1"/>
  <c r="AQ50" i="1"/>
  <c r="AR50" i="1" s="1"/>
  <c r="AY53" i="1"/>
  <c r="AZ53" i="1" s="1"/>
  <c r="AY31" i="1"/>
  <c r="AZ31" i="1" s="1"/>
  <c r="BK28" i="1"/>
  <c r="BL28" i="1" s="1"/>
  <c r="BO39" i="1"/>
  <c r="BP39" i="1" s="1"/>
  <c r="BK32" i="1"/>
  <c r="BL32" i="1" s="1"/>
  <c r="BC42" i="1"/>
  <c r="BD42" i="1" s="1"/>
  <c r="AM61" i="1"/>
  <c r="AN61" i="1" s="1"/>
  <c r="AM18" i="1"/>
  <c r="AN18" i="1" s="1"/>
  <c r="N60" i="3"/>
  <c r="T60" i="3" s="1"/>
  <c r="AY48" i="1"/>
  <c r="AZ48" i="1" s="1"/>
  <c r="BG50" i="1"/>
  <c r="BH50" i="1" s="1"/>
  <c r="BG30" i="1"/>
  <c r="BH30" i="1" s="1"/>
  <c r="BG27" i="1"/>
  <c r="BH27" i="1" s="1"/>
  <c r="BK47" i="1"/>
  <c r="BL47" i="1" s="1"/>
  <c r="BO16" i="1"/>
  <c r="BP16" i="1" s="1"/>
  <c r="BO10" i="1"/>
  <c r="BP10" i="1" s="1"/>
  <c r="AA22" i="1"/>
  <c r="AB22" i="1" s="1"/>
  <c r="BC57" i="1"/>
  <c r="BD57" i="1" s="1"/>
  <c r="BK30" i="1"/>
  <c r="BL30" i="1" s="1"/>
  <c r="BK52" i="1"/>
  <c r="BL52" i="1" s="1"/>
  <c r="BG17" i="1"/>
  <c r="BH17" i="1" s="1"/>
  <c r="BG9" i="1"/>
  <c r="BH9" i="1" s="1"/>
  <c r="BG52" i="1"/>
  <c r="BH52" i="1" s="1"/>
  <c r="BG22" i="1"/>
  <c r="BH22" i="1" s="1"/>
  <c r="AY19" i="1"/>
  <c r="AZ19" i="1" s="1"/>
  <c r="AY38" i="1"/>
  <c r="AZ38" i="1" s="1"/>
  <c r="AY41" i="1"/>
  <c r="AZ41" i="1" s="1"/>
  <c r="AY33" i="1"/>
  <c r="AZ33" i="1" s="1"/>
  <c r="AY7" i="1"/>
  <c r="AZ7" i="1" s="1"/>
  <c r="AY51" i="1"/>
  <c r="AZ51" i="1" s="1"/>
  <c r="AY59" i="1"/>
  <c r="AZ59" i="1" s="1"/>
  <c r="BC35" i="1"/>
  <c r="BD35" i="1" s="1"/>
  <c r="AA51" i="1"/>
  <c r="AB51" i="1" s="1"/>
  <c r="BC5" i="1"/>
  <c r="BD5" i="1" s="1"/>
  <c r="BC16" i="1"/>
  <c r="BD16" i="1" s="1"/>
  <c r="AM11" i="1"/>
  <c r="AN11" i="1" s="1"/>
  <c r="AM19" i="1"/>
  <c r="AN19" i="1" s="1"/>
  <c r="BO14" i="1"/>
  <c r="BP14" i="1" s="1"/>
  <c r="AQ26" i="1"/>
  <c r="AR26" i="1" s="1"/>
  <c r="BG47" i="1"/>
  <c r="BH47" i="1" s="1"/>
  <c r="BG44" i="1"/>
  <c r="BH44" i="1" s="1"/>
  <c r="BS25" i="1"/>
  <c r="BT25" i="1" s="1"/>
  <c r="BS44" i="1"/>
  <c r="BT44" i="1" s="1"/>
  <c r="BO27" i="1"/>
  <c r="BP27" i="1" s="1"/>
  <c r="BO22" i="1"/>
  <c r="BP22" i="1" s="1"/>
  <c r="BG64" i="1"/>
  <c r="BH64" i="1" s="1"/>
  <c r="AY63" i="1"/>
  <c r="AZ63" i="1" s="1"/>
  <c r="BO47" i="1"/>
  <c r="BP47" i="1" s="1"/>
  <c r="BO38" i="1"/>
  <c r="BP38" i="1" s="1"/>
  <c r="BK40" i="1"/>
  <c r="BL40" i="1" s="1"/>
  <c r="AQ51" i="1"/>
  <c r="AR51" i="1" s="1"/>
  <c r="BS11" i="1"/>
  <c r="BT11" i="1" s="1"/>
  <c r="AE59" i="1"/>
  <c r="AF59" i="1" s="1"/>
  <c r="BS13" i="1"/>
  <c r="BT13" i="1" s="1"/>
  <c r="AU11" i="1"/>
  <c r="AV11" i="1" s="1"/>
  <c r="AU41" i="1"/>
  <c r="AV41" i="1" s="1"/>
  <c r="AE21" i="1"/>
  <c r="AF21" i="1" s="1"/>
  <c r="BS46" i="1"/>
  <c r="BT46" i="1" s="1"/>
  <c r="AE60" i="1"/>
  <c r="AF60" i="1" s="1"/>
  <c r="AU4" i="1"/>
  <c r="AV4" i="1" s="1"/>
  <c r="AU17" i="1"/>
  <c r="AV17" i="1" s="1"/>
  <c r="AE46" i="1"/>
  <c r="AF46" i="1" s="1"/>
  <c r="AY30" i="1"/>
  <c r="AZ30" i="1" s="1"/>
  <c r="AU64" i="1"/>
  <c r="AV64" i="1" s="1"/>
  <c r="BS10" i="1"/>
  <c r="BT10" i="1" s="1"/>
  <c r="AU50" i="1"/>
  <c r="AV50" i="1" s="1"/>
  <c r="BS53" i="1"/>
  <c r="BT53" i="1" s="1"/>
  <c r="AU35" i="1"/>
  <c r="AV35" i="1" s="1"/>
  <c r="AE43" i="1"/>
  <c r="AF43" i="1" s="1"/>
  <c r="AE20" i="1"/>
  <c r="AF20" i="1" s="1"/>
  <c r="AY40" i="1"/>
  <c r="AZ40" i="1" s="1"/>
  <c r="AA11" i="1"/>
  <c r="AB11" i="1" s="1"/>
  <c r="BS16" i="1"/>
  <c r="BT16" i="1" s="1"/>
  <c r="BS58" i="1"/>
  <c r="BT58" i="1" s="1"/>
  <c r="AE30" i="1"/>
  <c r="AF30" i="1" s="1"/>
  <c r="AU8" i="1"/>
  <c r="AV8" i="1" s="1"/>
  <c r="AU19" i="1"/>
  <c r="AV19" i="1" s="1"/>
  <c r="AE17" i="1"/>
  <c r="AF17" i="1" s="1"/>
  <c r="AE11" i="1"/>
  <c r="AF11" i="1" s="1"/>
  <c r="AY16" i="1"/>
  <c r="AZ16" i="1" s="1"/>
  <c r="AY60" i="1"/>
  <c r="AZ60" i="1" s="1"/>
  <c r="AY14" i="1"/>
  <c r="AZ14" i="1" s="1"/>
  <c r="AY50" i="1"/>
  <c r="AZ50" i="1" s="1"/>
  <c r="AM41" i="1"/>
  <c r="AN41" i="1" s="1"/>
  <c r="AA17" i="1"/>
  <c r="AB17" i="1" s="1"/>
  <c r="BS5" i="1"/>
  <c r="BT5" i="1" s="1"/>
  <c r="AA54" i="1"/>
  <c r="AB54" i="1" s="1"/>
  <c r="AA16" i="1"/>
  <c r="AB16" i="1" s="1"/>
  <c r="BS26" i="1"/>
  <c r="BT26" i="1" s="1"/>
  <c r="AE50" i="1"/>
  <c r="AF50" i="1" s="1"/>
  <c r="AU55" i="1"/>
  <c r="AV55" i="1" s="1"/>
  <c r="BS30" i="1"/>
  <c r="BT30" i="1" s="1"/>
  <c r="AU43" i="1"/>
  <c r="AV43" i="1" s="1"/>
  <c r="AU10" i="1"/>
  <c r="AV10" i="1" s="1"/>
  <c r="AM9" i="1"/>
  <c r="AN9" i="1" s="1"/>
  <c r="AA44" i="1"/>
  <c r="AB44" i="1" s="1"/>
  <c r="AQ16" i="1"/>
  <c r="AR16" i="1" s="1"/>
  <c r="AQ40" i="1"/>
  <c r="AR40" i="1" s="1"/>
  <c r="AU12" i="1"/>
  <c r="AV12" i="1" s="1"/>
  <c r="AY9" i="1"/>
  <c r="AZ9" i="1" s="1"/>
  <c r="AE14" i="1"/>
  <c r="AF14" i="1" s="1"/>
  <c r="AM44" i="1"/>
  <c r="AN44" i="1" s="1"/>
  <c r="BG43" i="1"/>
  <c r="BH43" i="1" s="1"/>
  <c r="AY43" i="1"/>
  <c r="AZ43" i="1" s="1"/>
  <c r="AU38" i="1"/>
  <c r="AV38" i="1" s="1"/>
  <c r="AQ11" i="1"/>
  <c r="AR11" i="1" s="1"/>
  <c r="AQ6" i="1"/>
  <c r="AR6" i="1" s="1"/>
  <c r="AU61" i="1"/>
  <c r="AV61" i="1" s="1"/>
  <c r="AE9" i="1"/>
  <c r="AF9" i="1" s="1"/>
  <c r="BG25" i="1"/>
  <c r="BH25" i="1" s="1"/>
  <c r="AU21" i="1"/>
  <c r="AV21" i="1" s="1"/>
  <c r="AA34" i="1"/>
  <c r="AB34" i="1" s="1"/>
  <c r="BS43" i="1"/>
  <c r="BT43" i="1" s="1"/>
  <c r="AM13" i="1"/>
  <c r="AN13" i="1" s="1"/>
  <c r="AU30" i="1"/>
  <c r="AV30" i="1" s="1"/>
  <c r="BG5" i="1"/>
  <c r="BH5" i="1" s="1"/>
  <c r="BS34" i="1"/>
  <c r="BT34" i="1" s="1"/>
  <c r="AQ56" i="1"/>
  <c r="AR56" i="1" s="1"/>
  <c r="AA18" i="1"/>
  <c r="AB18" i="1" s="1"/>
  <c r="AQ61" i="1"/>
  <c r="AR61" i="1" s="1"/>
  <c r="BG11" i="1"/>
  <c r="BH11" i="1" s="1"/>
  <c r="AU34" i="1"/>
  <c r="AV34" i="1" s="1"/>
  <c r="BC55" i="1"/>
  <c r="BD55" i="1" s="1"/>
  <c r="AQ45" i="1"/>
  <c r="AR45" i="1" s="1"/>
  <c r="AU46" i="1"/>
  <c r="AV46" i="1" s="1"/>
  <c r="AE38" i="1"/>
  <c r="AF38" i="1" s="1"/>
  <c r="AQ43" i="1"/>
  <c r="AR43" i="1" s="1"/>
  <c r="AU42" i="1"/>
  <c r="AV42" i="1" s="1"/>
  <c r="AE57" i="1"/>
  <c r="AF57" i="1" s="1"/>
  <c r="AU44" i="1"/>
  <c r="AV44" i="1" s="1"/>
  <c r="AY36" i="1"/>
  <c r="AZ36" i="1" s="1"/>
  <c r="AM47" i="1"/>
  <c r="AN47" i="1" s="1"/>
  <c r="AA52" i="1"/>
  <c r="AB52" i="1" s="1"/>
  <c r="BC45" i="1"/>
  <c r="BD45" i="1" s="1"/>
  <c r="AM32" i="1"/>
  <c r="AN32" i="1" s="1"/>
  <c r="AE13" i="1"/>
  <c r="AF13" i="1" s="1"/>
  <c r="AE34" i="1"/>
  <c r="AF34" i="1" s="1"/>
  <c r="AA55" i="1"/>
  <c r="AB55" i="1" s="1"/>
  <c r="W56" i="3"/>
  <c r="X56" i="3" s="1"/>
  <c r="AU63" i="1"/>
  <c r="AV63" i="1" s="1"/>
  <c r="AE8" i="1"/>
  <c r="AF8" i="1" s="1"/>
  <c r="AE33" i="1"/>
  <c r="AF33" i="1" s="1"/>
  <c r="AY20" i="1"/>
  <c r="AZ20" i="1" s="1"/>
  <c r="BG58" i="1"/>
  <c r="BH58" i="1" s="1"/>
  <c r="BS31" i="1"/>
  <c r="BT31" i="1" s="1"/>
  <c r="BC60" i="1"/>
  <c r="BD60" i="1" s="1"/>
  <c r="BC13" i="1"/>
  <c r="BD13" i="1" s="1"/>
  <c r="BC59" i="1"/>
  <c r="BD59" i="1" s="1"/>
  <c r="AM15" i="1"/>
  <c r="AN15" i="1" s="1"/>
  <c r="AA60" i="1"/>
  <c r="AB60" i="1" s="1"/>
  <c r="AM58" i="1"/>
  <c r="AN58" i="1" s="1"/>
  <c r="AA12" i="1"/>
  <c r="AB12" i="1" s="1"/>
  <c r="BG32" i="1"/>
  <c r="BH32" i="1" s="1"/>
  <c r="BS60" i="1"/>
  <c r="BT60" i="1" s="1"/>
  <c r="BS22" i="1"/>
  <c r="BT22" i="1" s="1"/>
  <c r="AM42" i="1"/>
  <c r="AN42" i="1" s="1"/>
  <c r="AA43" i="1"/>
  <c r="AB43" i="1" s="1"/>
  <c r="AA28" i="1"/>
  <c r="AB28" i="1" s="1"/>
  <c r="AQ44" i="1"/>
  <c r="AR44" i="1" s="1"/>
  <c r="BG21" i="1"/>
  <c r="BH21" i="1" s="1"/>
  <c r="AE41" i="1"/>
  <c r="AF41" i="1" s="1"/>
  <c r="AE26" i="1"/>
  <c r="AF26" i="1" s="1"/>
  <c r="AQ35" i="1"/>
  <c r="AR35" i="1" s="1"/>
  <c r="AQ48" i="1"/>
  <c r="AR48" i="1" s="1"/>
  <c r="AA4" i="1"/>
  <c r="AB4" i="1" s="1"/>
  <c r="AY22" i="1"/>
  <c r="AZ22" i="1" s="1"/>
  <c r="AY5" i="1"/>
  <c r="AZ5" i="1" s="1"/>
  <c r="AQ38" i="1"/>
  <c r="AR38" i="1" s="1"/>
  <c r="BC37" i="1"/>
  <c r="BD37" i="1" s="1"/>
  <c r="BC14" i="1"/>
  <c r="BD14" i="1" s="1"/>
  <c r="BG56" i="1"/>
  <c r="BH56" i="1" s="1"/>
  <c r="AM16" i="1"/>
  <c r="AN16" i="1" s="1"/>
  <c r="BG51" i="1"/>
  <c r="BH51" i="1" s="1"/>
  <c r="AU56" i="1"/>
  <c r="AV56" i="1" s="1"/>
  <c r="BG38" i="1"/>
  <c r="BH38" i="1" s="1"/>
  <c r="BS41" i="1"/>
  <c r="BT41" i="1" s="1"/>
  <c r="BS4" i="1"/>
  <c r="BT4" i="1" s="1"/>
  <c r="BS23" i="1"/>
  <c r="BT23" i="1" s="1"/>
  <c r="AE15" i="1"/>
  <c r="AF15" i="1" s="1"/>
  <c r="AA40" i="1"/>
  <c r="AB40" i="1" s="1"/>
  <c r="AA32" i="1"/>
  <c r="AB32" i="1" s="1"/>
  <c r="AE29" i="1"/>
  <c r="AF29" i="1" s="1"/>
  <c r="BC31" i="1"/>
  <c r="BD31" i="1" s="1"/>
  <c r="BS42" i="1"/>
  <c r="BT42" i="1" s="1"/>
  <c r="AA53" i="1"/>
  <c r="AB53" i="1" s="1"/>
  <c r="AA6" i="1"/>
  <c r="AB6" i="1" s="1"/>
  <c r="AQ19" i="1"/>
  <c r="AR19" i="1" s="1"/>
  <c r="AQ21" i="1"/>
  <c r="AR21" i="1" s="1"/>
  <c r="BS33" i="1"/>
  <c r="BT33" i="1" s="1"/>
  <c r="AE48" i="1"/>
  <c r="AF48" i="1" s="1"/>
  <c r="BS57" i="1"/>
  <c r="BT57" i="1" s="1"/>
  <c r="AU7" i="1"/>
  <c r="AV7" i="1" s="1"/>
  <c r="AE31" i="1"/>
  <c r="AF31" i="1" s="1"/>
  <c r="AE44" i="1"/>
  <c r="AF44" i="1" s="1"/>
  <c r="AU51" i="1"/>
  <c r="AV51" i="1" s="1"/>
  <c r="AU62" i="1"/>
  <c r="AV62" i="1" s="1"/>
  <c r="BS35" i="1"/>
  <c r="BT35" i="1" s="1"/>
  <c r="AE24" i="1"/>
  <c r="AF24" i="1" s="1"/>
  <c r="BS14" i="1"/>
  <c r="BT14" i="1" s="1"/>
  <c r="AE62" i="1"/>
  <c r="AF62" i="1" s="1"/>
  <c r="AY62" i="1"/>
  <c r="AZ62" i="1" s="1"/>
  <c r="AY64" i="1"/>
  <c r="AZ64" i="1" s="1"/>
  <c r="BS15" i="1"/>
  <c r="BT15" i="1" s="1"/>
  <c r="AU13" i="1"/>
  <c r="AV13" i="1" s="1"/>
  <c r="AY27" i="1"/>
  <c r="AZ27" i="1" s="1"/>
  <c r="BS39" i="1"/>
  <c r="BT39" i="1" s="1"/>
  <c r="BS12" i="1"/>
  <c r="BT12" i="1" s="1"/>
  <c r="BS59" i="1"/>
  <c r="BT59" i="1" s="1"/>
  <c r="AA27" i="1"/>
  <c r="AB27" i="1" s="1"/>
  <c r="AU14" i="1"/>
  <c r="AV14" i="1" s="1"/>
  <c r="AM37" i="1"/>
  <c r="AN37" i="1" s="1"/>
  <c r="AM30" i="1"/>
  <c r="AN30" i="1" s="1"/>
  <c r="AM63" i="1"/>
  <c r="AN63" i="1" s="1"/>
  <c r="AU26" i="1"/>
  <c r="AV26" i="1" s="1"/>
  <c r="AY6" i="1"/>
  <c r="AZ6" i="1" s="1"/>
  <c r="AM46" i="1"/>
  <c r="AN46" i="1" s="1"/>
  <c r="AM50" i="1"/>
  <c r="AN50" i="1" s="1"/>
  <c r="AM57" i="1"/>
  <c r="AN57" i="1" s="1"/>
  <c r="BS17" i="1"/>
  <c r="BT17" i="1" s="1"/>
  <c r="AU48" i="1"/>
  <c r="AV48" i="1" s="1"/>
  <c r="AU54" i="1"/>
  <c r="AV54" i="1" s="1"/>
  <c r="AE32" i="1"/>
  <c r="AF32" i="1" s="1"/>
  <c r="AE37" i="1"/>
  <c r="AF37" i="1" s="1"/>
  <c r="AY11" i="1"/>
  <c r="AZ11" i="1" s="1"/>
  <c r="AY23" i="1"/>
  <c r="AZ23" i="1" s="1"/>
  <c r="AM59" i="1"/>
  <c r="AN59" i="1" s="1"/>
  <c r="AU23" i="1"/>
  <c r="AV23" i="1" s="1"/>
  <c r="AA39" i="1"/>
  <c r="AB39" i="1" s="1"/>
  <c r="AU36" i="1"/>
  <c r="AV36" i="1" s="1"/>
  <c r="AM6" i="1"/>
  <c r="AN6" i="1" s="1"/>
  <c r="AM62" i="1"/>
  <c r="AN62" i="1" s="1"/>
  <c r="AQ8" i="1"/>
  <c r="AR8" i="1" s="1"/>
  <c r="BS6" i="1"/>
  <c r="BT6" i="1" s="1"/>
  <c r="BS18" i="1"/>
  <c r="BT18" i="1" s="1"/>
  <c r="AQ24" i="1"/>
  <c r="AR24" i="1" s="1"/>
  <c r="AA33" i="1"/>
  <c r="AB33" i="1" s="1"/>
  <c r="AE18" i="1"/>
  <c r="AF18" i="1" s="1"/>
  <c r="AM56" i="1"/>
  <c r="AN56" i="1" s="1"/>
  <c r="AU29" i="1"/>
  <c r="AV29" i="1" s="1"/>
  <c r="AE25" i="1"/>
  <c r="AF25" i="1" s="1"/>
  <c r="AE52" i="1"/>
  <c r="AF52" i="1" s="1"/>
  <c r="AY35" i="1"/>
  <c r="AZ35" i="1" s="1"/>
  <c r="AE27" i="1"/>
  <c r="AF27" i="1" s="1"/>
  <c r="AY4" i="1"/>
  <c r="AZ4" i="1" s="1"/>
  <c r="AM7" i="1"/>
  <c r="AN7" i="1" s="1"/>
  <c r="AM12" i="1"/>
  <c r="AN12" i="1" s="1"/>
  <c r="AU53" i="1"/>
  <c r="AV53" i="1" s="1"/>
  <c r="AQ13" i="1"/>
  <c r="AR13" i="1" s="1"/>
  <c r="BG28" i="1"/>
  <c r="BH28" i="1" s="1"/>
  <c r="BS7" i="1"/>
  <c r="BT7" i="1" s="1"/>
  <c r="BS19" i="1"/>
  <c r="BT19" i="1" s="1"/>
  <c r="AU15" i="1"/>
  <c r="AV15" i="1" s="1"/>
  <c r="AA37" i="1"/>
  <c r="AB37" i="1" s="1"/>
  <c r="AA41" i="1"/>
  <c r="AB41" i="1" s="1"/>
  <c r="AE6" i="1"/>
  <c r="AF6" i="1" s="1"/>
  <c r="AE10" i="1"/>
  <c r="AF10" i="1" s="1"/>
  <c r="AY52" i="1"/>
  <c r="AZ52" i="1" s="1"/>
  <c r="AU59" i="1"/>
  <c r="AV59" i="1" s="1"/>
  <c r="AE61" i="1"/>
  <c r="AF61" i="1" s="1"/>
  <c r="AY34" i="1"/>
  <c r="AZ34" i="1" s="1"/>
  <c r="AY24" i="1"/>
  <c r="AZ24" i="1" s="1"/>
  <c r="AU60" i="1"/>
  <c r="AV60" i="1" s="1"/>
  <c r="AM27" i="1"/>
  <c r="AN27" i="1" s="1"/>
  <c r="AM52" i="1"/>
  <c r="AN52" i="1" s="1"/>
  <c r="BC43" i="1"/>
  <c r="BD43" i="1" s="1"/>
  <c r="AM8" i="1"/>
  <c r="AN8" i="1" s="1"/>
  <c r="BG40" i="1"/>
  <c r="BH40" i="1" s="1"/>
  <c r="AE49" i="1"/>
  <c r="AF49" i="1" s="1"/>
  <c r="BS20" i="1"/>
  <c r="BT20" i="1" s="1"/>
  <c r="AU40" i="1"/>
  <c r="AV40" i="1" s="1"/>
  <c r="AE64" i="1"/>
  <c r="AF64" i="1" s="1"/>
  <c r="AY18" i="1"/>
  <c r="AZ18" i="1" s="1"/>
  <c r="AA64" i="1"/>
  <c r="AB64" i="1" s="1"/>
  <c r="BG18" i="1"/>
  <c r="BH18" i="1" s="1"/>
  <c r="BS45" i="1"/>
  <c r="BT45" i="1" s="1"/>
  <c r="AU49" i="1"/>
  <c r="AV49" i="1" s="1"/>
  <c r="BC12" i="1"/>
  <c r="BD12" i="1" s="1"/>
  <c r="AA8" i="1"/>
  <c r="AB8" i="1" s="1"/>
  <c r="AM14" i="1"/>
  <c r="AN14" i="1" s="1"/>
  <c r="BG63" i="1"/>
  <c r="BH63" i="1" s="1"/>
  <c r="AU45" i="1"/>
  <c r="AV45" i="1" s="1"/>
  <c r="BG31" i="1"/>
  <c r="BH31" i="1" s="1"/>
  <c r="BS50" i="1"/>
  <c r="BT50" i="1" s="1"/>
  <c r="BS21" i="1"/>
  <c r="BT21" i="1" s="1"/>
  <c r="AA25" i="1"/>
  <c r="AB25" i="1" s="1"/>
  <c r="AY46" i="1"/>
  <c r="AZ46" i="1" s="1"/>
  <c r="BG41" i="1"/>
  <c r="BH41" i="1" s="1"/>
  <c r="AA29" i="1"/>
  <c r="AB29" i="1" s="1"/>
  <c r="AY45" i="1"/>
  <c r="AZ45" i="1" s="1"/>
  <c r="AQ63" i="1"/>
  <c r="AR63" i="1" s="1"/>
  <c r="AQ58" i="1"/>
  <c r="AR58" i="1" s="1"/>
  <c r="AU58" i="1"/>
  <c r="AV58" i="1" s="1"/>
  <c r="AU20" i="1"/>
  <c r="AV20" i="1" s="1"/>
  <c r="AY12" i="1"/>
  <c r="AZ12" i="1" s="1"/>
  <c r="BG36" i="1"/>
  <c r="BH36" i="1" s="1"/>
  <c r="AM38" i="1"/>
  <c r="AN38" i="1" s="1"/>
  <c r="BG57" i="1"/>
  <c r="BH57" i="1" s="1"/>
  <c r="W48" i="3"/>
  <c r="X48" i="3" s="1"/>
  <c r="N29" i="3"/>
  <c r="T29" i="3" s="1"/>
  <c r="W29" i="3"/>
  <c r="X29" i="3" s="1"/>
  <c r="AU25" i="1"/>
  <c r="AV25" i="1" s="1"/>
  <c r="AU52" i="1"/>
  <c r="AV52" i="1" s="1"/>
  <c r="AE39" i="1"/>
  <c r="AF39" i="1" s="1"/>
  <c r="AE22" i="1"/>
  <c r="AF22" i="1" s="1"/>
  <c r="AQ33" i="1"/>
  <c r="AR33" i="1" s="1"/>
  <c r="AY47" i="1"/>
  <c r="AZ47" i="1" s="1"/>
  <c r="AA47" i="1"/>
  <c r="AB47" i="1" s="1"/>
  <c r="BS36" i="1"/>
  <c r="BT36" i="1" s="1"/>
  <c r="AM49" i="1"/>
  <c r="AN49" i="1" s="1"/>
  <c r="W35" i="3"/>
  <c r="X35" i="3" s="1"/>
  <c r="N11" i="3"/>
  <c r="T11" i="3" s="1"/>
  <c r="W18" i="3"/>
  <c r="X18" i="3" s="1"/>
  <c r="AU28" i="1"/>
  <c r="AV28" i="1" s="1"/>
  <c r="AE47" i="1"/>
  <c r="AF47" i="1" s="1"/>
  <c r="AE36" i="1"/>
  <c r="AF36" i="1" s="1"/>
  <c r="AA42" i="1"/>
  <c r="AB42" i="1" s="1"/>
  <c r="AY21" i="1"/>
  <c r="AZ21" i="1" s="1"/>
  <c r="AY32" i="1"/>
  <c r="AZ32" i="1" s="1"/>
  <c r="AQ46" i="1"/>
  <c r="AR46" i="1" s="1"/>
  <c r="AU5" i="1"/>
  <c r="AV5" i="1" s="1"/>
  <c r="AU37" i="1"/>
  <c r="AV37" i="1" s="1"/>
  <c r="BS63" i="1"/>
  <c r="BT63" i="1" s="1"/>
  <c r="AY42" i="1"/>
  <c r="AZ42" i="1" s="1"/>
  <c r="BC10" i="1"/>
  <c r="BD10" i="1" s="1"/>
  <c r="BC15" i="1"/>
  <c r="BD15" i="1" s="1"/>
  <c r="AY54" i="1"/>
  <c r="AZ54" i="1" s="1"/>
  <c r="AM40" i="1"/>
  <c r="AN40" i="1" s="1"/>
  <c r="AM17" i="1"/>
  <c r="AN17" i="1" s="1"/>
  <c r="BS32" i="1"/>
  <c r="BT32" i="1" s="1"/>
  <c r="BG7" i="1"/>
  <c r="BH7" i="1" s="1"/>
  <c r="BS54" i="1"/>
  <c r="BT54" i="1" s="1"/>
  <c r="BS9" i="1"/>
  <c r="BT9" i="1" s="1"/>
  <c r="BS29" i="1"/>
  <c r="BT29" i="1" s="1"/>
  <c r="AA46" i="1"/>
  <c r="AB46" i="1" s="1"/>
  <c r="AA50" i="1"/>
  <c r="AB50" i="1" s="1"/>
  <c r="AA61" i="1"/>
  <c r="AB61" i="1" s="1"/>
  <c r="BS48" i="1"/>
  <c r="BT48" i="1" s="1"/>
  <c r="AE19" i="1"/>
  <c r="AF19" i="1" s="1"/>
  <c r="BO11" i="1"/>
  <c r="BP11" i="1" s="1"/>
  <c r="BO43" i="1"/>
  <c r="BP43" i="1" s="1"/>
  <c r="BK36" i="1"/>
  <c r="BL36" i="1" s="1"/>
  <c r="AY56" i="1"/>
  <c r="AZ56" i="1" s="1"/>
  <c r="AQ9" i="1"/>
  <c r="AR9" i="1" s="1"/>
  <c r="AQ30" i="1"/>
  <c r="AR30" i="1" s="1"/>
  <c r="AQ4" i="1"/>
  <c r="AR4" i="1" s="1"/>
  <c r="BK15" i="1"/>
  <c r="BL15" i="1" s="1"/>
  <c r="AE7" i="1"/>
  <c r="AF7" i="1" s="1"/>
  <c r="AU18" i="1"/>
  <c r="AV18" i="1" s="1"/>
  <c r="AE12" i="1"/>
  <c r="AF12" i="1" s="1"/>
  <c r="BS40" i="1"/>
  <c r="BT40" i="1" s="1"/>
  <c r="BS52" i="1"/>
  <c r="BT52" i="1" s="1"/>
  <c r="BS51" i="1"/>
  <c r="BT51" i="1" s="1"/>
  <c r="BS64" i="1"/>
  <c r="BT64" i="1" s="1"/>
  <c r="BS24" i="1"/>
  <c r="BT24" i="1" s="1"/>
  <c r="AU16" i="1"/>
  <c r="AV16" i="1" s="1"/>
  <c r="W64" i="3"/>
  <c r="X64" i="3" s="1"/>
  <c r="W23" i="3"/>
  <c r="X23" i="3" s="1"/>
  <c r="AU6" i="1"/>
  <c r="AV6" i="1" s="1"/>
  <c r="BS62" i="1"/>
  <c r="BT62" i="1" s="1"/>
  <c r="AE51" i="1"/>
  <c r="AF51" i="1" s="1"/>
  <c r="AE45" i="1"/>
  <c r="AF45" i="1" s="1"/>
  <c r="AE42" i="1"/>
  <c r="AF42" i="1" s="1"/>
  <c r="AE5" i="1"/>
  <c r="AF5" i="1" s="1"/>
  <c r="AY17" i="1"/>
  <c r="AZ17" i="1" s="1"/>
  <c r="AE28" i="1"/>
  <c r="AF28" i="1" s="1"/>
  <c r="BS56" i="1"/>
  <c r="BT56" i="1" s="1"/>
  <c r="BS28" i="1"/>
  <c r="BT28" i="1" s="1"/>
  <c r="BS55" i="1"/>
  <c r="BT55" i="1" s="1"/>
  <c r="AY49" i="1"/>
  <c r="AZ49" i="1" s="1"/>
  <c r="AY61" i="1"/>
  <c r="AZ61" i="1" s="1"/>
  <c r="AQ20" i="1"/>
  <c r="AR20" i="1" s="1"/>
  <c r="AQ25" i="1"/>
  <c r="AR25" i="1" s="1"/>
  <c r="W7" i="3"/>
  <c r="X7" i="3" s="1"/>
  <c r="W57" i="3"/>
  <c r="X57" i="3" s="1"/>
  <c r="N56" i="3"/>
  <c r="T56" i="3" s="1"/>
  <c r="W27" i="3"/>
  <c r="X27" i="3" s="1"/>
  <c r="N64" i="3"/>
  <c r="T64" i="3" s="1"/>
  <c r="N39" i="3"/>
  <c r="T39" i="3" s="1"/>
  <c r="W20" i="3"/>
  <c r="X20" i="3" s="1"/>
  <c r="W22" i="3"/>
  <c r="X22" i="3" s="1"/>
  <c r="N7" i="3"/>
  <c r="T7" i="3" s="1"/>
  <c r="W63" i="3"/>
  <c r="X63" i="3" s="1"/>
  <c r="N36" i="3"/>
  <c r="T36" i="3" s="1"/>
  <c r="N57" i="3"/>
  <c r="T57" i="3" s="1"/>
  <c r="N21" i="3"/>
  <c r="T21" i="3" s="1"/>
  <c r="N10" i="3"/>
  <c r="T10" i="3" s="1"/>
  <c r="N42" i="3"/>
  <c r="T42" i="3" s="1"/>
  <c r="W65" i="3"/>
  <c r="X65" i="3" s="1"/>
  <c r="W34" i="3"/>
  <c r="X34" i="3" s="1"/>
  <c r="W37" i="3"/>
  <c r="X37" i="3" s="1"/>
  <c r="W6" i="3"/>
  <c r="X6" i="3" s="1"/>
  <c r="W43" i="3"/>
  <c r="X43" i="3" s="1"/>
  <c r="W42" i="3"/>
  <c r="X42" i="3" s="1"/>
  <c r="W47" i="3"/>
  <c r="X47" i="3" s="1"/>
  <c r="W44" i="3"/>
  <c r="X44" i="3" s="1"/>
  <c r="W49" i="3"/>
  <c r="X49" i="3" s="1"/>
  <c r="W14" i="3"/>
  <c r="X14" i="3" s="1"/>
  <c r="W15" i="3"/>
  <c r="X15" i="3" s="1"/>
  <c r="W19" i="3"/>
  <c r="X19" i="3" s="1"/>
  <c r="W45" i="3"/>
  <c r="X45" i="3" s="1"/>
  <c r="W17" i="3"/>
  <c r="X17" i="3" s="1"/>
  <c r="W5" i="3"/>
  <c r="X5" i="3" s="1"/>
  <c r="W41" i="3"/>
  <c r="X41" i="3" s="1"/>
  <c r="W11" i="3"/>
  <c r="X11" i="3" s="1"/>
  <c r="W13" i="3"/>
  <c r="X13" i="3" s="1"/>
  <c r="W46" i="3"/>
  <c r="X46" i="3" s="1"/>
  <c r="W51" i="3"/>
  <c r="X51" i="3" s="1"/>
  <c r="W53" i="3"/>
  <c r="X53" i="3" s="1"/>
  <c r="W59" i="3"/>
  <c r="X59" i="3" s="1"/>
  <c r="W58" i="3"/>
  <c r="X58" i="3" s="1"/>
  <c r="W33" i="3"/>
  <c r="X33" i="3" s="1"/>
  <c r="N24" i="3"/>
  <c r="T24" i="3" s="1"/>
  <c r="N9" i="3"/>
  <c r="T9" i="3" s="1"/>
  <c r="W55" i="3"/>
  <c r="X55" i="3" s="1"/>
  <c r="W10" i="3"/>
  <c r="X10" i="3" s="1"/>
  <c r="N33" i="3"/>
  <c r="T33" i="3" s="1"/>
  <c r="N55" i="3"/>
  <c r="T55" i="3" s="1"/>
  <c r="W38" i="3"/>
  <c r="X38" i="3" s="1"/>
  <c r="N20" i="3"/>
  <c r="T20" i="3" s="1"/>
  <c r="N13" i="3"/>
  <c r="T13" i="3" s="1"/>
  <c r="N34" i="3"/>
  <c r="T34" i="3" s="1"/>
  <c r="W36" i="3"/>
  <c r="X36" i="3" s="1"/>
  <c r="W30" i="3"/>
  <c r="X30" i="3" s="1"/>
  <c r="W21" i="3"/>
  <c r="X21" i="3" s="1"/>
  <c r="N48" i="3"/>
  <c r="T48" i="3" s="1"/>
  <c r="W62" i="3"/>
  <c r="X62" i="3" s="1"/>
  <c r="W39" i="3"/>
  <c r="X39" i="3" s="1"/>
  <c r="W32" i="3"/>
  <c r="X32" i="3" s="1"/>
  <c r="N63" i="3"/>
  <c r="T63" i="3" s="1"/>
  <c r="N18" i="3"/>
  <c r="T18" i="3" s="1"/>
  <c r="N15" i="3"/>
  <c r="T15" i="3" s="1"/>
  <c r="N32" i="3"/>
  <c r="T32" i="3" s="1"/>
  <c r="W61" i="3"/>
  <c r="X61" i="3" s="1"/>
  <c r="W28" i="3"/>
  <c r="X28" i="3" s="1"/>
  <c r="W24" i="3"/>
  <c r="X24" i="3" s="1"/>
  <c r="N35" i="3"/>
  <c r="T35" i="3" s="1"/>
  <c r="W54" i="3"/>
  <c r="X54" i="3" s="1"/>
  <c r="N59" i="3"/>
  <c r="T59" i="3" s="1"/>
  <c r="W25" i="3"/>
  <c r="X25" i="3" s="1"/>
  <c r="W60" i="3"/>
  <c r="X60" i="3" s="1"/>
  <c r="W16" i="3"/>
  <c r="X16" i="3" s="1"/>
  <c r="N37" i="3"/>
  <c r="T37" i="3" s="1"/>
  <c r="N49" i="3"/>
  <c r="T49" i="3" s="1"/>
  <c r="N12" i="3"/>
  <c r="T12" i="3" s="1"/>
  <c r="W52" i="3"/>
  <c r="X52" i="3" s="1"/>
  <c r="W31" i="3"/>
  <c r="X31" i="3" s="1"/>
  <c r="AF65" i="1" l="1"/>
  <c r="BL65" i="1"/>
  <c r="BH65" i="1"/>
  <c r="AN65" i="1"/>
  <c r="BT65" i="1"/>
  <c r="BD65" i="1"/>
  <c r="AR65" i="1"/>
  <c r="AZ65" i="1"/>
  <c r="AB65" i="1"/>
  <c r="T66" i="3"/>
  <c r="AV65" i="1"/>
  <c r="X66" i="3"/>
</calcChain>
</file>

<file path=xl/sharedStrings.xml><?xml version="1.0" encoding="utf-8"?>
<sst xmlns="http://schemas.openxmlformats.org/spreadsheetml/2006/main" count="2699" uniqueCount="230">
  <si>
    <t>PTW用电统计表 PTW electricity consumption statistics</t>
  </si>
  <si>
    <t>序号NO.</t>
  </si>
  <si>
    <r>
      <rPr>
        <b/>
        <sz val="11"/>
        <color rgb="FF000000"/>
        <rFont val="仿宋"/>
        <charset val="134"/>
      </rPr>
      <t>部门-中</t>
    </r>
    <r>
      <rPr>
        <b/>
        <sz val="11"/>
        <color rgb="FF000000"/>
        <rFont val="仿宋"/>
        <charset val="134"/>
      </rPr>
      <t xml:space="preserve">
Department</t>
    </r>
  </si>
  <si>
    <r>
      <rPr>
        <b/>
        <sz val="11"/>
        <color rgb="FF000000"/>
        <rFont val="仿宋"/>
        <charset val="134"/>
      </rPr>
      <t>部门-英</t>
    </r>
    <r>
      <rPr>
        <b/>
        <sz val="11"/>
        <color rgb="FF000000"/>
        <rFont val="仿宋"/>
        <charset val="134"/>
      </rPr>
      <t xml:space="preserve">
Department-EN</t>
    </r>
  </si>
  <si>
    <r>
      <rPr>
        <b/>
        <sz val="11"/>
        <color rgb="FF000000"/>
        <rFont val="仿宋"/>
        <charset val="134"/>
      </rPr>
      <t>所属区域</t>
    </r>
    <r>
      <rPr>
        <b/>
        <sz val="11"/>
        <color rgb="FF000000"/>
        <rFont val="仿宋"/>
        <charset val="134"/>
      </rPr>
      <t xml:space="preserve">
Belonging to area</t>
    </r>
  </si>
  <si>
    <t>划分区域</t>
  </si>
  <si>
    <r>
      <rPr>
        <b/>
        <sz val="11"/>
        <color rgb="FF000000"/>
        <rFont val="仿宋"/>
        <charset val="134"/>
      </rPr>
      <t>地点</t>
    </r>
    <r>
      <rPr>
        <b/>
        <sz val="11"/>
        <color rgb="FF000000"/>
        <rFont val="仿宋"/>
        <charset val="134"/>
      </rPr>
      <t xml:space="preserve">
location</t>
    </r>
  </si>
  <si>
    <r>
      <rPr>
        <b/>
        <sz val="11"/>
        <color rgb="FF000000"/>
        <rFont val="仿宋"/>
        <charset val="134"/>
      </rPr>
      <t>地点</t>
    </r>
    <r>
      <rPr>
        <sz val="11"/>
        <color rgb="FF000000"/>
        <rFont val="仿宋"/>
        <charset val="134"/>
      </rPr>
      <t xml:space="preserve">
location</t>
    </r>
  </si>
  <si>
    <t>2023.12.30
电表读数</t>
  </si>
  <si>
    <t>2024.12.30
电表读数</t>
  </si>
  <si>
    <t>2025.01.17
电表读数</t>
  </si>
  <si>
    <t>24年度</t>
  </si>
  <si>
    <t>25年度</t>
  </si>
  <si>
    <t>23.01.2025</t>
  </si>
  <si>
    <t>27.02.2025</t>
  </si>
  <si>
    <t>26.03.2025</t>
  </si>
  <si>
    <t>29.04.2025</t>
  </si>
  <si>
    <t>28.05.2025</t>
  </si>
  <si>
    <t>30.06.2025</t>
  </si>
  <si>
    <t>31.07.2025</t>
  </si>
  <si>
    <t>29.08.2025</t>
  </si>
  <si>
    <t>30.09.2025</t>
  </si>
  <si>
    <t>31.10.2025</t>
  </si>
  <si>
    <t>28.11.2025</t>
  </si>
  <si>
    <t>31.12.2025</t>
  </si>
  <si>
    <t>TOTAL
（JANUARI)</t>
  </si>
  <si>
    <t>比例
%</t>
  </si>
  <si>
    <t>损耗</t>
  </si>
  <si>
    <t>TOTAL
（FEBRUARI)</t>
  </si>
  <si>
    <t>TOTAL
（MARET)</t>
  </si>
  <si>
    <t>TOTAL
（APRIL)</t>
  </si>
  <si>
    <t>TOTAL
（MAY)</t>
  </si>
  <si>
    <t>TOTAL
（JUN)</t>
  </si>
  <si>
    <t>TOTAL
（JUL)</t>
  </si>
  <si>
    <t>TOTAL
（Aug)</t>
  </si>
  <si>
    <t>TOTAL
（Sep)</t>
  </si>
  <si>
    <t>TOTAL
（Oct)</t>
  </si>
  <si>
    <t>TOTAL
（Nov)</t>
  </si>
  <si>
    <t>TOTAL
（Dec)</t>
  </si>
  <si>
    <t>生产部</t>
  </si>
  <si>
    <t>Production Department</t>
  </si>
  <si>
    <t>5D</t>
  </si>
  <si>
    <t>HNB薄片车间 1</t>
  </si>
  <si>
    <t>磨粉段</t>
  </si>
  <si>
    <t>Grinding section</t>
  </si>
  <si>
    <t>制浆段</t>
  </si>
  <si>
    <t>Pulping section</t>
  </si>
  <si>
    <t>烘干段</t>
  </si>
  <si>
    <t>Drying section</t>
  </si>
  <si>
    <t>公共事务部</t>
  </si>
  <si>
    <t>Site Service Department</t>
  </si>
  <si>
    <t>维修用电（磨粉车间到车间配电箱及收卷房）</t>
  </si>
  <si>
    <t>Maintenance power</t>
  </si>
  <si>
    <t>分切车间</t>
  </si>
  <si>
    <t>Slitting workshop</t>
  </si>
  <si>
    <t>机修车间（一期品管实验室照明及主机柜含监控）</t>
  </si>
  <si>
    <t>Machine repair workshop</t>
  </si>
  <si>
    <t>电容柜</t>
  </si>
  <si>
    <t>SVG Parent Cabinet</t>
  </si>
  <si>
    <t>低压房灯，空调</t>
  </si>
  <si>
    <t>LV room Lamp &amp; Air conditioning</t>
  </si>
  <si>
    <t>锅炉房</t>
  </si>
  <si>
    <t>Boiler room</t>
  </si>
  <si>
    <t>车间照明</t>
  </si>
  <si>
    <t>Workshop lighting</t>
  </si>
  <si>
    <t>厂区照明（5D 室外照明）</t>
  </si>
  <si>
    <t>Plant area lighting</t>
  </si>
  <si>
    <t>5D1</t>
  </si>
  <si>
    <t>副车间</t>
  </si>
  <si>
    <t>卷帘门/烟油车间/NF 车间</t>
  </si>
  <si>
    <t>Rolling door/Fume oil workshop/NF workshop</t>
  </si>
  <si>
    <t>滤棒车间空调</t>
  </si>
  <si>
    <t>Filter rod workshop air conditioning</t>
  </si>
  <si>
    <t>滤棒车间</t>
  </si>
  <si>
    <t>Filter rod workshop</t>
  </si>
  <si>
    <t>滤棒离线检测室</t>
  </si>
  <si>
    <t>Filter rod offline testing room</t>
  </si>
  <si>
    <t>滤棒控制室</t>
  </si>
  <si>
    <t>Filter rod control room</t>
  </si>
  <si>
    <t>滤棒办公区</t>
  </si>
  <si>
    <t>Filter rod office area</t>
  </si>
  <si>
    <t>颗粒车间/空压机</t>
  </si>
  <si>
    <t>Pellet workshop/air compressor</t>
  </si>
  <si>
    <t>供应链部</t>
  </si>
  <si>
    <t>Supply Chain Department</t>
  </si>
  <si>
    <t>成品仓及辅料仓</t>
  </si>
  <si>
    <t>Finished product warehouse and auxiliary material warehouse</t>
  </si>
  <si>
    <t>恒温恒湿机组</t>
  </si>
  <si>
    <t>Constant temperature and humidity unit</t>
  </si>
  <si>
    <t>成品库恒温恒湿机组</t>
  </si>
  <si>
    <t>Finished product warehouse constant temperature and humidity unit</t>
  </si>
  <si>
    <t>滤棒原料库恒温恒湿机组</t>
  </si>
  <si>
    <t>Filter rod raw material warehouse constant temperature and humidity unit</t>
  </si>
  <si>
    <t>原料库</t>
  </si>
  <si>
    <t>Raw material warehouse (Lighting Raw Material WHB + Maintenance Box 2)</t>
  </si>
  <si>
    <t>照明内部</t>
  </si>
  <si>
    <t>Lighting indoor</t>
  </si>
  <si>
    <t>照明外部</t>
  </si>
  <si>
    <t>Lighting Outdoor</t>
  </si>
  <si>
    <t>滤棒成品库</t>
  </si>
  <si>
    <t>Finished filter rod warehouse</t>
  </si>
  <si>
    <t>滤棒原料库</t>
  </si>
  <si>
    <t>Filter rod raw material warehouse</t>
  </si>
  <si>
    <t>供应链办公区</t>
  </si>
  <si>
    <t>Supply Chain Office Area</t>
  </si>
  <si>
    <t>技术部</t>
  </si>
  <si>
    <t>Technology Department</t>
  </si>
  <si>
    <t>技术实验室</t>
  </si>
  <si>
    <t>Technical Laboratory</t>
  </si>
  <si>
    <t>质量部</t>
  </si>
  <si>
    <t>Quality Department</t>
  </si>
  <si>
    <t>品管实验室</t>
  </si>
  <si>
    <t>Quality Control Laboratory</t>
  </si>
  <si>
    <t>5D 办公室</t>
  </si>
  <si>
    <t>5D Office</t>
  </si>
  <si>
    <t>变压器及低压室</t>
  </si>
  <si>
    <t>Transformer and low voltage room</t>
  </si>
  <si>
    <t>消防供水</t>
  </si>
  <si>
    <t>Fire water supply</t>
  </si>
  <si>
    <t>办公室和保安</t>
  </si>
  <si>
    <t>Office and security</t>
  </si>
  <si>
    <t>5E</t>
  </si>
  <si>
    <t>操控室</t>
  </si>
  <si>
    <t>Control room</t>
  </si>
  <si>
    <t>HNB薄片车间 2&amp;3</t>
  </si>
  <si>
    <t>生产系统服务器电源</t>
  </si>
  <si>
    <t>Server power supply</t>
  </si>
  <si>
    <t xml:space="preserve"> </t>
  </si>
  <si>
    <t>收卷房</t>
  </si>
  <si>
    <t>Finish Good room</t>
  </si>
  <si>
    <t>磨粉车间照明</t>
  </si>
  <si>
    <t>Grinding workshop lighting</t>
  </si>
  <si>
    <t>磨浆照明</t>
  </si>
  <si>
    <t>Pulp grinding lighting</t>
  </si>
  <si>
    <t>配料照明</t>
  </si>
  <si>
    <t>Copy of The lighting Socket</t>
  </si>
  <si>
    <t>5E厂区照明</t>
  </si>
  <si>
    <t>5E Street Lamp</t>
  </si>
  <si>
    <t>5E1</t>
  </si>
  <si>
    <t>5E1厂区照明</t>
  </si>
  <si>
    <t>5E1 Street Lamp</t>
  </si>
  <si>
    <t>分切室</t>
  </si>
  <si>
    <t>Slitting room</t>
  </si>
  <si>
    <t>磨浆段</t>
  </si>
  <si>
    <t>低压室</t>
  </si>
  <si>
    <t>Low Voltage Transformer room</t>
  </si>
  <si>
    <t>3# 配粉段</t>
  </si>
  <si>
    <t>3# powder mixing section</t>
  </si>
  <si>
    <t>空压机 2#</t>
  </si>
  <si>
    <t>Air compressor 2#</t>
  </si>
  <si>
    <t>空压机 3#</t>
  </si>
  <si>
    <t>Air compressor 3#</t>
  </si>
  <si>
    <t>3# 烘干</t>
  </si>
  <si>
    <t>3# drying</t>
  </si>
  <si>
    <t>2#配粉段</t>
  </si>
  <si>
    <t>2# powder mixing section</t>
  </si>
  <si>
    <t>2# 烘干</t>
  </si>
  <si>
    <t>2# drying</t>
  </si>
  <si>
    <t>3# 制浆段</t>
  </si>
  <si>
    <t>3# pulping section</t>
  </si>
  <si>
    <t>2# 制浆段</t>
  </si>
  <si>
    <t>2# pulping section</t>
  </si>
  <si>
    <t>安德里兹磨浆系统</t>
  </si>
  <si>
    <t>ANDRITZ Refiner pulping system</t>
  </si>
  <si>
    <t>5E1仓库及食堂</t>
  </si>
  <si>
    <t>5E1 warehouse and canteen</t>
  </si>
  <si>
    <t>仓库制冷系统 1</t>
  </si>
  <si>
    <t>Warehouse refrigeration system 1</t>
  </si>
  <si>
    <t>仓库制冷系统 2</t>
  </si>
  <si>
    <t>Warehouse refrigeration system 2</t>
  </si>
  <si>
    <t>5E分切房，品管实验室，技术实验室恒温恒湿</t>
  </si>
  <si>
    <t>5E cutting room with constant temperature and humidity</t>
  </si>
  <si>
    <t>5E&amp;5E1</t>
  </si>
  <si>
    <t>5E&amp;5E1 办公区及保安室</t>
  </si>
  <si>
    <t>5E&amp;5E1 Office area and security room</t>
  </si>
  <si>
    <t>Lossing</t>
  </si>
  <si>
    <t>(KWH tunas perbulan 1)</t>
  </si>
  <si>
    <t>(KWH tunas perbulan 2)</t>
  </si>
  <si>
    <t>(KWH tunas perbulan 3)</t>
  </si>
  <si>
    <t>(KWH tunas perbulan 4)</t>
  </si>
  <si>
    <t>(KWH tunas perbulan 5)</t>
  </si>
  <si>
    <t>(KWH tunas perbulan 6)</t>
  </si>
  <si>
    <t>(KWH tunas perbulan 7)</t>
  </si>
  <si>
    <t>(KWH tunas perbulan 8)</t>
  </si>
  <si>
    <t>(KWH tunas perbulan 9)</t>
  </si>
  <si>
    <t>(KWH tunas perbulan 10)</t>
  </si>
  <si>
    <t>(KWH tunas perbulan 11)</t>
  </si>
  <si>
    <t>(KWH tunas perbulan 12)</t>
  </si>
  <si>
    <t>30.01.2026</t>
  </si>
  <si>
    <t>27.02.2026</t>
  </si>
  <si>
    <t>TOTAL
(FEBRUARI)</t>
  </si>
  <si>
    <t>车间配电箱</t>
  </si>
  <si>
    <t>Panel box area production</t>
  </si>
  <si>
    <t>低压室（空调与灯光）</t>
  </si>
  <si>
    <t>磨浆段（安德里兹磨浆系统）</t>
  </si>
  <si>
    <t>新技术实验室 5E1</t>
  </si>
  <si>
    <t>Technology Room,Office,Lab ( 150 Kw )</t>
  </si>
  <si>
    <t>Production</t>
  </si>
  <si>
    <t>Quality</t>
  </si>
  <si>
    <t>Site Service</t>
  </si>
  <si>
    <t>Supply Chain</t>
  </si>
  <si>
    <t>Technology</t>
  </si>
  <si>
    <t>TOTAL
(MARET)</t>
  </si>
  <si>
    <t>TOTAL
( MARET)</t>
  </si>
  <si>
    <t>31.03.2026</t>
  </si>
  <si>
    <t>TOTAL
(APRIL)</t>
  </si>
  <si>
    <t>30.04.2026</t>
  </si>
  <si>
    <t>TOTAL
(MEI)</t>
  </si>
  <si>
    <t>28.05.2026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</si>
  <si>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</si>
  <si>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</si>
  <si>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</si>
  <si>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</si>
  <si>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</si>
  <si>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</si>
  <si>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</si>
  <si>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</si>
  <si>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</si>
  <si>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</si>
  <si>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</si>
  <si>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</si>
  <si>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2025年</t>
  </si>
  <si>
    <t>2026年</t>
  </si>
  <si>
    <t>制冷机</t>
  </si>
  <si>
    <t>空压机</t>
  </si>
  <si>
    <t>30.06.2026</t>
  </si>
  <si>
    <t>TOTAL
(JUNI)</t>
  </si>
  <si>
    <t>31.07.2026</t>
  </si>
  <si>
    <t>TOTAL
(AGUSTUS)</t>
  </si>
  <si>
    <t>31.08.2026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</si>
</sst>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</numFmts>
  <fonts count="17"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18"/>
      <name val="仿宋"/>
      <charset val="134"/>
    </font>
    <font>
      <b/>
      <sz val="11"/>
      <name val="仿宋"/>
      <charset val="134"/>
    </font>
    <font>
      <b/>
      <sz val="11"/>
      <color rgb="FF000000"/>
      <name val="仿宋"/>
      <charset val="134"/>
    </font>
    <font>
      <sz val="11"/>
      <name val="仿宋"/>
      <charset val="134"/>
    </font>
    <font>
      <sz val="11"/>
      <color rgb="FF000000"/>
      <name val="仿宋"/>
      <charset val="134"/>
    </font>
    <font>
      <b/>
      <sz val="11"/>
      <color rgb="FF000000"/>
      <name val="浠垮畫"/>
      <charset val="134"/>
    </font>
    <font>
      <sz val="10"/>
      <color rgb="FF00000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b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rgb="FF000000"/>
      <name val="仿宋"/>
    </font>
    <font>
      <b/>
      <sz val="10"/>
      <color rgb="FFFF0000"/>
      <name val="等线"/>
      <scheme val="minor"/>
    </font>
    <font>
      <b/>
      <sz val="10"/>
      <color theme="1"/>
      <name val="等线"/>
      <scheme val="minor"/>
    </font>
    <font>
      <b/>
      <sz val="18"/>
      <color theme="1"/>
      <name val="等线"/>
      <scheme val="minor"/>
    </font>
    <font>
      <sz val="11"/>
      <color rgb="FF000000"/>
      <name val="仿宋"/>
    </font>
  </fonts>
  <fills count="22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8E303"/>
        <bgColor indexed="64"/>
      </patternFill>
    </fill>
    <fill>
      <patternFill patternType="solid">
        <fgColor theme="4" tint="0.39994506668294322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689F7"/>
        <bgColor rgb="FF000000"/>
      </patternFill>
    </fill>
    <fill>
      <patternFill patternType="solid">
        <fgColor rgb="FF08E303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rgb="FFF3ABCA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7" tint="0.79998168889431442"/>
        <bgColor rgb="FF000000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/>
    </xf>
    <xf numFmtId="165" fontId="7" fillId="3" borderId="6" xfId="0" applyNumberFormat="1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4" fontId="8" fillId="0" borderId="5" xfId="0" applyNumberFormat="1" applyFont="1" applyBorder="1" applyAlignment="1">
      <alignment horizontal="center" vertical="center"/>
    </xf>
    <xf numFmtId="4" fontId="8" fillId="0" borderId="6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0" fontId="5" fillId="0" borderId="7" xfId="0" applyNumberFormat="1" applyFon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7" borderId="5" xfId="0" applyFill="1" applyBorder="1" applyAlignment="1">
      <alignment vertical="center" wrapText="1"/>
    </xf>
    <xf numFmtId="0" fontId="9" fillId="7" borderId="0" xfId="0" applyFont="1" applyFill="1">
      <alignment vertical="center"/>
    </xf>
    <xf numFmtId="164" fontId="10" fillId="8" borderId="0" xfId="0" applyNumberFormat="1" applyFont="1" applyFill="1">
      <alignment vertical="center"/>
    </xf>
    <xf numFmtId="164" fontId="1" fillId="8" borderId="0" xfId="0" applyNumberFormat="1" applyFont="1" applyFill="1">
      <alignment vertical="center"/>
    </xf>
    <xf numFmtId="4" fontId="1" fillId="8" borderId="0" xfId="0" applyNumberFormat="1" applyFont="1" applyFill="1">
      <alignment vertical="center"/>
    </xf>
    <xf numFmtId="164" fontId="9" fillId="7" borderId="0" xfId="0" applyNumberFormat="1" applyFont="1" applyFill="1">
      <alignment vertical="center"/>
    </xf>
    <xf numFmtId="4" fontId="9" fillId="7" borderId="0" xfId="0" applyNumberFormat="1" applyFont="1" applyFill="1">
      <alignment vertical="center"/>
    </xf>
    <xf numFmtId="0" fontId="3" fillId="2" borderId="2" xfId="0" applyFont="1" applyFill="1" applyBorder="1" applyAlignment="1">
      <alignment horizontal="left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left" vertical="center" wrapText="1"/>
    </xf>
    <xf numFmtId="164" fontId="5" fillId="0" borderId="2" xfId="0" applyNumberFormat="1" applyFont="1" applyBorder="1" applyAlignment="1">
      <alignment horizontal="center" vertical="center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wrapText="1"/>
    </xf>
    <xf numFmtId="164" fontId="5" fillId="0" borderId="2" xfId="0" applyNumberFormat="1" applyFont="1" applyBorder="1" applyAlignment="1">
      <alignment horizontal="center"/>
    </xf>
    <xf numFmtId="0" fontId="5" fillId="4" borderId="5" xfId="0" applyFont="1" applyFill="1" applyBorder="1" applyAlignment="1">
      <alignment wrapText="1"/>
    </xf>
    <xf numFmtId="164" fontId="5" fillId="0" borderId="10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3" fillId="2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165" fontId="6" fillId="0" borderId="5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4" fillId="9" borderId="1" xfId="0" applyNumberFormat="1" applyFont="1" applyFill="1" applyBorder="1" applyAlignment="1">
      <alignment horizontal="center" vertical="center" wrapText="1"/>
    </xf>
    <xf numFmtId="164" fontId="5" fillId="0" borderId="16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164" fontId="0" fillId="0" borderId="17" xfId="0" applyNumberFormat="1" applyBorder="1">
      <alignment vertical="center"/>
    </xf>
    <xf numFmtId="10" fontId="0" fillId="0" borderId="4" xfId="1" applyNumberFormat="1" applyFont="1" applyBorder="1">
      <alignment vertical="center"/>
    </xf>
    <xf numFmtId="165" fontId="0" fillId="0" borderId="4" xfId="0" applyNumberFormat="1" applyBorder="1">
      <alignment vertical="center"/>
    </xf>
    <xf numFmtId="164" fontId="0" fillId="0" borderId="8" xfId="0" applyNumberFormat="1" applyBorder="1">
      <alignment vertical="center"/>
    </xf>
    <xf numFmtId="10" fontId="0" fillId="0" borderId="5" xfId="1" applyNumberFormat="1" applyFont="1" applyBorder="1">
      <alignment vertical="center"/>
    </xf>
    <xf numFmtId="165" fontId="0" fillId="0" borderId="5" xfId="0" applyNumberFormat="1" applyBorder="1">
      <alignment vertical="center"/>
    </xf>
    <xf numFmtId="10" fontId="0" fillId="0" borderId="5" xfId="1" applyNumberFormat="1" applyFont="1" applyFill="1" applyBorder="1">
      <alignment vertical="center"/>
    </xf>
    <xf numFmtId="164" fontId="0" fillId="0" borderId="11" xfId="0" applyNumberFormat="1" applyBorder="1">
      <alignment vertical="center"/>
    </xf>
    <xf numFmtId="10" fontId="0" fillId="0" borderId="5" xfId="1" applyNumberFormat="1" applyFont="1" applyBorder="1" applyAlignment="1">
      <alignment vertical="center"/>
    </xf>
    <xf numFmtId="165" fontId="0" fillId="0" borderId="3" xfId="0" applyNumberFormat="1" applyBorder="1">
      <alignment vertical="center"/>
    </xf>
    <xf numFmtId="165" fontId="0" fillId="0" borderId="8" xfId="0" applyNumberFormat="1" applyBorder="1">
      <alignment vertical="center"/>
    </xf>
    <xf numFmtId="164" fontId="4" fillId="14" borderId="1" xfId="0" applyNumberFormat="1" applyFont="1" applyFill="1" applyBorder="1" applyAlignment="1">
      <alignment horizontal="center" vertical="center" wrapText="1"/>
    </xf>
    <xf numFmtId="164" fontId="4" fillId="15" borderId="1" xfId="0" applyNumberFormat="1" applyFont="1" applyFill="1" applyBorder="1" applyAlignment="1">
      <alignment horizontal="center" vertical="center" wrapText="1"/>
    </xf>
    <xf numFmtId="164" fontId="0" fillId="0" borderId="4" xfId="0" applyNumberFormat="1" applyBorder="1">
      <alignment vertical="center"/>
    </xf>
    <xf numFmtId="164" fontId="0" fillId="0" borderId="5" xfId="0" applyNumberFormat="1" applyBorder="1">
      <alignment vertical="center"/>
    </xf>
    <xf numFmtId="10" fontId="0" fillId="0" borderId="4" xfId="1" applyNumberFormat="1" applyFont="1" applyFill="1" applyBorder="1">
      <alignment vertical="center"/>
    </xf>
    <xf numFmtId="164" fontId="4" fillId="16" borderId="1" xfId="0" applyNumberFormat="1" applyFont="1" applyFill="1" applyBorder="1" applyAlignment="1">
      <alignment horizontal="center" vertical="center" wrapText="1"/>
    </xf>
    <xf numFmtId="164" fontId="4" fillId="17" borderId="1" xfId="0" applyNumberFormat="1" applyFont="1" applyFill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164" fontId="4" fillId="19" borderId="18" xfId="0" applyNumberFormat="1" applyFont="1" applyFill="1" applyBorder="1" applyAlignment="1">
      <alignment horizontal="center" vertical="center" wrapText="1"/>
    </xf>
    <xf numFmtId="164" fontId="4" fillId="19" borderId="19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>
      <alignment vertical="center"/>
    </xf>
    <xf numFmtId="164" fontId="1" fillId="7" borderId="0" xfId="0" applyNumberFormat="1" applyFont="1" applyFill="1">
      <alignment vertical="center"/>
    </xf>
    <xf numFmtId="164" fontId="10" fillId="7" borderId="0" xfId="0" applyNumberFormat="1" applyFont="1" applyFill="1">
      <alignment vertical="center"/>
    </xf>
    <xf numFmtId="165" fontId="10" fillId="7" borderId="0" xfId="0" applyNumberFormat="1" applyFont="1" applyFill="1">
      <alignment vertical="center"/>
    </xf>
    <xf numFmtId="165" fontId="9" fillId="7" borderId="0" xfId="0" applyNumberFormat="1" applyFont="1" applyFill="1">
      <alignment vertical="center"/>
    </xf>
    <xf numFmtId="0" fontId="0" fillId="7" borderId="0" xfId="0" applyFill="1">
      <alignment vertical="center"/>
    </xf>
    <xf numFmtId="164" fontId="0" fillId="7" borderId="0" xfId="0" applyNumberFormat="1" applyFill="1">
      <alignment vertical="center"/>
    </xf>
    <xf numFmtId="165" fontId="1" fillId="7" borderId="0" xfId="0" applyNumberFormat="1" applyFont="1" applyFill="1">
      <alignment vertical="center"/>
    </xf>
    <xf numFmtId="165" fontId="0" fillId="7" borderId="0" xfId="0" applyNumberFormat="1" applyFill="1">
      <alignment vertical="center"/>
    </xf>
    <xf numFmtId="0" fontId="3" fillId="0" borderId="5" xfId="0" quotePrefix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horizontal="center" vertical="center" wrapText="1"/>
    </xf>
    <xf numFmtId="165" fontId="12" fillId="3" borderId="6" xfId="0" applyNumberFormat="1" applyFont="1" applyFill="1" applyBorder="1" applyAlignment="1">
      <alignment horizontal="center" vertical="center"/>
    </xf>
    <xf numFmtId="4" fontId="13" fillId="7" borderId="0" xfId="0" applyNumberFormat="1" applyFont="1" applyFill="1">
      <alignment vertical="center"/>
    </xf>
    <xf numFmtId="164" fontId="4" fillId="20" borderId="10" xfId="0" applyNumberFormat="1" applyFont="1" applyFill="1" applyBorder="1" applyAlignment="1">
      <alignment horizontal="center" vertical="center" wrapText="1"/>
    </xf>
    <xf numFmtId="164" fontId="4" fillId="20" borderId="20" xfId="0" applyNumberFormat="1" applyFont="1" applyFill="1" applyBorder="1" applyAlignment="1">
      <alignment horizontal="center" vertical="center" wrapText="1"/>
    </xf>
    <xf numFmtId="4" fontId="0" fillId="0" borderId="5" xfId="0" applyNumberFormat="1" applyBorder="1">
      <alignment vertical="center"/>
    </xf>
    <xf numFmtId="10" fontId="0" fillId="0" borderId="5" xfId="0" applyNumberFormat="1" applyBorder="1">
      <alignment vertical="center"/>
    </xf>
    <xf numFmtId="2" fontId="0" fillId="0" borderId="5" xfId="0" applyNumberFormat="1" applyBorder="1">
      <alignment vertical="center"/>
    </xf>
    <xf numFmtId="164" fontId="4" fillId="17" borderId="10" xfId="0" applyNumberFormat="1" applyFont="1" applyFill="1" applyBorder="1" applyAlignment="1">
      <alignment horizontal="center" vertical="center" wrapText="1"/>
    </xf>
    <xf numFmtId="164" fontId="4" fillId="17" borderId="20" xfId="0" applyNumberFormat="1" applyFont="1" applyFill="1" applyBorder="1" applyAlignment="1">
      <alignment horizontal="center" vertical="center" wrapText="1"/>
    </xf>
    <xf numFmtId="4" fontId="14" fillId="8" borderId="0" xfId="0" applyNumberFormat="1" applyFont="1" applyFill="1">
      <alignment vertical="center"/>
    </xf>
    <xf numFmtId="164" fontId="4" fillId="19" borderId="10" xfId="0" applyNumberFormat="1" applyFont="1" applyFill="1" applyBorder="1" applyAlignment="1">
      <alignment horizontal="center" vertical="center" wrapText="1"/>
    </xf>
    <xf numFmtId="164" fontId="4" fillId="19" borderId="20" xfId="0" applyNumberFormat="1" applyFont="1" applyFill="1" applyBorder="1" applyAlignment="1">
      <alignment horizontal="center" vertical="center" wrapText="1"/>
    </xf>
    <xf numFmtId="0" fontId="0" fillId="0" borderId="22" xfId="0" applyBorder="1">
      <alignment vertical="center"/>
    </xf>
    <xf numFmtId="0" fontId="14" fillId="0" borderId="0" xfId="0" applyFont="1" applyAlignment="1">
      <alignment horizontal="center" vertical="center"/>
    </xf>
    <xf numFmtId="0" fontId="0" fillId="0" borderId="25" xfId="0" applyBorder="1">
      <alignment vertical="center"/>
    </xf>
    <xf numFmtId="165" fontId="12" fillId="3" borderId="26" xfId="0" applyNumberFormat="1" applyFont="1" applyFill="1" applyBorder="1" applyAlignment="1">
      <alignment horizontal="center" vertical="center"/>
    </xf>
    <xf numFmtId="4" fontId="8" fillId="0" borderId="26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165" fontId="12" fillId="3" borderId="5" xfId="0" applyNumberFormat="1" applyFont="1" applyFill="1" applyBorder="1" applyAlignment="1">
      <alignment horizontal="center" vertical="center"/>
    </xf>
    <xf numFmtId="164" fontId="1" fillId="8" borderId="0" xfId="0" applyNumberFormat="1" applyFont="1" applyFill="1" applyAlignment="1">
      <alignment horizontal="center" vertical="center"/>
    </xf>
    <xf numFmtId="4" fontId="1" fillId="8" borderId="0" xfId="0" applyNumberFormat="1" applyFont="1" applyFill="1" applyAlignment="1">
      <alignment horizontal="center" vertical="center"/>
    </xf>
    <xf numFmtId="4" fontId="14" fillId="8" borderId="0" xfId="0" applyNumberFormat="1" applyFont="1" applyFill="1" applyAlignment="1">
      <alignment horizontal="center" vertical="center"/>
    </xf>
    <xf numFmtId="2" fontId="14" fillId="8" borderId="0" xfId="0" applyNumberFormat="1" applyFont="1" applyFill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0" fontId="0" fillId="0" borderId="5" xfId="0" applyNumberFormat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4" fontId="13" fillId="7" borderId="0" xfId="0" applyNumberFormat="1" applyFont="1" applyFill="1" applyAlignment="1">
      <alignment horizontal="center" vertical="center"/>
    </xf>
    <xf numFmtId="164" fontId="4" fillId="6" borderId="12" xfId="0" applyNumberFormat="1" applyFont="1" applyFill="1" applyBorder="1" applyAlignment="1">
      <alignment horizontal="center" vertical="center" wrapText="1"/>
    </xf>
    <xf numFmtId="4" fontId="0" fillId="0" borderId="15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 wrapText="1"/>
    </xf>
    <xf numFmtId="164" fontId="4" fillId="20" borderId="5" xfId="0" applyNumberFormat="1" applyFont="1" applyFill="1" applyBorder="1" applyAlignment="1">
      <alignment horizontal="center" vertical="center" wrapText="1"/>
    </xf>
    <xf numFmtId="164" fontId="4" fillId="17" borderId="5" xfId="0" applyNumberFormat="1" applyFont="1" applyFill="1" applyBorder="1" applyAlignment="1">
      <alignment horizontal="center" vertical="center" wrapText="1"/>
    </xf>
    <xf numFmtId="164" fontId="4" fillId="19" borderId="5" xfId="0" applyNumberFormat="1" applyFont="1" applyFill="1" applyBorder="1" applyAlignment="1">
      <alignment horizontal="center" vertical="center" wrapText="1"/>
    </xf>
    <xf numFmtId="164" fontId="4" fillId="10" borderId="5" xfId="0" applyNumberFormat="1" applyFont="1" applyFill="1" applyBorder="1" applyAlignment="1">
      <alignment horizontal="center" vertical="center" wrapText="1"/>
    </xf>
    <xf numFmtId="164" fontId="4" fillId="21" borderId="5" xfId="0" applyNumberFormat="1" applyFont="1" applyFill="1" applyBorder="1" applyAlignment="1">
      <alignment horizontal="center" vertical="center" wrapText="1"/>
    </xf>
    <xf numFmtId="165" fontId="16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64" fontId="4" fillId="14" borderId="5" xfId="0" applyNumberFormat="1" applyFont="1" applyFill="1" applyBorder="1" applyAlignment="1">
      <alignment horizontal="center" vertical="center" wrapText="1"/>
    </xf>
    <xf numFmtId="43" fontId="0" fillId="0" borderId="5" xfId="0" applyNumberFormat="1" applyBorder="1">
      <alignment vertical="center"/>
    </xf>
  </cellXfs>
  <cellStyles count="2">
    <cellStyle name="Normal" xfId="0" builtinId="0"/>
    <cellStyle name="Percent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689F7"/>
      <color rgb="FF08E303"/>
      <color rgb="FFFFFF00"/>
      <color rgb="FFF3AB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lang="zh-CN" altLang="en-US"/>
              <a:t>月全厂分部门电使用量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0D-4F89-AD7A-B4EF3A9606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0D-4F89-AD7A-B4EF3A9606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0D-4F89-AD7A-B4EF3A9606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0D-4F89-AD7A-B4EF3A9606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10D-4F89-AD7A-B4EF3A96063E}"/>
              </c:ext>
            </c:extLst>
          </c:dPt>
          <c:dLbls>
            <c:dLbl>
              <c:idx val="0"/>
              <c:layout>
                <c:manualLayout>
                  <c:x val="0.211141557768695"/>
                  <c:y val="4.6466306618935201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10D-4F89-AD7A-B4EF3A96063E}"/>
                </c:ext>
              </c:extLst>
            </c:dLbl>
            <c:dLbl>
              <c:idx val="1"/>
              <c:layout>
                <c:manualLayout>
                  <c:x val="0.16453975015830999"/>
                  <c:y val="0.15680961094888199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10D-4F89-AD7A-B4EF3A96063E}"/>
                </c:ext>
              </c:extLst>
            </c:dLbl>
            <c:dLbl>
              <c:idx val="2"/>
              <c:layout>
                <c:manualLayout>
                  <c:x val="-0.182068965517241"/>
                  <c:y val="7.569166521663479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0D-4F89-AD7A-B4EF3A96063E}"/>
                </c:ext>
              </c:extLst>
            </c:dLbl>
            <c:dLbl>
              <c:idx val="3"/>
              <c:layout>
                <c:manualLayout>
                  <c:x val="-0.31120142766680098"/>
                  <c:y val="-8.444889579039929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10D-4F89-AD7A-B4EF3A96063E}"/>
                </c:ext>
              </c:extLst>
            </c:dLbl>
            <c:dLbl>
              <c:idx val="4"/>
              <c:layout>
                <c:manualLayout>
                  <c:x val="0.25991940590639601"/>
                  <c:y val="-7.521061197943509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10D-4F89-AD7A-B4EF3A9606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 MONTHLY'!$B$2:$F$2</c:f>
              <c:strCache>
                <c:ptCount val="5"/>
                <c:pt idx="0">
                  <c:v>Production</c:v>
                </c:pt>
                <c:pt idx="1">
                  <c:v>Quality</c:v>
                </c:pt>
                <c:pt idx="2">
                  <c:v>Site Service</c:v>
                </c:pt>
                <c:pt idx="3">
                  <c:v>Supply Chain</c:v>
                </c:pt>
                <c:pt idx="4">
                  <c:v>Technology</c:v>
                </c:pt>
              </c:strCache>
            </c:strRef>
          </c:cat>
          <c:val>
            <c:numRef>
              <c:f>'DATA  MONTHLY'!$B$3:$F$3</c:f>
              <c:numCache>
                <c:formatCode>_(* #,##0.00_);_(* \(#,##0.00\);_(* "-"??_);_(@_)</c:formatCode>
                <c:ptCount val="5"/>
                <c:pt idx="0">
                  <c:v>274720.62</c:v>
                </c:pt>
                <c:pt idx="1">
                  <c:v>4373.54</c:v>
                </c:pt>
                <c:pt idx="2" formatCode="#,##0.00">
                  <c:v>355044.9</c:v>
                </c:pt>
                <c:pt idx="3" formatCode="#,##0.00">
                  <c:v>27956.21</c:v>
                </c:pt>
                <c:pt idx="4">
                  <c:v>671.73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10D-4F89-AD7A-B4EF3A9606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b131603-fb65-477f-8395-1cbb5abe736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274955</xdr:colOff>
      <xdr:row>1</xdr:row>
      <xdr:rowOff>300990</xdr:rowOff>
    </xdr:from>
    <xdr:to>
      <xdr:col>12</xdr:col>
      <xdr:colOff>649605</xdr:colOff>
      <xdr:row>14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782E4-63A0-41B1-BE65-A566971113C6}">
  <sheetPr>
    <tabColor rgb="FFFF0000"/>
  </sheetPr>
  <dimension ref="A2:BU79"/>
  <sheetViews>
    <sheetView topLeftCell="G1" workbookViewId="0">
      <pane ySplit="1" topLeftCell="A2" activePane="bottomLeft" state="frozen"/>
      <selection activeCell="J32" sqref="J32"/>
      <selection pane="bottomLeft" activeCell="J32" sqref="J32"/>
    </sheetView>
  </sheetViews>
  <sheetFormatPr defaultColWidth="10.28515625" defaultRowHeight="12.75"/>
  <cols>
    <col min="1" max="1" width="11.5703125" customWidth="1"/>
    <col min="2" max="2" width="11.7109375" hidden="1" customWidth="1"/>
    <col min="3" max="3" width="34.140625" style="5" customWidth="1"/>
    <col min="4" max="4" width="16.5703125" style="3" customWidth="1"/>
    <col min="5" max="5" width="24.140625" style="6" hidden="1" customWidth="1"/>
    <col min="6" max="6" width="20.7109375" style="5" hidden="1" customWidth="1"/>
    <col min="7" max="7" width="48.7109375" style="7" customWidth="1"/>
    <col min="8" max="10" width="18.5703125" hidden="1" customWidth="1"/>
    <col min="11" max="11" width="16" hidden="1" customWidth="1"/>
    <col min="12" max="12" width="14.7109375" hidden="1" customWidth="1"/>
    <col min="13" max="22" width="18.5703125" hidden="1" customWidth="1"/>
    <col min="23" max="24" width="18.5703125" customWidth="1"/>
    <col min="25" max="27" width="15.140625" hidden="1" customWidth="1"/>
    <col min="28" max="28" width="15.140625" customWidth="1"/>
    <col min="29" max="31" width="15.140625" hidden="1" customWidth="1"/>
    <col min="32" max="32" width="15.140625" customWidth="1"/>
    <col min="33" max="35" width="15.140625" hidden="1" customWidth="1"/>
    <col min="36" max="36" width="15.140625" customWidth="1"/>
    <col min="37" max="39" width="15.140625" hidden="1" customWidth="1"/>
    <col min="40" max="40" width="15.140625" customWidth="1"/>
    <col min="41" max="42" width="15.140625" hidden="1" customWidth="1"/>
    <col min="43" max="43" width="13.28515625" hidden="1" customWidth="1"/>
    <col min="44" max="44" width="15.140625" customWidth="1"/>
    <col min="45" max="45" width="12.7109375" hidden="1" customWidth="1"/>
    <col min="46" max="46" width="6.7109375" hidden="1" customWidth="1"/>
    <col min="47" max="47" width="10.28515625" hidden="1" customWidth="1"/>
    <col min="48" max="48" width="11.7109375" customWidth="1"/>
    <col min="49" max="49" width="11.7109375" hidden="1" customWidth="1"/>
    <col min="50" max="50" width="10.28515625" hidden="1" customWidth="1"/>
    <col min="51" max="51" width="12.42578125" hidden="1" customWidth="1"/>
    <col min="52" max="52" width="11.7109375" customWidth="1"/>
    <col min="53" max="53" width="11.7109375" hidden="1" customWidth="1"/>
    <col min="54" max="54" width="10.28515625" hidden="1" customWidth="1"/>
    <col min="55" max="55" width="10.5703125" hidden="1" customWidth="1"/>
    <col min="56" max="56" width="11.7109375" customWidth="1"/>
    <col min="57" max="57" width="11.7109375" hidden="1" customWidth="1"/>
    <col min="58" max="58" width="10.28515625" hidden="1" customWidth="1"/>
    <col min="59" max="59" width="10.5703125" hidden="1" customWidth="1"/>
    <col min="60" max="60" width="11.7109375" customWidth="1"/>
    <col min="61" max="61" width="11.7109375" hidden="1" customWidth="1"/>
    <col min="62" max="62" width="10.28515625" hidden="1" customWidth="1"/>
    <col min="63" max="63" width="10.5703125" hidden="1" customWidth="1"/>
    <col min="64" max="64" width="11.7109375" customWidth="1"/>
    <col min="65" max="65" width="12.85546875" hidden="1" customWidth="1"/>
    <col min="66" max="66" width="10.28515625" hidden="1" customWidth="1"/>
    <col min="67" max="67" width="10.5703125" hidden="1" customWidth="1"/>
    <col min="68" max="68" width="11.7109375" customWidth="1"/>
    <col min="69" max="69" width="11.7109375" hidden="1" customWidth="1"/>
    <col min="70" max="70" width="10.28515625" hidden="1" customWidth="1"/>
    <col min="71" max="71" width="10.5703125" hidden="1" customWidth="1"/>
  </cols>
  <sheetData>
    <row r="2" spans="1:72" ht="27" customHeight="1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</row>
    <row r="3" spans="1:72" ht="33.7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49" t="s">
        <v>7</v>
      </c>
      <c r="H3" s="50" t="s">
        <v>8</v>
      </c>
      <c r="I3" s="50" t="s">
        <v>9</v>
      </c>
      <c r="J3" s="50" t="s">
        <v>10</v>
      </c>
      <c r="K3" s="63" t="s">
        <v>11</v>
      </c>
      <c r="L3" s="63" t="s">
        <v>12</v>
      </c>
      <c r="M3" s="64" t="s">
        <v>13</v>
      </c>
      <c r="N3" s="64" t="s">
        <v>14</v>
      </c>
      <c r="O3" s="64" t="s">
        <v>15</v>
      </c>
      <c r="P3" s="64" t="s">
        <v>16</v>
      </c>
      <c r="Q3" s="64" t="s">
        <v>17</v>
      </c>
      <c r="R3" s="64" t="s">
        <v>18</v>
      </c>
      <c r="S3" s="64" t="s">
        <v>19</v>
      </c>
      <c r="T3" s="68" t="s">
        <v>20</v>
      </c>
      <c r="U3" s="69" t="s">
        <v>21</v>
      </c>
      <c r="V3" s="70" t="s">
        <v>22</v>
      </c>
      <c r="W3" s="22" t="s">
        <v>23</v>
      </c>
      <c r="X3" s="22" t="s">
        <v>24</v>
      </c>
      <c r="Y3" s="24" t="s">
        <v>25</v>
      </c>
      <c r="Z3" s="25" t="s">
        <v>26</v>
      </c>
      <c r="AA3" s="25" t="s">
        <v>27</v>
      </c>
      <c r="AB3" s="25" t="s">
        <v>25</v>
      </c>
      <c r="AC3" s="82" t="s">
        <v>28</v>
      </c>
      <c r="AD3" s="82" t="s">
        <v>26</v>
      </c>
      <c r="AE3" s="82" t="s">
        <v>27</v>
      </c>
      <c r="AF3" s="82" t="s">
        <v>28</v>
      </c>
      <c r="AG3" s="85" t="s">
        <v>29</v>
      </c>
      <c r="AH3" s="85" t="s">
        <v>26</v>
      </c>
      <c r="AI3" s="85" t="s">
        <v>27</v>
      </c>
      <c r="AJ3" s="85" t="s">
        <v>29</v>
      </c>
      <c r="AK3" s="86" t="s">
        <v>30</v>
      </c>
      <c r="AL3" s="86" t="s">
        <v>26</v>
      </c>
      <c r="AM3" s="86" t="s">
        <v>27</v>
      </c>
      <c r="AN3" s="86" t="s">
        <v>30</v>
      </c>
      <c r="AO3" s="87" t="s">
        <v>31</v>
      </c>
      <c r="AP3" s="87" t="s">
        <v>26</v>
      </c>
      <c r="AQ3" s="87" t="s">
        <v>27</v>
      </c>
      <c r="AR3" s="87" t="s">
        <v>31</v>
      </c>
      <c r="AS3" s="88" t="s">
        <v>32</v>
      </c>
      <c r="AT3" s="88" t="s">
        <v>26</v>
      </c>
      <c r="AU3" s="88" t="s">
        <v>27</v>
      </c>
      <c r="AV3" s="88" t="s">
        <v>32</v>
      </c>
      <c r="AW3" s="100" t="s">
        <v>33</v>
      </c>
      <c r="AX3" s="100" t="s">
        <v>26</v>
      </c>
      <c r="AY3" s="100" t="s">
        <v>27</v>
      </c>
      <c r="AZ3" s="100" t="s">
        <v>33</v>
      </c>
      <c r="BA3" s="101" t="s">
        <v>34</v>
      </c>
      <c r="BB3" s="101" t="s">
        <v>26</v>
      </c>
      <c r="BC3" s="101" t="s">
        <v>27</v>
      </c>
      <c r="BD3" s="101" t="s">
        <v>34</v>
      </c>
      <c r="BE3" s="105" t="s">
        <v>35</v>
      </c>
      <c r="BF3" s="105" t="s">
        <v>26</v>
      </c>
      <c r="BG3" s="105" t="s">
        <v>27</v>
      </c>
      <c r="BH3" s="105" t="s">
        <v>35</v>
      </c>
      <c r="BI3" s="106" t="s">
        <v>36</v>
      </c>
      <c r="BJ3" s="106" t="s">
        <v>26</v>
      </c>
      <c r="BK3" s="106" t="s">
        <v>27</v>
      </c>
      <c r="BL3" s="106" t="s">
        <v>36</v>
      </c>
      <c r="BM3" s="107" t="s">
        <v>37</v>
      </c>
      <c r="BN3" s="107" t="s">
        <v>26</v>
      </c>
      <c r="BO3" s="107" t="s">
        <v>27</v>
      </c>
      <c r="BP3" s="107" t="s">
        <v>37</v>
      </c>
      <c r="BQ3" s="108" t="s">
        <v>38</v>
      </c>
      <c r="BR3" s="109" t="s">
        <v>26</v>
      </c>
      <c r="BS3" s="109" t="s">
        <v>27</v>
      </c>
      <c r="BT3" s="109" t="s">
        <v>38</v>
      </c>
    </row>
    <row r="4" spans="1:72" ht="13.5" hidden="1" customHeight="1">
      <c r="A4" s="11">
        <v>1</v>
      </c>
      <c r="B4" s="11" t="s">
        <v>39</v>
      </c>
      <c r="C4" s="12" t="s">
        <v>40</v>
      </c>
      <c r="D4" s="13" t="s">
        <v>41</v>
      </c>
      <c r="E4" s="13" t="s">
        <v>42</v>
      </c>
      <c r="F4" s="51" t="s">
        <v>43</v>
      </c>
      <c r="G4" s="52" t="s">
        <v>44</v>
      </c>
      <c r="H4" s="53">
        <v>253556.64</v>
      </c>
      <c r="I4" s="53">
        <v>313476.74</v>
      </c>
      <c r="J4" s="53">
        <v>316470.98</v>
      </c>
      <c r="K4" s="53">
        <v>59920.1</v>
      </c>
      <c r="L4" s="53">
        <v>2994.24</v>
      </c>
      <c r="M4" s="53">
        <v>318823.67999999999</v>
      </c>
      <c r="N4" s="53">
        <v>322279.67999999999</v>
      </c>
      <c r="O4" s="53">
        <v>328844.42</v>
      </c>
      <c r="P4" s="53">
        <v>331230.02</v>
      </c>
      <c r="Q4" s="53">
        <v>338053.2</v>
      </c>
      <c r="R4" s="53">
        <v>339269.52</v>
      </c>
      <c r="S4" s="53">
        <v>344450.64</v>
      </c>
      <c r="T4" s="71">
        <v>361563.36</v>
      </c>
      <c r="U4" s="34">
        <v>366345.6</v>
      </c>
      <c r="V4" s="34">
        <v>370707.12</v>
      </c>
      <c r="W4" s="72">
        <v>375853.2</v>
      </c>
      <c r="X4" s="72">
        <v>384535.44</v>
      </c>
      <c r="Y4" s="30">
        <f t="shared" ref="Y4:Y64" si="0">M4-I4</f>
        <v>5346.9400000000023</v>
      </c>
      <c r="Z4" s="31">
        <f t="shared" ref="Z4:Z60" si="1">Y4/$Y$65</f>
        <v>1.2104705998928256E-2</v>
      </c>
      <c r="AA4" s="30">
        <f t="shared" ref="AA4:AA60" si="2">Z4*$Y$67</f>
        <v>1657.9323145197905</v>
      </c>
      <c r="AB4" s="30">
        <f t="shared" ref="AB4:AB64" si="3">Y4+AA4</f>
        <v>7004.8723145197928</v>
      </c>
      <c r="AC4" s="30">
        <f t="shared" ref="AC4:AC64" si="4">N4-M4</f>
        <v>3456</v>
      </c>
      <c r="AD4" s="31">
        <f t="shared" ref="AD4:AD60" si="5">AC4/$AC$65</f>
        <v>9.7235312523044539E-3</v>
      </c>
      <c r="AE4" s="30">
        <f t="shared" ref="AE4:AE60" si="6">AD4*$AC$67</f>
        <v>67.485488009430199</v>
      </c>
      <c r="AF4" s="30">
        <f t="shared" ref="AF4:AF64" si="7">AC4+AE4</f>
        <v>3523.4854880094304</v>
      </c>
      <c r="AG4" s="30">
        <f t="shared" ref="AG4:AG64" si="8">O4-N4</f>
        <v>6564.7399999999907</v>
      </c>
      <c r="AH4" s="31">
        <f t="shared" ref="AH4:AH60" si="9">AG4/$AG$65</f>
        <v>2.2626375899270287E-2</v>
      </c>
      <c r="AI4" s="30">
        <f t="shared" ref="AI4:AI60" si="10">AH4*$AG$67</f>
        <v>2128.9245326489345</v>
      </c>
      <c r="AJ4" s="30">
        <f t="shared" ref="AJ4:AJ64" si="11">AG4+AI4</f>
        <v>8693.6645326489252</v>
      </c>
      <c r="AK4" s="30">
        <f t="shared" ref="AK4:AK64" si="12">P4-O4</f>
        <v>2385.6000000000349</v>
      </c>
      <c r="AL4" s="31">
        <f t="shared" ref="AL4:AL60" si="13">AK4/$AK$65</f>
        <v>5.8005638918399993E-3</v>
      </c>
      <c r="AM4" s="30">
        <f t="shared" ref="AM4:AM60" si="14">AL4*$AK$67</f>
        <v>240.29207158036553</v>
      </c>
      <c r="AN4" s="30">
        <f t="shared" ref="AN4:AN64" si="15">AK4+AM4</f>
        <v>2625.8920715804006</v>
      </c>
      <c r="AO4" s="30">
        <f t="shared" ref="AO4:AO64" si="16">Q4-P4</f>
        <v>6823.179999999993</v>
      </c>
      <c r="AP4" s="31">
        <f t="shared" ref="AP4:AP60" si="17">AO4/$AO$65</f>
        <v>1.8839747366839906E-2</v>
      </c>
      <c r="AQ4" s="30">
        <f t="shared" ref="AQ4:AQ60" si="18">AP4*$AO$67</f>
        <v>1641.4619726790768</v>
      </c>
      <c r="AR4" s="30">
        <f t="shared" ref="AR4:AR64" si="19">AO4+AQ4</f>
        <v>8464.64197267907</v>
      </c>
      <c r="AS4" s="89">
        <f t="shared" ref="AS4:AS64" si="20">R4-Q4</f>
        <v>1216.320000000007</v>
      </c>
      <c r="AT4" s="90">
        <f t="shared" ref="AT4:AT60" si="21">AS4/$AS$65</f>
        <v>2.5677579391614699E-3</v>
      </c>
      <c r="AU4" s="91">
        <f t="shared" ref="AU4:AU60" si="22">AT4*$AS$67</f>
        <v>304.21124452766657</v>
      </c>
      <c r="AV4" s="91">
        <f t="shared" ref="AV4:AV64" si="23">+AS4+AU4</f>
        <v>1520.5312445276736</v>
      </c>
      <c r="AW4" s="102">
        <f t="shared" ref="AW4:AW64" si="24">S4-R4</f>
        <v>5181.1199999999953</v>
      </c>
      <c r="AX4" s="90">
        <f t="shared" ref="AX4:AX60" si="25">AW4/$AW$65</f>
        <v>1.1169592679332638E-2</v>
      </c>
      <c r="AY4" s="102">
        <f t="shared" ref="AY4:AY60" si="26">AX4*$AW$67</f>
        <v>1154.2059501614006</v>
      </c>
      <c r="AZ4" s="102">
        <f t="shared" ref="AZ4:AZ64" si="27">AW4+AY4</f>
        <v>6335.3259501613957</v>
      </c>
      <c r="BA4" s="102">
        <f t="shared" ref="BA4:BA64" si="28">T4-S4</f>
        <v>17112.719999999972</v>
      </c>
      <c r="BB4" s="90">
        <f>BA4/$BA$65</f>
        <v>4.8716021598918753E-2</v>
      </c>
      <c r="BC4" s="102">
        <f>BB4*$BA$67</f>
        <v>4211.0133941707509</v>
      </c>
      <c r="BD4" s="102">
        <f t="shared" ref="BD4:BD64" si="29">BA4+BC4</f>
        <v>21323.733394170722</v>
      </c>
      <c r="BE4" s="102">
        <f>U4-T4</f>
        <v>4782.2399999999907</v>
      </c>
      <c r="BF4" s="90">
        <f>BE4/$BE$65</f>
        <v>1.2404072014604193E-2</v>
      </c>
      <c r="BG4" s="102">
        <f>BF4*$BE$67</f>
        <v>963.87193633331435</v>
      </c>
      <c r="BH4" s="102">
        <f>BG4+BE4</f>
        <v>5746.1119363333055</v>
      </c>
      <c r="BI4" s="102">
        <f>V4-U4</f>
        <v>4361.5200000000186</v>
      </c>
      <c r="BJ4" s="90">
        <f>BI4/$BI$65</f>
        <v>9.0553095522043214E-3</v>
      </c>
      <c r="BK4" s="102">
        <f>BJ4*$BI$67</f>
        <v>1020.8020575678423</v>
      </c>
      <c r="BL4" s="102">
        <f>BK4+BI4</f>
        <v>5382.3220575678606</v>
      </c>
      <c r="BM4" s="91">
        <f>W4-V4</f>
        <v>5146.0800000000163</v>
      </c>
      <c r="BN4" s="90">
        <f>BM4/$BM$65</f>
        <v>1.3278070652532238E-2</v>
      </c>
      <c r="BO4" s="91">
        <f>BN4*$BM$67</f>
        <v>1303.3444773479423</v>
      </c>
      <c r="BP4" s="91">
        <f>BO4+BM4</f>
        <v>6449.4244773479586</v>
      </c>
      <c r="BQ4" s="91">
        <f>X4-W4</f>
        <v>8682.2399999999907</v>
      </c>
      <c r="BR4" s="90">
        <f>BQ4/$BQ$65</f>
        <v>1.6493082186715555E-2</v>
      </c>
      <c r="BS4" s="91">
        <f>BR4*$BQ$67</f>
        <v>1875.9055203190921</v>
      </c>
      <c r="BT4" s="91">
        <f>BS4+BQ4</f>
        <v>10558.145520319084</v>
      </c>
    </row>
    <row r="5" spans="1:72" ht="13.5" hidden="1">
      <c r="A5" s="16">
        <v>2</v>
      </c>
      <c r="B5" s="16" t="s">
        <v>39</v>
      </c>
      <c r="C5" s="17" t="s">
        <v>40</v>
      </c>
      <c r="D5" s="13" t="s">
        <v>41</v>
      </c>
      <c r="E5" s="18" t="s">
        <v>42</v>
      </c>
      <c r="F5" s="54" t="s">
        <v>45</v>
      </c>
      <c r="G5" s="55" t="s">
        <v>46</v>
      </c>
      <c r="H5" s="53">
        <v>347235.6</v>
      </c>
      <c r="I5" s="53">
        <v>420383.2</v>
      </c>
      <c r="J5" s="53">
        <v>425260.79999999999</v>
      </c>
      <c r="K5" s="53">
        <v>73147.600000000006</v>
      </c>
      <c r="L5" s="53">
        <v>4877.6000000000004</v>
      </c>
      <c r="M5" s="53">
        <v>428962</v>
      </c>
      <c r="N5" s="53">
        <v>434476.79999999999</v>
      </c>
      <c r="O5" s="53">
        <v>441850</v>
      </c>
      <c r="P5" s="53">
        <v>445489.6</v>
      </c>
      <c r="Q5" s="53">
        <v>456083.6</v>
      </c>
      <c r="R5" s="53">
        <v>457800</v>
      </c>
      <c r="S5" s="53">
        <v>463536.8</v>
      </c>
      <c r="T5" s="71">
        <v>470326</v>
      </c>
      <c r="U5" s="34">
        <v>477266</v>
      </c>
      <c r="V5" s="34">
        <v>480361.6</v>
      </c>
      <c r="W5" s="72">
        <v>483683.2</v>
      </c>
      <c r="X5" s="72">
        <v>491340</v>
      </c>
      <c r="Y5" s="30">
        <f t="shared" si="0"/>
        <v>8578.7999999999884</v>
      </c>
      <c r="Z5" s="31">
        <f t="shared" si="1"/>
        <v>1.9421173946894025E-2</v>
      </c>
      <c r="AA5" s="30">
        <f t="shared" si="2"/>
        <v>2660.0391513281152</v>
      </c>
      <c r="AB5" s="30">
        <f t="shared" si="3"/>
        <v>11238.839151328104</v>
      </c>
      <c r="AC5" s="30">
        <f t="shared" si="4"/>
        <v>5514.7999999999884</v>
      </c>
      <c r="AD5" s="31">
        <f t="shared" si="5"/>
        <v>1.5516009881426067E-2</v>
      </c>
      <c r="AE5" s="30">
        <f t="shared" si="6"/>
        <v>107.687780461344</v>
      </c>
      <c r="AF5" s="30">
        <f t="shared" si="7"/>
        <v>5622.4877804613325</v>
      </c>
      <c r="AG5" s="30">
        <f t="shared" si="8"/>
        <v>7373.2000000000116</v>
      </c>
      <c r="AH5" s="31">
        <f t="shared" si="9"/>
        <v>2.541285637824197E-2</v>
      </c>
      <c r="AI5" s="30">
        <f t="shared" si="10"/>
        <v>2391.1055676427659</v>
      </c>
      <c r="AJ5" s="30">
        <f t="shared" si="11"/>
        <v>9764.3055676427775</v>
      </c>
      <c r="AK5" s="30">
        <f t="shared" si="12"/>
        <v>3639.5999999999767</v>
      </c>
      <c r="AL5" s="31">
        <f t="shared" si="13"/>
        <v>8.8496530603371978E-3</v>
      </c>
      <c r="AM5" s="30">
        <f t="shared" si="14"/>
        <v>366.60254180243129</v>
      </c>
      <c r="AN5" s="30">
        <f t="shared" si="15"/>
        <v>4006.2025418024082</v>
      </c>
      <c r="AO5" s="30">
        <f t="shared" si="16"/>
        <v>10594</v>
      </c>
      <c r="AP5" s="31">
        <f t="shared" si="17"/>
        <v>2.9251504958729243E-2</v>
      </c>
      <c r="AQ5" s="30">
        <f t="shared" si="18"/>
        <v>2548.613423442172</v>
      </c>
      <c r="AR5" s="30">
        <f t="shared" si="19"/>
        <v>13142.613423442172</v>
      </c>
      <c r="AS5" s="92">
        <f t="shared" si="20"/>
        <v>1716.4000000000233</v>
      </c>
      <c r="AT5" s="93">
        <f t="shared" si="21"/>
        <v>3.6234705725276093E-3</v>
      </c>
      <c r="AU5" s="94">
        <f t="shared" si="22"/>
        <v>429.28520463964333</v>
      </c>
      <c r="AV5" s="94">
        <f t="shared" si="23"/>
        <v>2145.6852046396666</v>
      </c>
      <c r="AW5" s="103">
        <f t="shared" si="24"/>
        <v>5736.7999999999884</v>
      </c>
      <c r="AX5" s="93">
        <f t="shared" si="25"/>
        <v>1.2367542014621433E-2</v>
      </c>
      <c r="AY5" s="103">
        <f t="shared" si="26"/>
        <v>1277.9956254412009</v>
      </c>
      <c r="AZ5" s="103">
        <f t="shared" si="27"/>
        <v>7014.7956254411893</v>
      </c>
      <c r="BA5" s="103">
        <f t="shared" si="28"/>
        <v>6789.2000000000116</v>
      </c>
      <c r="BB5" s="90">
        <f t="shared" ref="BB5:BB60" si="30">BA5/$BA$65</f>
        <v>1.9327308215139401E-2</v>
      </c>
      <c r="BC5" s="103">
        <f t="shared" ref="BC5:BC60" si="31">BB5*$BA$67</f>
        <v>1670.6527153897309</v>
      </c>
      <c r="BD5" s="103">
        <f t="shared" si="29"/>
        <v>8459.852715389743</v>
      </c>
      <c r="BE5" s="103">
        <f t="shared" ref="BE5:BE64" si="32">U5-T5</f>
        <v>6940</v>
      </c>
      <c r="BF5" s="93">
        <f t="shared" ref="BF5:BF60" si="33">BE5/$BE$65</f>
        <v>1.8000823835975038E-2</v>
      </c>
      <c r="BG5" s="103">
        <f t="shared" ref="BG5:BG60" si="34">BF5*$BE$67</f>
        <v>1398.773637072421</v>
      </c>
      <c r="BH5" s="103">
        <f t="shared" ref="BH5:BH64" si="35">BG5+BE5</f>
        <v>8338.7736370724215</v>
      </c>
      <c r="BI5" s="103">
        <f t="shared" ref="BI5:BI64" si="36">V5-U5</f>
        <v>3095.5999999999767</v>
      </c>
      <c r="BJ5" s="90">
        <f t="shared" ref="BJ5:BJ60" si="37">BI5/$BI$65</f>
        <v>6.4270291663923052E-3</v>
      </c>
      <c r="BK5" s="102">
        <f t="shared" ref="BK5:BK60" si="38">BJ5*$BI$67</f>
        <v>724.51687700778064</v>
      </c>
      <c r="BL5" s="102">
        <f t="shared" ref="BL5:BL64" si="39">BK5+BI5</f>
        <v>3820.1168770077575</v>
      </c>
      <c r="BM5" s="94">
        <f t="shared" ref="BM5:BM64" si="40">W5-V5</f>
        <v>3321.6000000000349</v>
      </c>
      <c r="BN5" s="90">
        <f t="shared" ref="BN5:BN60" si="41">BM5/$BM$65</f>
        <v>8.5704923902176818E-3</v>
      </c>
      <c r="BO5" s="94">
        <f t="shared" ref="BO5:BO60" si="42">BN5*$BM$67</f>
        <v>841.25956377649732</v>
      </c>
      <c r="BP5" s="94">
        <f t="shared" ref="BP5:BP64" si="43">BO5+BM5</f>
        <v>4162.859563776532</v>
      </c>
      <c r="BQ5" s="94">
        <f t="shared" ref="BQ5:BQ64" si="44">X5-W5</f>
        <v>7656.7999999999884</v>
      </c>
      <c r="BR5" s="90">
        <f t="shared" ref="BR5:BR60" si="45">BQ5/$BQ$65</f>
        <v>1.454512103872314E-2</v>
      </c>
      <c r="BS5" s="94">
        <f t="shared" ref="BS5:BS60" si="46">BR5*$BQ$67</f>
        <v>1654.3465036648627</v>
      </c>
      <c r="BT5" s="94">
        <f t="shared" ref="BT5:BT64" si="47">BS5+BQ5</f>
        <v>9311.1465036648515</v>
      </c>
    </row>
    <row r="6" spans="1:72" ht="13.5" hidden="1">
      <c r="A6" s="11">
        <v>3</v>
      </c>
      <c r="B6" s="16" t="s">
        <v>39</v>
      </c>
      <c r="C6" s="17" t="s">
        <v>40</v>
      </c>
      <c r="D6" s="13" t="s">
        <v>41</v>
      </c>
      <c r="E6" s="18" t="s">
        <v>42</v>
      </c>
      <c r="F6" s="54" t="s">
        <v>47</v>
      </c>
      <c r="G6" s="55" t="s">
        <v>48</v>
      </c>
      <c r="H6" s="53">
        <v>613287.80000000005</v>
      </c>
      <c r="I6" s="53">
        <v>750382.32</v>
      </c>
      <c r="J6" s="53">
        <v>760395.12</v>
      </c>
      <c r="K6" s="53">
        <v>137094.51999999999</v>
      </c>
      <c r="L6" s="53">
        <v>10012.799999999999</v>
      </c>
      <c r="M6" s="53">
        <v>769121.52</v>
      </c>
      <c r="N6" s="53">
        <v>780237.92</v>
      </c>
      <c r="O6" s="53">
        <v>794775.52</v>
      </c>
      <c r="P6" s="53">
        <v>801874.96</v>
      </c>
      <c r="Q6" s="53">
        <v>824147.92</v>
      </c>
      <c r="R6" s="53">
        <v>828082.08</v>
      </c>
      <c r="S6" s="53">
        <v>838343.04</v>
      </c>
      <c r="T6" s="71">
        <v>849287.76</v>
      </c>
      <c r="U6" s="34">
        <v>862748.16000000003</v>
      </c>
      <c r="V6" s="34">
        <v>868284</v>
      </c>
      <c r="W6" s="72">
        <v>874111.92</v>
      </c>
      <c r="X6" s="72">
        <v>886536.4</v>
      </c>
      <c r="Y6" s="30">
        <f t="shared" si="0"/>
        <v>18739.20000000007</v>
      </c>
      <c r="Z6" s="31">
        <f t="shared" si="1"/>
        <v>4.2422863666904273E-2</v>
      </c>
      <c r="AA6" s="30">
        <f t="shared" si="2"/>
        <v>5810.4869754007632</v>
      </c>
      <c r="AB6" s="30">
        <f t="shared" si="3"/>
        <v>24549.686975400833</v>
      </c>
      <c r="AC6" s="30">
        <f t="shared" si="4"/>
        <v>11116.400000000023</v>
      </c>
      <c r="AD6" s="31">
        <f t="shared" si="5"/>
        <v>3.1276233452869631E-2</v>
      </c>
      <c r="AE6" s="30">
        <f t="shared" si="6"/>
        <v>217.07050894329612</v>
      </c>
      <c r="AF6" s="30">
        <f t="shared" si="7"/>
        <v>11333.470508943319</v>
      </c>
      <c r="AG6" s="30">
        <f t="shared" si="8"/>
        <v>14537.599999999977</v>
      </c>
      <c r="AH6" s="31">
        <f t="shared" si="9"/>
        <v>5.0106051766441881E-2</v>
      </c>
      <c r="AI6" s="30">
        <f t="shared" si="10"/>
        <v>4714.4979520646884</v>
      </c>
      <c r="AJ6" s="30">
        <f t="shared" si="11"/>
        <v>19252.097952064665</v>
      </c>
      <c r="AK6" s="30">
        <f t="shared" si="12"/>
        <v>7099.4399999999441</v>
      </c>
      <c r="AL6" s="31">
        <f t="shared" si="13"/>
        <v>1.7262221376711788E-2</v>
      </c>
      <c r="AM6" s="30">
        <f t="shared" si="14"/>
        <v>715.09856835197525</v>
      </c>
      <c r="AN6" s="30">
        <f t="shared" si="15"/>
        <v>7814.5385683519198</v>
      </c>
      <c r="AO6" s="30">
        <f t="shared" si="16"/>
        <v>22272.960000000079</v>
      </c>
      <c r="AP6" s="31">
        <f t="shared" si="17"/>
        <v>6.1498735122293785E-2</v>
      </c>
      <c r="AQ6" s="30">
        <f t="shared" si="18"/>
        <v>5358.2371942411519</v>
      </c>
      <c r="AR6" s="30">
        <f t="shared" si="19"/>
        <v>27631.197194241231</v>
      </c>
      <c r="AS6" s="92">
        <f t="shared" si="20"/>
        <v>3934.1599999999162</v>
      </c>
      <c r="AT6" s="93">
        <f t="shared" si="21"/>
        <v>8.3053559704117461E-3</v>
      </c>
      <c r="AU6" s="94">
        <f t="shared" si="22"/>
        <v>983.96450750701479</v>
      </c>
      <c r="AV6" s="94">
        <f t="shared" si="23"/>
        <v>4918.124507506931</v>
      </c>
      <c r="AW6" s="103">
        <f t="shared" si="24"/>
        <v>10260.960000000079</v>
      </c>
      <c r="AX6" s="93">
        <f t="shared" si="25"/>
        <v>2.2120843311663502E-2</v>
      </c>
      <c r="AY6" s="103">
        <f t="shared" si="26"/>
        <v>2285.8496013155896</v>
      </c>
      <c r="AZ6" s="103">
        <f t="shared" si="27"/>
        <v>12546.809601315668</v>
      </c>
      <c r="BA6" s="103">
        <f t="shared" si="28"/>
        <v>10944.719999999972</v>
      </c>
      <c r="BB6" s="90">
        <f t="shared" si="30"/>
        <v>3.1157128493548517E-2</v>
      </c>
      <c r="BC6" s="103">
        <f t="shared" si="31"/>
        <v>2693.2224985536172</v>
      </c>
      <c r="BD6" s="103">
        <f t="shared" si="29"/>
        <v>13637.94249855359</v>
      </c>
      <c r="BE6" s="103">
        <f t="shared" si="32"/>
        <v>13460.400000000023</v>
      </c>
      <c r="BF6" s="93">
        <f t="shared" si="33"/>
        <v>3.4913298150109344E-2</v>
      </c>
      <c r="BG6" s="103">
        <f t="shared" si="34"/>
        <v>2712.9758882492292</v>
      </c>
      <c r="BH6" s="103">
        <f t="shared" si="35"/>
        <v>16173.375888249253</v>
      </c>
      <c r="BI6" s="103">
        <f t="shared" si="36"/>
        <v>5535.8399999999674</v>
      </c>
      <c r="BJ6" s="90">
        <f t="shared" si="37"/>
        <v>1.1493411661868857E-2</v>
      </c>
      <c r="BK6" s="102">
        <f t="shared" si="38"/>
        <v>1295.6485038166297</v>
      </c>
      <c r="BL6" s="102">
        <f t="shared" si="39"/>
        <v>6831.4885038165976</v>
      </c>
      <c r="BM6" s="94">
        <f t="shared" si="40"/>
        <v>5827.9200000000419</v>
      </c>
      <c r="BN6" s="90">
        <f t="shared" si="41"/>
        <v>1.5037374762402836E-2</v>
      </c>
      <c r="BO6" s="94">
        <f t="shared" si="42"/>
        <v>1476.033669594264</v>
      </c>
      <c r="BP6" s="94">
        <f t="shared" si="43"/>
        <v>7303.9536695943061</v>
      </c>
      <c r="BQ6" s="94">
        <f t="shared" si="44"/>
        <v>12424.479999999981</v>
      </c>
      <c r="BR6" s="90">
        <f t="shared" si="45"/>
        <v>2.3601970202068084E-2</v>
      </c>
      <c r="BS6" s="94">
        <f t="shared" si="46"/>
        <v>2684.4628366751144</v>
      </c>
      <c r="BT6" s="94">
        <f t="shared" si="47"/>
        <v>15108.942836675096</v>
      </c>
    </row>
    <row r="7" spans="1:72" ht="40.5" hidden="1">
      <c r="A7" s="16">
        <v>4</v>
      </c>
      <c r="B7" s="16" t="s">
        <v>49</v>
      </c>
      <c r="C7" s="17" t="s">
        <v>50</v>
      </c>
      <c r="D7" s="13" t="s">
        <v>41</v>
      </c>
      <c r="E7" s="20" t="s">
        <v>49</v>
      </c>
      <c r="F7" s="54" t="s">
        <v>51</v>
      </c>
      <c r="G7" s="55" t="s">
        <v>52</v>
      </c>
      <c r="H7" s="53">
        <v>108339.36</v>
      </c>
      <c r="I7" s="53">
        <v>200938.38</v>
      </c>
      <c r="J7" s="53">
        <v>205176.51</v>
      </c>
      <c r="K7" s="53">
        <v>92599.02</v>
      </c>
      <c r="L7" s="53">
        <v>4238.13</v>
      </c>
      <c r="M7" s="53">
        <v>207332.65</v>
      </c>
      <c r="N7" s="53">
        <v>215194.73</v>
      </c>
      <c r="O7" s="53">
        <v>222641.13</v>
      </c>
      <c r="P7" s="53">
        <v>229884.55</v>
      </c>
      <c r="Q7" s="53">
        <v>238873.9</v>
      </c>
      <c r="R7" s="53">
        <v>245959.05</v>
      </c>
      <c r="S7" s="53">
        <v>252787.55</v>
      </c>
      <c r="T7" s="71">
        <v>260120.12</v>
      </c>
      <c r="U7" s="34">
        <v>268882.08</v>
      </c>
      <c r="V7" s="34">
        <v>276535.56</v>
      </c>
      <c r="W7" s="72">
        <v>282975.06</v>
      </c>
      <c r="X7" s="72">
        <v>292377.08</v>
      </c>
      <c r="Y7" s="30">
        <f t="shared" si="0"/>
        <v>6394.2699999999895</v>
      </c>
      <c r="Z7" s="31">
        <f t="shared" si="1"/>
        <v>1.4475711047396608E-2</v>
      </c>
      <c r="AA7" s="30">
        <f t="shared" si="2"/>
        <v>1982.6792260179539</v>
      </c>
      <c r="AB7" s="30">
        <f t="shared" si="3"/>
        <v>8376.9492260179431</v>
      </c>
      <c r="AC7" s="30">
        <f t="shared" si="4"/>
        <v>7862.0800000000163</v>
      </c>
      <c r="AD7" s="31">
        <f t="shared" si="5"/>
        <v>2.2120133272024872E-2</v>
      </c>
      <c r="AE7" s="30">
        <f t="shared" si="6"/>
        <v>153.52323656515685</v>
      </c>
      <c r="AF7" s="30">
        <f t="shared" si="7"/>
        <v>8015.6032365651736</v>
      </c>
      <c r="AG7" s="30">
        <f t="shared" si="8"/>
        <v>7446.3999999999942</v>
      </c>
      <c r="AH7" s="31">
        <f t="shared" si="9"/>
        <v>2.5665151323026714E-2</v>
      </c>
      <c r="AI7" s="30">
        <f t="shared" si="10"/>
        <v>2414.8440973925908</v>
      </c>
      <c r="AJ7" s="30">
        <f t="shared" si="11"/>
        <v>9861.2440973925841</v>
      </c>
      <c r="AK7" s="30">
        <f t="shared" si="12"/>
        <v>7243.4199999999837</v>
      </c>
      <c r="AL7" s="31">
        <f t="shared" si="13"/>
        <v>1.761230738825913E-2</v>
      </c>
      <c r="AM7" s="30">
        <f t="shared" si="14"/>
        <v>729.60110543537144</v>
      </c>
      <c r="AN7" s="30">
        <f t="shared" si="15"/>
        <v>7973.0211054353549</v>
      </c>
      <c r="AO7" s="30">
        <f t="shared" si="16"/>
        <v>8989.3500000000058</v>
      </c>
      <c r="AP7" s="31">
        <f t="shared" si="17"/>
        <v>2.4820843505829044E-2</v>
      </c>
      <c r="AQ7" s="30">
        <f t="shared" si="18"/>
        <v>2162.5805246384657</v>
      </c>
      <c r="AR7" s="30">
        <f t="shared" si="19"/>
        <v>11151.930524638472</v>
      </c>
      <c r="AS7" s="92">
        <f t="shared" si="20"/>
        <v>7085.1499999999942</v>
      </c>
      <c r="AT7" s="93">
        <f t="shared" si="21"/>
        <v>1.495737154913984E-2</v>
      </c>
      <c r="AU7" s="94">
        <f t="shared" si="22"/>
        <v>1772.0520086533006</v>
      </c>
      <c r="AV7" s="94">
        <f t="shared" si="23"/>
        <v>8857.2020086532939</v>
      </c>
      <c r="AW7" s="103">
        <f t="shared" si="24"/>
        <v>6828.5</v>
      </c>
      <c r="AX7" s="93">
        <f t="shared" si="25"/>
        <v>1.4721057148034206E-2</v>
      </c>
      <c r="AY7" s="103">
        <f t="shared" si="26"/>
        <v>1521.1952880221131</v>
      </c>
      <c r="AZ7" s="103">
        <f t="shared" si="27"/>
        <v>8349.6952880221124</v>
      </c>
      <c r="BA7" s="103">
        <f t="shared" si="28"/>
        <v>7332.570000000007</v>
      </c>
      <c r="BB7" s="90">
        <f t="shared" si="30"/>
        <v>2.0874159017127879E-2</v>
      </c>
      <c r="BC7" s="103">
        <f t="shared" si="31"/>
        <v>1804.362514182123</v>
      </c>
      <c r="BD7" s="103">
        <f t="shared" si="29"/>
        <v>9136.93251418213</v>
      </c>
      <c r="BE7" s="103">
        <f t="shared" si="32"/>
        <v>8761.960000000021</v>
      </c>
      <c r="BF7" s="93">
        <f t="shared" si="33"/>
        <v>2.2726584786435192E-2</v>
      </c>
      <c r="BG7" s="103">
        <f t="shared" si="34"/>
        <v>1765.994042807363</v>
      </c>
      <c r="BH7" s="103">
        <f t="shared" si="35"/>
        <v>10527.954042807383</v>
      </c>
      <c r="BI7" s="103">
        <f t="shared" si="36"/>
        <v>7653.4799999999814</v>
      </c>
      <c r="BJ7" s="90">
        <f t="shared" si="37"/>
        <v>1.5890017826721937E-2</v>
      </c>
      <c r="BK7" s="102">
        <f t="shared" si="38"/>
        <v>1791.2764659004836</v>
      </c>
      <c r="BL7" s="102">
        <f t="shared" si="39"/>
        <v>9444.7564659004656</v>
      </c>
      <c r="BM7" s="94">
        <f t="shared" si="40"/>
        <v>6439.5</v>
      </c>
      <c r="BN7" s="90">
        <f t="shared" si="41"/>
        <v>1.6615391903542321E-2</v>
      </c>
      <c r="BO7" s="94">
        <f t="shared" si="42"/>
        <v>1630.9281553885767</v>
      </c>
      <c r="BP7" s="94">
        <f t="shared" si="43"/>
        <v>8070.4281553885767</v>
      </c>
      <c r="BQ7" s="94">
        <f t="shared" si="44"/>
        <v>9402.0200000000186</v>
      </c>
      <c r="BR7" s="90">
        <f t="shared" si="45"/>
        <v>1.7860401069441048E-2</v>
      </c>
      <c r="BS7" s="94">
        <f t="shared" si="46"/>
        <v>2031.4229070090855</v>
      </c>
      <c r="BT7" s="94">
        <f t="shared" si="47"/>
        <v>11433.442907009105</v>
      </c>
    </row>
    <row r="8" spans="1:72" ht="13.5" hidden="1">
      <c r="A8" s="11">
        <v>5</v>
      </c>
      <c r="B8" s="16" t="s">
        <v>39</v>
      </c>
      <c r="C8" s="17" t="s">
        <v>40</v>
      </c>
      <c r="D8" s="13" t="s">
        <v>41</v>
      </c>
      <c r="E8" s="18" t="s">
        <v>42</v>
      </c>
      <c r="F8" s="54" t="s">
        <v>53</v>
      </c>
      <c r="G8" s="55" t="s">
        <v>54</v>
      </c>
      <c r="H8" s="53">
        <v>17570.45</v>
      </c>
      <c r="I8" s="53">
        <v>18288.05</v>
      </c>
      <c r="J8" s="53">
        <v>18314.55</v>
      </c>
      <c r="K8" s="53">
        <v>717.6</v>
      </c>
      <c r="L8" s="53">
        <v>26.5</v>
      </c>
      <c r="M8" s="53">
        <v>18346.75</v>
      </c>
      <c r="N8" s="53">
        <v>18389.05</v>
      </c>
      <c r="O8" s="53">
        <v>18433.25</v>
      </c>
      <c r="P8" s="53">
        <v>18451.7</v>
      </c>
      <c r="Q8" s="53">
        <v>18518.2</v>
      </c>
      <c r="R8" s="53">
        <v>18547.45</v>
      </c>
      <c r="S8" s="53">
        <v>18597.7</v>
      </c>
      <c r="T8" s="71">
        <v>18643.8</v>
      </c>
      <c r="U8" s="34">
        <v>18709.45</v>
      </c>
      <c r="V8" s="34">
        <v>18737.95</v>
      </c>
      <c r="W8" s="72">
        <v>18766.060000000001</v>
      </c>
      <c r="X8" s="72">
        <v>18944.650000000001</v>
      </c>
      <c r="Y8" s="30">
        <f t="shared" si="0"/>
        <v>58.700000000000728</v>
      </c>
      <c r="Z8" s="31">
        <f t="shared" si="1"/>
        <v>1.3288838889852835E-4</v>
      </c>
      <c r="AA8" s="30">
        <f t="shared" si="2"/>
        <v>18.201181771688642</v>
      </c>
      <c r="AB8" s="30">
        <f t="shared" si="3"/>
        <v>76.901181771689366</v>
      </c>
      <c r="AC8" s="30">
        <f t="shared" si="4"/>
        <v>42.299999999999272</v>
      </c>
      <c r="AD8" s="31">
        <f t="shared" si="5"/>
        <v>1.1901197105684934E-4</v>
      </c>
      <c r="AE8" s="30">
        <f t="shared" si="6"/>
        <v>0.82599425428207418</v>
      </c>
      <c r="AF8" s="30">
        <f t="shared" si="7"/>
        <v>43.125994254281345</v>
      </c>
      <c r="AG8" s="30">
        <f t="shared" si="8"/>
        <v>44.200000000000728</v>
      </c>
      <c r="AH8" s="31">
        <f t="shared" si="9"/>
        <v>1.5234202950120869E-4</v>
      </c>
      <c r="AI8" s="30">
        <f t="shared" si="10"/>
        <v>14.333920969160179</v>
      </c>
      <c r="AJ8" s="30">
        <f t="shared" si="11"/>
        <v>58.533920969160903</v>
      </c>
      <c r="AK8" s="30">
        <f t="shared" si="12"/>
        <v>18.450000000000728</v>
      </c>
      <c r="AL8" s="31">
        <f t="shared" si="13"/>
        <v>4.4861000924065494E-5</v>
      </c>
      <c r="AM8" s="30">
        <f t="shared" si="14"/>
        <v>1.8583956743200261</v>
      </c>
      <c r="AN8" s="30">
        <f t="shared" si="15"/>
        <v>20.308395674320753</v>
      </c>
      <c r="AO8" s="30">
        <f t="shared" si="16"/>
        <v>66.5</v>
      </c>
      <c r="AP8" s="31">
        <f t="shared" si="17"/>
        <v>1.8361573341093966E-4</v>
      </c>
      <c r="AQ8" s="30">
        <f t="shared" si="18"/>
        <v>15.997998174334949</v>
      </c>
      <c r="AR8" s="30">
        <f t="shared" si="19"/>
        <v>82.497998174334953</v>
      </c>
      <c r="AS8" s="92">
        <f t="shared" si="20"/>
        <v>29.25</v>
      </c>
      <c r="AT8" s="93">
        <f t="shared" si="21"/>
        <v>6.1749309162451141E-5</v>
      </c>
      <c r="AU8" s="94">
        <f t="shared" si="22"/>
        <v>7.3156561615645526</v>
      </c>
      <c r="AV8" s="94">
        <f t="shared" si="23"/>
        <v>36.565656161564554</v>
      </c>
      <c r="AW8" s="103">
        <f t="shared" si="24"/>
        <v>50.25</v>
      </c>
      <c r="AX8" s="93">
        <f t="shared" si="25"/>
        <v>1.0833025140055925E-4</v>
      </c>
      <c r="AY8" s="103">
        <f t="shared" si="26"/>
        <v>11.194268612888802</v>
      </c>
      <c r="AZ8" s="103">
        <f t="shared" si="27"/>
        <v>61.444268612888806</v>
      </c>
      <c r="BA8" s="103">
        <f t="shared" si="28"/>
        <v>46.099999999998545</v>
      </c>
      <c r="BB8" s="90">
        <f t="shared" si="30"/>
        <v>1.3123621468183241E-4</v>
      </c>
      <c r="BC8" s="103">
        <f t="shared" si="31"/>
        <v>11.344059709459733</v>
      </c>
      <c r="BD8" s="103">
        <f t="shared" si="29"/>
        <v>57.44405970945828</v>
      </c>
      <c r="BE8" s="103">
        <f t="shared" si="32"/>
        <v>65.650000000001455</v>
      </c>
      <c r="BF8" s="93">
        <f t="shared" si="33"/>
        <v>1.7028156841956594E-4</v>
      </c>
      <c r="BG8" s="103">
        <f t="shared" si="34"/>
        <v>13.231914880951942</v>
      </c>
      <c r="BH8" s="103">
        <f t="shared" si="35"/>
        <v>78.881914880953403</v>
      </c>
      <c r="BI8" s="103">
        <f t="shared" si="36"/>
        <v>28.5</v>
      </c>
      <c r="BJ8" s="90">
        <f t="shared" si="37"/>
        <v>5.9171188539275765E-5</v>
      </c>
      <c r="BK8" s="102">
        <f t="shared" si="38"/>
        <v>6.6703485575403487</v>
      </c>
      <c r="BL8" s="102">
        <f t="shared" si="39"/>
        <v>35.17034855754035</v>
      </c>
      <c r="BM8" s="94">
        <f t="shared" si="40"/>
        <v>28.110000000000582</v>
      </c>
      <c r="BN8" s="90">
        <f t="shared" si="41"/>
        <v>7.2530268873139897E-5</v>
      </c>
      <c r="BO8" s="94">
        <f t="shared" si="42"/>
        <v>7.1194021970609285</v>
      </c>
      <c r="BP8" s="94">
        <f t="shared" si="43"/>
        <v>35.229402197061511</v>
      </c>
      <c r="BQ8" s="94">
        <f t="shared" si="44"/>
        <v>178.59000000000015</v>
      </c>
      <c r="BR8" s="90">
        <f t="shared" si="45"/>
        <v>3.3925571600480249E-4</v>
      </c>
      <c r="BS8" s="94">
        <f t="shared" si="46"/>
        <v>38.586582134770204</v>
      </c>
      <c r="BT8" s="94">
        <f t="shared" si="47"/>
        <v>217.17658213477034</v>
      </c>
    </row>
    <row r="9" spans="1:72" ht="40.5" hidden="1">
      <c r="A9" s="16">
        <v>6</v>
      </c>
      <c r="B9" s="16" t="s">
        <v>49</v>
      </c>
      <c r="C9" s="17" t="s">
        <v>50</v>
      </c>
      <c r="D9" s="13" t="s">
        <v>41</v>
      </c>
      <c r="E9" s="20" t="s">
        <v>49</v>
      </c>
      <c r="F9" s="54" t="s">
        <v>55</v>
      </c>
      <c r="G9" s="55" t="s">
        <v>56</v>
      </c>
      <c r="H9" s="53">
        <v>36348.120000000003</v>
      </c>
      <c r="I9" s="53">
        <v>66063.679999999993</v>
      </c>
      <c r="J9" s="53">
        <v>67099.02</v>
      </c>
      <c r="K9" s="53">
        <v>29715.56</v>
      </c>
      <c r="L9" s="53">
        <v>1035.3399999999999</v>
      </c>
      <c r="M9" s="53">
        <v>67403.03</v>
      </c>
      <c r="N9" s="53">
        <v>69293.63</v>
      </c>
      <c r="O9" s="53">
        <v>71101.429999999993</v>
      </c>
      <c r="P9" s="53">
        <v>72963.47</v>
      </c>
      <c r="Q9" s="53">
        <v>75226.070000000007</v>
      </c>
      <c r="R9" s="53">
        <v>77370.600000000006</v>
      </c>
      <c r="S9" s="53">
        <v>79294.490000000005</v>
      </c>
      <c r="T9" s="71">
        <v>81242.69</v>
      </c>
      <c r="U9" s="34">
        <v>83585.39</v>
      </c>
      <c r="V9" s="34">
        <v>86255.28</v>
      </c>
      <c r="W9" s="72">
        <v>89046.41</v>
      </c>
      <c r="X9" s="72">
        <v>91991.54</v>
      </c>
      <c r="Y9" s="30">
        <f t="shared" si="0"/>
        <v>1339.3500000000058</v>
      </c>
      <c r="Z9" s="31">
        <f t="shared" si="1"/>
        <v>3.032096485029685E-3</v>
      </c>
      <c r="AA9" s="30">
        <f t="shared" si="2"/>
        <v>415.29391492182259</v>
      </c>
      <c r="AB9" s="30">
        <f t="shared" si="3"/>
        <v>1754.6439149218284</v>
      </c>
      <c r="AC9" s="30">
        <f t="shared" si="4"/>
        <v>1890.6000000000058</v>
      </c>
      <c r="AD9" s="31">
        <f t="shared" si="5"/>
        <v>5.3192442666686506E-3</v>
      </c>
      <c r="AE9" s="30">
        <f t="shared" si="6"/>
        <v>36.917842485714445</v>
      </c>
      <c r="AF9" s="30">
        <f t="shared" si="7"/>
        <v>1927.5178424857202</v>
      </c>
      <c r="AG9" s="30">
        <f t="shared" si="8"/>
        <v>1807.7999999999884</v>
      </c>
      <c r="AH9" s="31">
        <f t="shared" si="9"/>
        <v>6.2308579396443157E-3</v>
      </c>
      <c r="AI9" s="30">
        <f t="shared" si="10"/>
        <v>586.26385357572804</v>
      </c>
      <c r="AJ9" s="30">
        <f t="shared" si="11"/>
        <v>2394.0638535757162</v>
      </c>
      <c r="AK9" s="30">
        <f t="shared" si="12"/>
        <v>1862.0400000000081</v>
      </c>
      <c r="AL9" s="31">
        <f t="shared" si="13"/>
        <v>4.5275326916338204E-3</v>
      </c>
      <c r="AM9" s="30">
        <f t="shared" si="14"/>
        <v>187.55593937185583</v>
      </c>
      <c r="AN9" s="30">
        <f t="shared" si="15"/>
        <v>2049.595939371864</v>
      </c>
      <c r="AO9" s="30">
        <f t="shared" si="16"/>
        <v>2262.6000000000058</v>
      </c>
      <c r="AP9" s="31">
        <f t="shared" si="17"/>
        <v>6.2473527581292194E-3</v>
      </c>
      <c r="AQ9" s="30">
        <f t="shared" si="18"/>
        <v>544.31685216917811</v>
      </c>
      <c r="AR9" s="30">
        <f t="shared" si="19"/>
        <v>2806.916852169184</v>
      </c>
      <c r="AS9" s="92">
        <f t="shared" si="20"/>
        <v>2144.5299999999988</v>
      </c>
      <c r="AT9" s="93">
        <f t="shared" si="21"/>
        <v>4.5272904607914959E-3</v>
      </c>
      <c r="AU9" s="94">
        <f t="shared" si="22"/>
        <v>536.36390113367588</v>
      </c>
      <c r="AV9" s="94">
        <f t="shared" si="23"/>
        <v>2680.8939011336747</v>
      </c>
      <c r="AW9" s="103">
        <f t="shared" si="24"/>
        <v>1923.8899999999994</v>
      </c>
      <c r="AX9" s="93">
        <f t="shared" si="25"/>
        <v>4.1475718879009325E-3</v>
      </c>
      <c r="AY9" s="103">
        <f t="shared" si="26"/>
        <v>428.58788938608217</v>
      </c>
      <c r="AZ9" s="103">
        <f t="shared" si="27"/>
        <v>2352.4778893860816</v>
      </c>
      <c r="BA9" s="103">
        <f t="shared" si="28"/>
        <v>1948.1999999999971</v>
      </c>
      <c r="BB9" s="90">
        <f t="shared" si="30"/>
        <v>5.5460822872701434E-3</v>
      </c>
      <c r="BC9" s="103">
        <f t="shared" si="31"/>
        <v>479.40340837245378</v>
      </c>
      <c r="BD9" s="103">
        <f t="shared" si="29"/>
        <v>2427.6034083724508</v>
      </c>
      <c r="BE9" s="103">
        <f t="shared" si="32"/>
        <v>2342.6999999999971</v>
      </c>
      <c r="BF9" s="93">
        <f t="shared" si="33"/>
        <v>6.076445245034391E-3</v>
      </c>
      <c r="BG9" s="103">
        <f t="shared" si="34"/>
        <v>472.17680109071426</v>
      </c>
      <c r="BH9" s="103">
        <f t="shared" si="35"/>
        <v>2814.8768010907115</v>
      </c>
      <c r="BI9" s="103">
        <f t="shared" si="36"/>
        <v>2669.8899999999994</v>
      </c>
      <c r="BJ9" s="90">
        <f t="shared" si="37"/>
        <v>5.543177704179893E-3</v>
      </c>
      <c r="BK9" s="102">
        <f t="shared" si="38"/>
        <v>624.88059334355785</v>
      </c>
      <c r="BL9" s="102">
        <f t="shared" si="39"/>
        <v>3294.7705933435573</v>
      </c>
      <c r="BM9" s="94">
        <f t="shared" si="40"/>
        <v>2791.1300000000047</v>
      </c>
      <c r="BN9" s="90">
        <f t="shared" si="41"/>
        <v>7.2017577146881217E-3</v>
      </c>
      <c r="BO9" s="94">
        <f t="shared" si="42"/>
        <v>706.90775717830979</v>
      </c>
      <c r="BP9" s="94">
        <f t="shared" si="43"/>
        <v>3498.0377571783147</v>
      </c>
      <c r="BQ9" s="94">
        <f t="shared" si="44"/>
        <v>2945.1299999999901</v>
      </c>
      <c r="BR9" s="90">
        <f t="shared" si="45"/>
        <v>5.5946704007907491E-3</v>
      </c>
      <c r="BS9" s="94">
        <f t="shared" si="46"/>
        <v>636.3318250886125</v>
      </c>
      <c r="BT9" s="94">
        <f t="shared" si="47"/>
        <v>3581.4618250886024</v>
      </c>
    </row>
    <row r="10" spans="1:72" ht="13.5" hidden="1">
      <c r="A10" s="11">
        <v>7</v>
      </c>
      <c r="B10" s="16" t="s">
        <v>39</v>
      </c>
      <c r="C10" s="17" t="s">
        <v>40</v>
      </c>
      <c r="D10" s="13" t="s">
        <v>41</v>
      </c>
      <c r="E10" s="18" t="s">
        <v>42</v>
      </c>
      <c r="F10" s="56" t="s">
        <v>57</v>
      </c>
      <c r="G10" s="57" t="s">
        <v>58</v>
      </c>
      <c r="H10" s="53">
        <v>107549.25</v>
      </c>
      <c r="I10" s="53">
        <v>27589.8</v>
      </c>
      <c r="J10" s="53">
        <v>160781.32999999999</v>
      </c>
      <c r="K10" s="53">
        <v>50761.74</v>
      </c>
      <c r="L10" s="53">
        <v>2470.34</v>
      </c>
      <c r="M10" s="53">
        <v>28538.400000000001</v>
      </c>
      <c r="N10" s="53">
        <v>29842.799999999999</v>
      </c>
      <c r="O10" s="53">
        <v>30793.8</v>
      </c>
      <c r="P10" s="53">
        <v>31824.6</v>
      </c>
      <c r="Q10" s="53">
        <v>32515.8</v>
      </c>
      <c r="R10" s="53">
        <v>33285</v>
      </c>
      <c r="S10" s="73">
        <v>34080</v>
      </c>
      <c r="T10" s="74">
        <v>34970.400000000001</v>
      </c>
      <c r="U10" s="34">
        <v>35949</v>
      </c>
      <c r="V10" s="34">
        <v>36898.199999999997</v>
      </c>
      <c r="W10" s="72">
        <v>37588.800000000003</v>
      </c>
      <c r="X10" s="72">
        <v>38508.6</v>
      </c>
      <c r="Y10" s="30">
        <f t="shared" si="0"/>
        <v>948.60000000000218</v>
      </c>
      <c r="Z10" s="31">
        <f t="shared" si="1"/>
        <v>2.1474944754538792E-3</v>
      </c>
      <c r="AA10" s="30">
        <f t="shared" si="2"/>
        <v>294.13357800040325</v>
      </c>
      <c r="AB10" s="30">
        <f t="shared" si="3"/>
        <v>1242.7335780004055</v>
      </c>
      <c r="AC10" s="30">
        <f t="shared" si="4"/>
        <v>1304.3999999999978</v>
      </c>
      <c r="AD10" s="31">
        <f t="shared" si="5"/>
        <v>3.6699578025190705E-3</v>
      </c>
      <c r="AE10" s="30">
        <f t="shared" si="6"/>
        <v>25.471085231336978</v>
      </c>
      <c r="AF10" s="30">
        <f t="shared" si="7"/>
        <v>1329.8710852313347</v>
      </c>
      <c r="AG10" s="30">
        <f t="shared" si="8"/>
        <v>951</v>
      </c>
      <c r="AH10" s="31">
        <f t="shared" si="9"/>
        <v>3.2777662908517434E-3</v>
      </c>
      <c r="AI10" s="30">
        <f t="shared" si="10"/>
        <v>308.40630863509284</v>
      </c>
      <c r="AJ10" s="30">
        <f t="shared" si="11"/>
        <v>1259.406308635093</v>
      </c>
      <c r="AK10" s="30">
        <f t="shared" si="12"/>
        <v>1030.7999999999993</v>
      </c>
      <c r="AL10" s="31">
        <f t="shared" si="13"/>
        <v>2.506380474391591E-3</v>
      </c>
      <c r="AM10" s="30">
        <f t="shared" si="14"/>
        <v>103.82841523517646</v>
      </c>
      <c r="AN10" s="30">
        <f t="shared" si="15"/>
        <v>1134.6284152351757</v>
      </c>
      <c r="AO10" s="30">
        <f t="shared" si="16"/>
        <v>691.20000000000073</v>
      </c>
      <c r="AP10" s="31">
        <f t="shared" si="17"/>
        <v>1.9084991719344603E-3</v>
      </c>
      <c r="AQ10" s="30">
        <f t="shared" si="18"/>
        <v>166.28295245263649</v>
      </c>
      <c r="AR10" s="30">
        <f t="shared" si="19"/>
        <v>857.48295245263716</v>
      </c>
      <c r="AS10" s="92">
        <f t="shared" si="20"/>
        <v>769.20000000000073</v>
      </c>
      <c r="AT10" s="95">
        <f t="shared" si="21"/>
        <v>1.6238484994105114E-3</v>
      </c>
      <c r="AU10" s="94">
        <f t="shared" si="22"/>
        <v>192.38299895642592</v>
      </c>
      <c r="AV10" s="94">
        <f t="shared" si="23"/>
        <v>961.58299895642665</v>
      </c>
      <c r="AW10" s="103">
        <f t="shared" si="24"/>
        <v>795</v>
      </c>
      <c r="AX10" s="95">
        <f t="shared" si="25"/>
        <v>1.7138815893222806E-3</v>
      </c>
      <c r="AY10" s="103">
        <f t="shared" si="26"/>
        <v>177.10335417406165</v>
      </c>
      <c r="AZ10" s="103">
        <f t="shared" si="27"/>
        <v>972.10335417406168</v>
      </c>
      <c r="BA10" s="103">
        <f t="shared" si="28"/>
        <v>890.40000000000146</v>
      </c>
      <c r="BB10" s="104">
        <f t="shared" si="30"/>
        <v>2.5347662809697934E-3</v>
      </c>
      <c r="BC10" s="103">
        <f t="shared" si="31"/>
        <v>219.10522267469162</v>
      </c>
      <c r="BD10" s="103">
        <f t="shared" si="29"/>
        <v>1109.505222674693</v>
      </c>
      <c r="BE10" s="103">
        <f t="shared" si="32"/>
        <v>978.59999999999854</v>
      </c>
      <c r="BF10" s="95">
        <f t="shared" si="33"/>
        <v>2.5382717875915197E-3</v>
      </c>
      <c r="BG10" s="103">
        <f t="shared" si="34"/>
        <v>197.23917597104744</v>
      </c>
      <c r="BH10" s="103">
        <f t="shared" si="35"/>
        <v>1175.839175971046</v>
      </c>
      <c r="BI10" s="103">
        <f t="shared" si="36"/>
        <v>949.19999999999709</v>
      </c>
      <c r="BJ10" s="104">
        <f t="shared" si="37"/>
        <v>1.9707120056659784E-3</v>
      </c>
      <c r="BK10" s="102">
        <f t="shared" si="38"/>
        <v>222.15771406376419</v>
      </c>
      <c r="BL10" s="102">
        <f t="shared" si="39"/>
        <v>1171.3577140637613</v>
      </c>
      <c r="BM10" s="94">
        <f t="shared" si="40"/>
        <v>690.60000000000582</v>
      </c>
      <c r="BN10" s="104">
        <f t="shared" si="41"/>
        <v>1.7819069257840553E-3</v>
      </c>
      <c r="BO10" s="94">
        <f t="shared" si="42"/>
        <v>174.90783199182556</v>
      </c>
      <c r="BP10" s="94">
        <f t="shared" si="43"/>
        <v>865.50783199183138</v>
      </c>
      <c r="BQ10" s="94">
        <f t="shared" si="44"/>
        <v>919.79999999999563</v>
      </c>
      <c r="BR10" s="90">
        <f t="shared" si="45"/>
        <v>1.7472837649432534E-3</v>
      </c>
      <c r="BS10" s="94">
        <f t="shared" si="46"/>
        <v>198.73418583101764</v>
      </c>
      <c r="BT10" s="94">
        <f t="shared" si="47"/>
        <v>1118.5341858310132</v>
      </c>
    </row>
    <row r="11" spans="1:72" ht="13.5" hidden="1">
      <c r="A11" s="11">
        <v>8</v>
      </c>
      <c r="B11" s="16" t="s">
        <v>49</v>
      </c>
      <c r="C11" s="17" t="s">
        <v>50</v>
      </c>
      <c r="D11" s="13" t="s">
        <v>41</v>
      </c>
      <c r="E11" s="20" t="s">
        <v>49</v>
      </c>
      <c r="F11" s="56" t="s">
        <v>59</v>
      </c>
      <c r="G11" s="57" t="s">
        <v>60</v>
      </c>
      <c r="H11" s="53"/>
      <c r="I11" s="53">
        <v>130565.93</v>
      </c>
      <c r="J11" s="53"/>
      <c r="K11" s="53"/>
      <c r="L11" s="53"/>
      <c r="M11" s="53">
        <v>133055.03</v>
      </c>
      <c r="N11" s="53">
        <v>136572.96</v>
      </c>
      <c r="O11" s="53">
        <v>139700</v>
      </c>
      <c r="P11" s="53">
        <v>143449.57999999999</v>
      </c>
      <c r="Q11" s="53">
        <v>147155.38</v>
      </c>
      <c r="R11" s="53">
        <v>151703.57999999999</v>
      </c>
      <c r="S11" s="73">
        <v>155250</v>
      </c>
      <c r="T11" s="74">
        <v>159994.67000000001</v>
      </c>
      <c r="U11" s="34">
        <v>163054.98000000001</v>
      </c>
      <c r="V11" s="34">
        <v>167090.94</v>
      </c>
      <c r="W11" s="72">
        <v>170578.92</v>
      </c>
      <c r="X11" s="72">
        <v>174832.21</v>
      </c>
      <c r="Y11" s="30">
        <f t="shared" si="0"/>
        <v>2489.1000000000058</v>
      </c>
      <c r="Z11" s="31">
        <f t="shared" si="1"/>
        <v>5.634965737773826E-3</v>
      </c>
      <c r="AA11" s="30">
        <f t="shared" si="2"/>
        <v>771.79832279232949</v>
      </c>
      <c r="AB11" s="30">
        <f t="shared" si="3"/>
        <v>3260.8983227923354</v>
      </c>
      <c r="AC11" s="30">
        <f t="shared" si="4"/>
        <v>3517.929999999993</v>
      </c>
      <c r="AD11" s="31">
        <f t="shared" si="5"/>
        <v>9.8977726557926329E-3</v>
      </c>
      <c r="AE11" s="30">
        <f t="shared" si="6"/>
        <v>68.694798273441648</v>
      </c>
      <c r="AF11" s="30">
        <f t="shared" si="7"/>
        <v>3586.6247982734349</v>
      </c>
      <c r="AG11" s="30">
        <f t="shared" si="8"/>
        <v>3127.0400000000081</v>
      </c>
      <c r="AH11" s="31">
        <f t="shared" si="9"/>
        <v>1.0777819455462738E-2</v>
      </c>
      <c r="AI11" s="30">
        <f t="shared" si="10"/>
        <v>1014.089235914073</v>
      </c>
      <c r="AJ11" s="30">
        <f t="shared" si="11"/>
        <v>4141.1292359140807</v>
      </c>
      <c r="AK11" s="30">
        <f t="shared" si="12"/>
        <v>3749.5799999999872</v>
      </c>
      <c r="AL11" s="31">
        <f t="shared" si="13"/>
        <v>9.1170683926748118E-3</v>
      </c>
      <c r="AM11" s="30">
        <f t="shared" si="14"/>
        <v>377.68039309032974</v>
      </c>
      <c r="AN11" s="30">
        <f t="shared" si="15"/>
        <v>4127.2603930903169</v>
      </c>
      <c r="AO11" s="30">
        <f t="shared" si="16"/>
        <v>3705.8000000000175</v>
      </c>
      <c r="AP11" s="31">
        <f t="shared" si="17"/>
        <v>1.0232228343973885E-2</v>
      </c>
      <c r="AQ11" s="30">
        <f t="shared" si="18"/>
        <v>891.50949826241708</v>
      </c>
      <c r="AR11" s="30">
        <f t="shared" si="19"/>
        <v>4597.3094982624343</v>
      </c>
      <c r="AS11" s="92">
        <f t="shared" si="20"/>
        <v>4548.1999999999825</v>
      </c>
      <c r="AT11" s="95">
        <f t="shared" si="21"/>
        <v>9.6016481344498861E-3</v>
      </c>
      <c r="AU11" s="94">
        <f t="shared" si="22"/>
        <v>1137.5407642402654</v>
      </c>
      <c r="AV11" s="94">
        <f t="shared" si="23"/>
        <v>5685.7407642402477</v>
      </c>
      <c r="AW11" s="103">
        <f t="shared" si="24"/>
        <v>3546.4200000000128</v>
      </c>
      <c r="AX11" s="95">
        <f t="shared" si="25"/>
        <v>7.6454640830243325E-3</v>
      </c>
      <c r="AY11" s="103">
        <f t="shared" si="26"/>
        <v>790.04135510689048</v>
      </c>
      <c r="AZ11" s="103">
        <f t="shared" si="27"/>
        <v>4336.4613551069033</v>
      </c>
      <c r="BA11" s="103">
        <f t="shared" si="28"/>
        <v>4744.6700000000128</v>
      </c>
      <c r="BB11" s="104">
        <f t="shared" si="30"/>
        <v>1.3506996327862716E-2</v>
      </c>
      <c r="BC11" s="103">
        <f t="shared" si="31"/>
        <v>1167.5448976504158</v>
      </c>
      <c r="BD11" s="103">
        <f t="shared" si="29"/>
        <v>5912.2148976504286</v>
      </c>
      <c r="BE11" s="103">
        <f t="shared" si="32"/>
        <v>3060.3099999999977</v>
      </c>
      <c r="BF11" s="95">
        <f t="shared" si="33"/>
        <v>7.9377667425753213E-3</v>
      </c>
      <c r="BG11" s="103">
        <f t="shared" si="34"/>
        <v>616.81281689756452</v>
      </c>
      <c r="BH11" s="103">
        <f t="shared" si="35"/>
        <v>3677.1228168975622</v>
      </c>
      <c r="BI11" s="103">
        <f t="shared" si="36"/>
        <v>4035.9599999999919</v>
      </c>
      <c r="BJ11" s="104">
        <f t="shared" si="37"/>
        <v>8.3793877227008751E-3</v>
      </c>
      <c r="BK11" s="102">
        <f t="shared" si="38"/>
        <v>944.60561278212253</v>
      </c>
      <c r="BL11" s="102">
        <f t="shared" si="39"/>
        <v>4980.5656127821148</v>
      </c>
      <c r="BM11" s="94">
        <f t="shared" si="40"/>
        <v>3487.9800000000105</v>
      </c>
      <c r="BN11" s="104">
        <f t="shared" si="41"/>
        <v>8.9997910787666321E-3</v>
      </c>
      <c r="BO11" s="94">
        <f t="shared" si="42"/>
        <v>883.39852277851787</v>
      </c>
      <c r="BP11" s="94">
        <f t="shared" si="43"/>
        <v>4371.3785227785283</v>
      </c>
      <c r="BQ11" s="94">
        <f t="shared" si="44"/>
        <v>4253.289999999979</v>
      </c>
      <c r="BR11" s="90">
        <f t="shared" si="45"/>
        <v>8.0796961998211448E-3</v>
      </c>
      <c r="BS11" s="94">
        <f t="shared" si="46"/>
        <v>918.97600049272546</v>
      </c>
      <c r="BT11" s="94">
        <f t="shared" si="47"/>
        <v>5172.2660004927047</v>
      </c>
    </row>
    <row r="12" spans="1:72" ht="13.5" hidden="1">
      <c r="A12" s="11">
        <v>9</v>
      </c>
      <c r="B12" s="16" t="s">
        <v>49</v>
      </c>
      <c r="C12" s="17" t="s">
        <v>50</v>
      </c>
      <c r="D12" s="13" t="s">
        <v>41</v>
      </c>
      <c r="E12" s="20" t="s">
        <v>49</v>
      </c>
      <c r="F12" s="56" t="s">
        <v>61</v>
      </c>
      <c r="G12" s="57" t="s">
        <v>62</v>
      </c>
      <c r="H12" s="53">
        <v>88490.72</v>
      </c>
      <c r="I12" s="53">
        <v>113826.96</v>
      </c>
      <c r="J12" s="53">
        <v>115288.56</v>
      </c>
      <c r="K12" s="53">
        <v>25336.240000000002</v>
      </c>
      <c r="L12" s="53">
        <v>1461.6</v>
      </c>
      <c r="M12" s="53">
        <v>116295.92</v>
      </c>
      <c r="N12" s="53">
        <v>118482.32</v>
      </c>
      <c r="O12" s="53">
        <v>120829.28</v>
      </c>
      <c r="P12" s="53">
        <v>122684.72</v>
      </c>
      <c r="Q12" s="53">
        <v>125776.96000000001</v>
      </c>
      <c r="R12" s="53">
        <v>127206.32</v>
      </c>
      <c r="S12" s="53">
        <v>129159.44</v>
      </c>
      <c r="T12" s="71">
        <v>131207.35999999999</v>
      </c>
      <c r="U12" s="34">
        <v>133415.04000000001</v>
      </c>
      <c r="V12" s="34">
        <v>135165.44</v>
      </c>
      <c r="W12" s="72">
        <v>136676.64000000001</v>
      </c>
      <c r="X12" s="72">
        <v>139277.04</v>
      </c>
      <c r="Y12" s="30">
        <f t="shared" si="0"/>
        <v>2468.9599999999919</v>
      </c>
      <c r="Z12" s="31">
        <f t="shared" si="1"/>
        <v>5.5893716636270085E-3</v>
      </c>
      <c r="AA12" s="30">
        <f t="shared" si="2"/>
        <v>765.55348802432161</v>
      </c>
      <c r="AB12" s="30">
        <f t="shared" si="3"/>
        <v>3234.5134880243136</v>
      </c>
      <c r="AC12" s="30">
        <f t="shared" si="4"/>
        <v>2186.4000000000087</v>
      </c>
      <c r="AD12" s="31">
        <f t="shared" si="5"/>
        <v>6.1514840075343E-3</v>
      </c>
      <c r="AE12" s="30">
        <f t="shared" si="6"/>
        <v>42.693944150410523</v>
      </c>
      <c r="AF12" s="30">
        <f t="shared" si="7"/>
        <v>2229.0939441504192</v>
      </c>
      <c r="AG12" s="30">
        <f t="shared" si="8"/>
        <v>2346.9599999999919</v>
      </c>
      <c r="AH12" s="31">
        <f t="shared" si="9"/>
        <v>8.0891549673789507E-3</v>
      </c>
      <c r="AI12" s="30">
        <f t="shared" si="10"/>
        <v>761.11174565112003</v>
      </c>
      <c r="AJ12" s="30">
        <f t="shared" si="11"/>
        <v>3108.071745651112</v>
      </c>
      <c r="AK12" s="30">
        <f t="shared" si="12"/>
        <v>1855.4400000000023</v>
      </c>
      <c r="AL12" s="31">
        <f t="shared" si="13"/>
        <v>4.5114848539048727E-3</v>
      </c>
      <c r="AM12" s="30">
        <f t="shared" si="14"/>
        <v>186.89114742331802</v>
      </c>
      <c r="AN12" s="30">
        <f t="shared" si="15"/>
        <v>2042.3311474233203</v>
      </c>
      <c r="AO12" s="30">
        <f t="shared" si="16"/>
        <v>3092.2400000000052</v>
      </c>
      <c r="AP12" s="31">
        <f t="shared" si="17"/>
        <v>8.5381039922202244E-3</v>
      </c>
      <c r="AQ12" s="30">
        <f t="shared" si="18"/>
        <v>743.90450939256516</v>
      </c>
      <c r="AR12" s="30">
        <f t="shared" si="19"/>
        <v>3836.1445093925704</v>
      </c>
      <c r="AS12" s="92">
        <f t="shared" si="20"/>
        <v>1429.3600000000006</v>
      </c>
      <c r="AT12" s="93">
        <f t="shared" si="21"/>
        <v>3.0175040186133741E-3</v>
      </c>
      <c r="AU12" s="94">
        <f t="shared" si="22"/>
        <v>357.49423217415085</v>
      </c>
      <c r="AV12" s="94">
        <f t="shared" si="23"/>
        <v>1786.8542321741515</v>
      </c>
      <c r="AW12" s="103">
        <f t="shared" si="24"/>
        <v>1953.1199999999953</v>
      </c>
      <c r="AX12" s="93">
        <f t="shared" si="25"/>
        <v>4.2105866789146221E-3</v>
      </c>
      <c r="AY12" s="103">
        <f t="shared" si="26"/>
        <v>435.09950076030498</v>
      </c>
      <c r="AZ12" s="103">
        <f t="shared" si="27"/>
        <v>2388.2195007603004</v>
      </c>
      <c r="BA12" s="103">
        <f t="shared" si="28"/>
        <v>2047.9199999999837</v>
      </c>
      <c r="BB12" s="90">
        <f t="shared" si="30"/>
        <v>5.8299624462304685E-3</v>
      </c>
      <c r="BC12" s="103">
        <f t="shared" si="31"/>
        <v>503.94201215178589</v>
      </c>
      <c r="BD12" s="103">
        <f t="shared" si="29"/>
        <v>2551.8620121517697</v>
      </c>
      <c r="BE12" s="103">
        <f t="shared" si="32"/>
        <v>2207.6800000000221</v>
      </c>
      <c r="BF12" s="93">
        <f t="shared" si="33"/>
        <v>5.7262332516146647E-3</v>
      </c>
      <c r="BG12" s="103">
        <f t="shared" si="34"/>
        <v>444.96319641096159</v>
      </c>
      <c r="BH12" s="103">
        <f t="shared" si="35"/>
        <v>2652.6431964109838</v>
      </c>
      <c r="BI12" s="103">
        <f t="shared" si="36"/>
        <v>1750.3999999999942</v>
      </c>
      <c r="BJ12" s="90">
        <f t="shared" si="37"/>
        <v>3.6341490673385251E-3</v>
      </c>
      <c r="BK12" s="102">
        <f t="shared" si="38"/>
        <v>409.67642509188028</v>
      </c>
      <c r="BL12" s="102">
        <f t="shared" si="39"/>
        <v>2160.0764250918746</v>
      </c>
      <c r="BM12" s="94">
        <f t="shared" si="40"/>
        <v>1511.2000000000116</v>
      </c>
      <c r="BN12" s="90">
        <f t="shared" si="41"/>
        <v>3.8992437680927636E-3</v>
      </c>
      <c r="BO12" s="94">
        <f t="shared" si="42"/>
        <v>382.7406830380055</v>
      </c>
      <c r="BP12" s="94">
        <f t="shared" si="43"/>
        <v>1893.9406830380171</v>
      </c>
      <c r="BQ12" s="94">
        <f t="shared" si="44"/>
        <v>2600.3999999999942</v>
      </c>
      <c r="BR12" s="90">
        <f t="shared" si="45"/>
        <v>4.9398094176543242E-3</v>
      </c>
      <c r="BS12" s="94">
        <f t="shared" si="46"/>
        <v>561.84863756792731</v>
      </c>
      <c r="BT12" s="94">
        <f t="shared" si="47"/>
        <v>3162.2486375679214</v>
      </c>
    </row>
    <row r="13" spans="1:72" ht="13.5" hidden="1">
      <c r="A13" s="16">
        <v>10</v>
      </c>
      <c r="B13" s="16" t="s">
        <v>49</v>
      </c>
      <c r="C13" s="17" t="s">
        <v>50</v>
      </c>
      <c r="D13" s="13" t="s">
        <v>41</v>
      </c>
      <c r="E13" s="20" t="s">
        <v>49</v>
      </c>
      <c r="F13" s="56" t="s">
        <v>63</v>
      </c>
      <c r="G13" s="57" t="s">
        <v>64</v>
      </c>
      <c r="H13" s="53">
        <v>35247.370000000003</v>
      </c>
      <c r="I13" s="53">
        <v>47659.31</v>
      </c>
      <c r="J13" s="53">
        <v>48554.69</v>
      </c>
      <c r="K13" s="53">
        <v>12411.94</v>
      </c>
      <c r="L13" s="53">
        <v>895.38</v>
      </c>
      <c r="M13" s="53">
        <v>49136.69</v>
      </c>
      <c r="N13" s="53">
        <v>50513.7</v>
      </c>
      <c r="O13" s="53">
        <v>51602.07</v>
      </c>
      <c r="P13" s="53">
        <v>52068.97</v>
      </c>
      <c r="Q13" s="53">
        <v>52975.06</v>
      </c>
      <c r="R13" s="53">
        <v>53370.44</v>
      </c>
      <c r="S13" s="53">
        <v>54077.13</v>
      </c>
      <c r="T13" s="71">
        <v>55352.02</v>
      </c>
      <c r="U13" s="34">
        <v>56556.22</v>
      </c>
      <c r="V13" s="34">
        <v>57314.85</v>
      </c>
      <c r="W13" s="72">
        <v>58156.15</v>
      </c>
      <c r="X13" s="72">
        <v>59661.45</v>
      </c>
      <c r="Y13" s="30">
        <f t="shared" si="0"/>
        <v>1477.3800000000047</v>
      </c>
      <c r="Z13" s="31">
        <f t="shared" si="1"/>
        <v>3.3445766267616011E-3</v>
      </c>
      <c r="AA13" s="30">
        <f t="shared" si="2"/>
        <v>458.09304814066633</v>
      </c>
      <c r="AB13" s="30">
        <f t="shared" si="3"/>
        <v>1935.4730481406709</v>
      </c>
      <c r="AC13" s="30">
        <f t="shared" si="4"/>
        <v>1377.0099999999948</v>
      </c>
      <c r="AD13" s="31">
        <f t="shared" si="5"/>
        <v>3.8742476185577848E-3</v>
      </c>
      <c r="AE13" s="30">
        <f t="shared" si="6"/>
        <v>26.888944399266528</v>
      </c>
      <c r="AF13" s="30">
        <f t="shared" si="7"/>
        <v>1403.8989443992614</v>
      </c>
      <c r="AG13" s="30">
        <f t="shared" si="8"/>
        <v>1088.3700000000026</v>
      </c>
      <c r="AH13" s="31">
        <f t="shared" si="9"/>
        <v>3.7512329105933973E-3</v>
      </c>
      <c r="AI13" s="30">
        <f t="shared" si="10"/>
        <v>352.95496753856662</v>
      </c>
      <c r="AJ13" s="30">
        <f t="shared" si="11"/>
        <v>1441.3249675385691</v>
      </c>
      <c r="AK13" s="30">
        <f t="shared" si="12"/>
        <v>466.90000000000146</v>
      </c>
      <c r="AL13" s="31">
        <f t="shared" si="13"/>
        <v>1.1352629447937896E-3</v>
      </c>
      <c r="AM13" s="30">
        <f t="shared" si="14"/>
        <v>47.028994056367949</v>
      </c>
      <c r="AN13" s="30">
        <f t="shared" si="15"/>
        <v>513.92899405636945</v>
      </c>
      <c r="AO13" s="30">
        <f t="shared" si="16"/>
        <v>906.08999999999651</v>
      </c>
      <c r="AP13" s="31">
        <f t="shared" si="17"/>
        <v>2.5018402990423707E-3</v>
      </c>
      <c r="AQ13" s="30">
        <f t="shared" si="18"/>
        <v>217.97934083884357</v>
      </c>
      <c r="AR13" s="30">
        <f t="shared" si="19"/>
        <v>1124.0693408388402</v>
      </c>
      <c r="AS13" s="92">
        <f t="shared" si="20"/>
        <v>395.38000000000466</v>
      </c>
      <c r="AT13" s="93">
        <f t="shared" si="21"/>
        <v>8.3468177287693052E-4</v>
      </c>
      <c r="AU13" s="94">
        <f t="shared" si="22"/>
        <v>98.887662672117145</v>
      </c>
      <c r="AV13" s="94">
        <f t="shared" si="23"/>
        <v>494.26766267212179</v>
      </c>
      <c r="AW13" s="103">
        <f t="shared" si="24"/>
        <v>706.68999999999505</v>
      </c>
      <c r="AX13" s="93">
        <f t="shared" si="25"/>
        <v>1.5235006042240932E-3</v>
      </c>
      <c r="AY13" s="103">
        <f t="shared" si="26"/>
        <v>157.43040171228523</v>
      </c>
      <c r="AZ13" s="103">
        <f t="shared" si="27"/>
        <v>864.12040171228023</v>
      </c>
      <c r="BA13" s="103">
        <f t="shared" si="28"/>
        <v>1274.8899999999994</v>
      </c>
      <c r="BB13" s="90">
        <f t="shared" si="30"/>
        <v>3.6293218597771484E-3</v>
      </c>
      <c r="BC13" s="103">
        <f t="shared" si="31"/>
        <v>313.71861785235512</v>
      </c>
      <c r="BD13" s="103">
        <f t="shared" si="29"/>
        <v>1588.6086178523547</v>
      </c>
      <c r="BE13" s="103">
        <f t="shared" si="32"/>
        <v>1204.2000000000044</v>
      </c>
      <c r="BF13" s="93">
        <f t="shared" si="33"/>
        <v>3.1234282511932595E-3</v>
      </c>
      <c r="BG13" s="103">
        <f t="shared" si="34"/>
        <v>242.70939679576594</v>
      </c>
      <c r="BH13" s="103">
        <f t="shared" si="35"/>
        <v>1446.9093967957704</v>
      </c>
      <c r="BI13" s="103">
        <f t="shared" si="36"/>
        <v>758.62999999999738</v>
      </c>
      <c r="BJ13" s="90">
        <f t="shared" si="37"/>
        <v>1.5750539916333552E-3</v>
      </c>
      <c r="BK13" s="102">
        <f t="shared" si="38"/>
        <v>177.55531670901115</v>
      </c>
      <c r="BL13" s="102">
        <f t="shared" si="39"/>
        <v>936.18531670900848</v>
      </c>
      <c r="BM13" s="94">
        <f t="shared" si="40"/>
        <v>841.30000000000291</v>
      </c>
      <c r="BN13" s="90">
        <f t="shared" si="41"/>
        <v>2.1707476059399339E-3</v>
      </c>
      <c r="BO13" s="94">
        <f t="shared" si="42"/>
        <v>213.07552715714178</v>
      </c>
      <c r="BP13" s="94">
        <f t="shared" si="43"/>
        <v>1054.3755271571447</v>
      </c>
      <c r="BQ13" s="94">
        <f t="shared" si="44"/>
        <v>1505.2999999999956</v>
      </c>
      <c r="BR13" s="90">
        <f t="shared" si="45"/>
        <v>2.8595197340390128E-3</v>
      </c>
      <c r="BS13" s="94">
        <f t="shared" si="46"/>
        <v>325.2387148634827</v>
      </c>
      <c r="BT13" s="94">
        <f t="shared" si="47"/>
        <v>1830.5387148634784</v>
      </c>
    </row>
    <row r="14" spans="1:72" ht="27" hidden="1">
      <c r="A14" s="11">
        <v>11</v>
      </c>
      <c r="B14" s="16" t="s">
        <v>49</v>
      </c>
      <c r="C14" s="17" t="s">
        <v>50</v>
      </c>
      <c r="D14" s="13" t="s">
        <v>41</v>
      </c>
      <c r="E14" s="20" t="s">
        <v>49</v>
      </c>
      <c r="F14" s="56" t="s">
        <v>65</v>
      </c>
      <c r="G14" s="57" t="s">
        <v>66</v>
      </c>
      <c r="H14" s="53">
        <v>24315.79</v>
      </c>
      <c r="I14" s="53">
        <v>38074.14</v>
      </c>
      <c r="J14" s="53">
        <v>38635.629999999997</v>
      </c>
      <c r="K14" s="53">
        <v>13758.35</v>
      </c>
      <c r="L14" s="53">
        <v>561.49</v>
      </c>
      <c r="M14" s="53">
        <v>38855.32</v>
      </c>
      <c r="N14" s="53">
        <v>39928.39</v>
      </c>
      <c r="O14" s="53">
        <v>40770.879999999997</v>
      </c>
      <c r="P14" s="53">
        <v>41812.99</v>
      </c>
      <c r="Q14" s="53">
        <v>42686.3</v>
      </c>
      <c r="R14" s="53">
        <v>43677.17</v>
      </c>
      <c r="S14" s="53">
        <v>44498.23</v>
      </c>
      <c r="T14" s="71">
        <v>45394.84</v>
      </c>
      <c r="U14" s="34">
        <v>46385.32</v>
      </c>
      <c r="V14" s="34">
        <v>47337.75</v>
      </c>
      <c r="W14" s="72">
        <v>48207.14</v>
      </c>
      <c r="X14" s="72">
        <v>49234.62</v>
      </c>
      <c r="Y14" s="30">
        <f t="shared" si="0"/>
        <v>781.18000000000029</v>
      </c>
      <c r="Z14" s="31">
        <f t="shared" si="1"/>
        <v>1.7684795850042782E-3</v>
      </c>
      <c r="AA14" s="30">
        <f t="shared" si="2"/>
        <v>242.22145104612542</v>
      </c>
      <c r="AB14" s="30">
        <f t="shared" si="3"/>
        <v>1023.4014510461257</v>
      </c>
      <c r="AC14" s="30">
        <f t="shared" si="4"/>
        <v>1073.0699999999997</v>
      </c>
      <c r="AD14" s="31">
        <f t="shared" si="5"/>
        <v>3.019105810448593E-3</v>
      </c>
      <c r="AE14" s="30">
        <f t="shared" si="6"/>
        <v>20.953892540011356</v>
      </c>
      <c r="AF14" s="30">
        <f t="shared" si="7"/>
        <v>1094.023892540011</v>
      </c>
      <c r="AG14" s="30">
        <f t="shared" si="8"/>
        <v>842.48999999999796</v>
      </c>
      <c r="AH14" s="31">
        <f t="shared" si="9"/>
        <v>2.9037700550785268E-3</v>
      </c>
      <c r="AI14" s="30">
        <f t="shared" si="10"/>
        <v>273.2168569526591</v>
      </c>
      <c r="AJ14" s="30">
        <f t="shared" si="11"/>
        <v>1115.7068569526571</v>
      </c>
      <c r="AK14" s="30">
        <f t="shared" si="12"/>
        <v>1042.1100000000006</v>
      </c>
      <c r="AL14" s="31">
        <f t="shared" si="13"/>
        <v>2.5338806326816302E-3</v>
      </c>
      <c r="AM14" s="30">
        <f t="shared" si="14"/>
        <v>104.96762689244267</v>
      </c>
      <c r="AN14" s="30">
        <f t="shared" si="15"/>
        <v>1147.0776268924433</v>
      </c>
      <c r="AO14" s="30">
        <f t="shared" si="16"/>
        <v>873.31000000000495</v>
      </c>
      <c r="AP14" s="31">
        <f t="shared" si="17"/>
        <v>2.4113301675956181E-3</v>
      </c>
      <c r="AQ14" s="30">
        <f t="shared" si="18"/>
        <v>210.0934103102035</v>
      </c>
      <c r="AR14" s="30">
        <f t="shared" si="19"/>
        <v>1083.4034103102085</v>
      </c>
      <c r="AS14" s="92">
        <f t="shared" si="20"/>
        <v>990.86999999999534</v>
      </c>
      <c r="AT14" s="93">
        <f t="shared" si="21"/>
        <v>2.0918132639247068E-3</v>
      </c>
      <c r="AU14" s="94">
        <f t="shared" si="22"/>
        <v>247.82441780545074</v>
      </c>
      <c r="AV14" s="94">
        <f t="shared" si="23"/>
        <v>1238.6944178054462</v>
      </c>
      <c r="AW14" s="103">
        <f t="shared" si="24"/>
        <v>821.06000000000495</v>
      </c>
      <c r="AX14" s="93">
        <f t="shared" si="25"/>
        <v>1.7700624122376858E-3</v>
      </c>
      <c r="AY14" s="103">
        <f t="shared" si="26"/>
        <v>182.90877984673702</v>
      </c>
      <c r="AZ14" s="103">
        <f t="shared" si="27"/>
        <v>1003.968779846742</v>
      </c>
      <c r="BA14" s="103">
        <f t="shared" si="28"/>
        <v>896.60999999999331</v>
      </c>
      <c r="BB14" s="90">
        <f t="shared" si="30"/>
        <v>2.5524447385223558E-3</v>
      </c>
      <c r="BC14" s="103">
        <f t="shared" si="31"/>
        <v>220.63334872231968</v>
      </c>
      <c r="BD14" s="103">
        <f t="shared" si="29"/>
        <v>1117.2433487223129</v>
      </c>
      <c r="BE14" s="103">
        <f t="shared" si="32"/>
        <v>990.4800000000032</v>
      </c>
      <c r="BF14" s="93">
        <f t="shared" si="33"/>
        <v>2.5690858779620481E-3</v>
      </c>
      <c r="BG14" s="103">
        <f t="shared" si="34"/>
        <v>199.63361845064784</v>
      </c>
      <c r="BH14" s="103">
        <f t="shared" si="35"/>
        <v>1190.1136184506511</v>
      </c>
      <c r="BI14" s="103">
        <f t="shared" si="36"/>
        <v>952.43000000000029</v>
      </c>
      <c r="BJ14" s="90">
        <f t="shared" si="37"/>
        <v>1.9774180737004363E-3</v>
      </c>
      <c r="BK14" s="102">
        <f t="shared" si="38"/>
        <v>222.91368690028617</v>
      </c>
      <c r="BL14" s="102">
        <f t="shared" si="39"/>
        <v>1175.3436869002865</v>
      </c>
      <c r="BM14" s="94">
        <f t="shared" si="40"/>
        <v>869.38999999999942</v>
      </c>
      <c r="BN14" s="90">
        <f t="shared" si="41"/>
        <v>2.2432262702105211E-3</v>
      </c>
      <c r="BO14" s="94">
        <f t="shared" si="42"/>
        <v>220.18986396665485</v>
      </c>
      <c r="BP14" s="94">
        <f t="shared" si="43"/>
        <v>1089.5798639666543</v>
      </c>
      <c r="BQ14" s="94">
        <f t="shared" si="44"/>
        <v>1027.4800000000032</v>
      </c>
      <c r="BR14" s="90">
        <f t="shared" si="45"/>
        <v>1.9518364022656099E-3</v>
      </c>
      <c r="BS14" s="94">
        <f t="shared" si="46"/>
        <v>221.99978392874061</v>
      </c>
      <c r="BT14" s="94">
        <f t="shared" si="47"/>
        <v>1249.4797839287439</v>
      </c>
    </row>
    <row r="15" spans="1:72" ht="13.5" hidden="1" customHeight="1">
      <c r="A15" s="16">
        <v>12</v>
      </c>
      <c r="B15" s="16" t="s">
        <v>39</v>
      </c>
      <c r="C15" s="17" t="s">
        <v>40</v>
      </c>
      <c r="D15" s="21" t="s">
        <v>67</v>
      </c>
      <c r="E15" s="21" t="s">
        <v>68</v>
      </c>
      <c r="F15" s="56" t="s">
        <v>69</v>
      </c>
      <c r="G15" s="57" t="s">
        <v>70</v>
      </c>
      <c r="H15" s="53">
        <v>12536.12</v>
      </c>
      <c r="I15" s="53">
        <v>52636.800000000003</v>
      </c>
      <c r="J15" s="53">
        <v>54168.25</v>
      </c>
      <c r="K15" s="53">
        <v>40100.68</v>
      </c>
      <c r="L15" s="53">
        <v>1531.45</v>
      </c>
      <c r="M15" s="53">
        <v>57272.800000000003</v>
      </c>
      <c r="N15" s="53">
        <v>60569.47</v>
      </c>
      <c r="O15" s="53">
        <v>62279.32</v>
      </c>
      <c r="P15" s="53">
        <v>65572.87</v>
      </c>
      <c r="Q15" s="53">
        <v>68827.94</v>
      </c>
      <c r="R15" s="53">
        <v>72258.12</v>
      </c>
      <c r="S15" s="53">
        <v>74818.17</v>
      </c>
      <c r="T15" s="71">
        <v>77660.570000000007</v>
      </c>
      <c r="U15" s="34">
        <v>80079.070000000007</v>
      </c>
      <c r="V15" s="34">
        <v>81773.23</v>
      </c>
      <c r="W15" s="72">
        <v>82913.34</v>
      </c>
      <c r="X15" s="72">
        <v>84146.05</v>
      </c>
      <c r="Y15" s="30">
        <f t="shared" si="0"/>
        <v>4636</v>
      </c>
      <c r="Z15" s="31">
        <f t="shared" si="1"/>
        <v>1.0495239709260133E-2</v>
      </c>
      <c r="AA15" s="30">
        <f t="shared" si="2"/>
        <v>1437.4902673517461</v>
      </c>
      <c r="AB15" s="30">
        <f t="shared" si="3"/>
        <v>6073.4902673517463</v>
      </c>
      <c r="AC15" s="30">
        <f t="shared" si="4"/>
        <v>3296.6699999999983</v>
      </c>
      <c r="AD15" s="31">
        <f t="shared" si="5"/>
        <v>9.2752528279903077E-3</v>
      </c>
      <c r="AE15" s="30">
        <f t="shared" si="6"/>
        <v>64.374242984967623</v>
      </c>
      <c r="AF15" s="30">
        <f t="shared" si="7"/>
        <v>3361.0442429849659</v>
      </c>
      <c r="AG15" s="30">
        <f t="shared" si="8"/>
        <v>1709.8499999999985</v>
      </c>
      <c r="AH15" s="31">
        <f t="shared" si="9"/>
        <v>5.8932583516433743E-3</v>
      </c>
      <c r="AI15" s="30">
        <f t="shared" si="10"/>
        <v>554.49897667688026</v>
      </c>
      <c r="AJ15" s="30">
        <f t="shared" si="11"/>
        <v>2264.3489766768789</v>
      </c>
      <c r="AK15" s="30">
        <f t="shared" si="12"/>
        <v>3293.5499999999956</v>
      </c>
      <c r="AL15" s="31">
        <f t="shared" si="13"/>
        <v>8.0082357503224871E-3</v>
      </c>
      <c r="AM15" s="30">
        <f t="shared" si="14"/>
        <v>331.74629122799308</v>
      </c>
      <c r="AN15" s="30">
        <f t="shared" si="15"/>
        <v>3625.2962912279886</v>
      </c>
      <c r="AO15" s="30">
        <f t="shared" si="16"/>
        <v>3255.070000000007</v>
      </c>
      <c r="AP15" s="31">
        <f t="shared" si="17"/>
        <v>8.9877002308864449E-3</v>
      </c>
      <c r="AQ15" s="30">
        <f t="shared" si="18"/>
        <v>783.07675063658007</v>
      </c>
      <c r="AR15" s="30">
        <f t="shared" si="19"/>
        <v>4038.1467506365871</v>
      </c>
      <c r="AS15" s="92">
        <f t="shared" si="20"/>
        <v>3430.179999999993</v>
      </c>
      <c r="AT15" s="93">
        <f t="shared" si="21"/>
        <v>7.241410095824144E-3</v>
      </c>
      <c r="AU15" s="94">
        <f t="shared" si="22"/>
        <v>857.91512657351939</v>
      </c>
      <c r="AV15" s="94">
        <f t="shared" si="23"/>
        <v>4288.0951265735121</v>
      </c>
      <c r="AW15" s="103">
        <f t="shared" si="24"/>
        <v>2560.0500000000029</v>
      </c>
      <c r="AX15" s="93">
        <f t="shared" si="25"/>
        <v>5.5190220915025279E-3</v>
      </c>
      <c r="AY15" s="103">
        <f t="shared" si="26"/>
        <v>570.30621616768178</v>
      </c>
      <c r="AZ15" s="103">
        <f t="shared" si="27"/>
        <v>3130.3562161676846</v>
      </c>
      <c r="BA15" s="103">
        <f t="shared" si="28"/>
        <v>2842.4000000000087</v>
      </c>
      <c r="BB15" s="90">
        <f t="shared" si="30"/>
        <v>8.0916663039404205E-3</v>
      </c>
      <c r="BC15" s="103">
        <f t="shared" si="31"/>
        <v>699.44371622927258</v>
      </c>
      <c r="BD15" s="103">
        <f t="shared" si="29"/>
        <v>3541.8437162292812</v>
      </c>
      <c r="BE15" s="103">
        <f t="shared" si="32"/>
        <v>2418.5</v>
      </c>
      <c r="BF15" s="93">
        <f t="shared" si="33"/>
        <v>6.2730536667587366E-3</v>
      </c>
      <c r="BG15" s="103">
        <f t="shared" si="34"/>
        <v>487.45447280398417</v>
      </c>
      <c r="BH15" s="103">
        <f t="shared" si="35"/>
        <v>2905.9544728039841</v>
      </c>
      <c r="BI15" s="103">
        <f t="shared" si="36"/>
        <v>1694.1599999999889</v>
      </c>
      <c r="BJ15" s="90">
        <f t="shared" si="37"/>
        <v>3.5173845886210097E-3</v>
      </c>
      <c r="BK15" s="102">
        <f t="shared" si="38"/>
        <v>396.51360393833272</v>
      </c>
      <c r="BL15" s="102">
        <f t="shared" si="39"/>
        <v>2090.6736039383218</v>
      </c>
      <c r="BM15" s="94">
        <f t="shared" si="40"/>
        <v>1140.1100000000006</v>
      </c>
      <c r="BN15" s="90">
        <f t="shared" si="41"/>
        <v>2.9417461702224779E-3</v>
      </c>
      <c r="BO15" s="94">
        <f t="shared" si="42"/>
        <v>288.75494980046142</v>
      </c>
      <c r="BP15" s="94">
        <f t="shared" si="43"/>
        <v>1428.864949800462</v>
      </c>
      <c r="BQ15" s="94">
        <f t="shared" si="44"/>
        <v>1232.7100000000064</v>
      </c>
      <c r="BR15" s="90">
        <f t="shared" si="45"/>
        <v>2.3416983799556634E-3</v>
      </c>
      <c r="BS15" s="94">
        <f t="shared" si="46"/>
        <v>266.3422681188913</v>
      </c>
      <c r="BT15" s="94">
        <f t="shared" si="47"/>
        <v>1499.0522681188977</v>
      </c>
    </row>
    <row r="16" spans="1:72" ht="13.5" hidden="1">
      <c r="A16" s="11">
        <v>13</v>
      </c>
      <c r="B16" s="16" t="s">
        <v>39</v>
      </c>
      <c r="C16" s="17" t="s">
        <v>40</v>
      </c>
      <c r="D16" s="21" t="s">
        <v>67</v>
      </c>
      <c r="E16" s="21" t="s">
        <v>68</v>
      </c>
      <c r="F16" s="56" t="s">
        <v>71</v>
      </c>
      <c r="G16" s="57" t="s">
        <v>72</v>
      </c>
      <c r="H16" s="53">
        <v>101470.02</v>
      </c>
      <c r="I16" s="53">
        <v>197062.62</v>
      </c>
      <c r="J16" s="53">
        <v>198673.16</v>
      </c>
      <c r="K16" s="53">
        <v>95592.6</v>
      </c>
      <c r="L16" s="53">
        <v>1610.54</v>
      </c>
      <c r="M16" s="53">
        <v>198707.88</v>
      </c>
      <c r="N16" s="53">
        <v>198991.64</v>
      </c>
      <c r="O16" s="53">
        <v>199128.78</v>
      </c>
      <c r="P16" s="53">
        <v>199673.18</v>
      </c>
      <c r="Q16" s="53">
        <v>200911</v>
      </c>
      <c r="R16" s="53">
        <v>204243.06</v>
      </c>
      <c r="S16" s="53">
        <v>208991.22</v>
      </c>
      <c r="T16" s="71">
        <v>212609.82</v>
      </c>
      <c r="U16" s="34">
        <v>217093.32</v>
      </c>
      <c r="V16" s="34">
        <v>220642.84</v>
      </c>
      <c r="W16" s="72">
        <v>223799.04000000001</v>
      </c>
      <c r="X16" s="72">
        <v>227214.24</v>
      </c>
      <c r="Y16" s="30">
        <f t="shared" si="0"/>
        <v>1645.2600000000093</v>
      </c>
      <c r="Z16" s="31">
        <f t="shared" si="1"/>
        <v>3.7246328912979776E-3</v>
      </c>
      <c r="AA16" s="30">
        <f t="shared" si="2"/>
        <v>510.14780786521726</v>
      </c>
      <c r="AB16" s="30">
        <f t="shared" si="3"/>
        <v>2155.4078078652265</v>
      </c>
      <c r="AC16" s="30">
        <f t="shared" si="4"/>
        <v>283.76000000000931</v>
      </c>
      <c r="AD16" s="31">
        <f t="shared" si="5"/>
        <v>7.9836493870196824E-4</v>
      </c>
      <c r="AE16" s="30">
        <f t="shared" si="6"/>
        <v>5.5409959715152031</v>
      </c>
      <c r="AF16" s="30">
        <f t="shared" si="7"/>
        <v>289.30099597152451</v>
      </c>
      <c r="AG16" s="30">
        <f t="shared" si="8"/>
        <v>137.13999999998487</v>
      </c>
      <c r="AH16" s="31">
        <f t="shared" si="9"/>
        <v>4.7267388972382598E-4</v>
      </c>
      <c r="AI16" s="30">
        <f t="shared" si="10"/>
        <v>44.474070626931621</v>
      </c>
      <c r="AJ16" s="30">
        <f t="shared" si="11"/>
        <v>181.61407062691649</v>
      </c>
      <c r="AK16" s="30">
        <f t="shared" si="12"/>
        <v>544.39999999999418</v>
      </c>
      <c r="AL16" s="31">
        <f t="shared" si="13"/>
        <v>1.3237034635804896E-3</v>
      </c>
      <c r="AM16" s="30">
        <f t="shared" si="14"/>
        <v>54.835263149039108</v>
      </c>
      <c r="AN16" s="30">
        <f t="shared" si="15"/>
        <v>599.23526314903324</v>
      </c>
      <c r="AO16" s="30">
        <f t="shared" si="16"/>
        <v>1237.820000000007</v>
      </c>
      <c r="AP16" s="31">
        <f t="shared" si="17"/>
        <v>3.4177928891839186E-3</v>
      </c>
      <c r="AQ16" s="30">
        <f t="shared" si="18"/>
        <v>297.78409173166011</v>
      </c>
      <c r="AR16" s="30">
        <f t="shared" si="19"/>
        <v>1535.604091731667</v>
      </c>
      <c r="AS16" s="92">
        <f t="shared" si="20"/>
        <v>3332.0599999999977</v>
      </c>
      <c r="AT16" s="93">
        <f t="shared" si="21"/>
        <v>7.0342701910371553E-3</v>
      </c>
      <c r="AU16" s="94">
        <f t="shared" si="22"/>
        <v>833.37453913513718</v>
      </c>
      <c r="AV16" s="94">
        <f t="shared" si="23"/>
        <v>4165.4345391351344</v>
      </c>
      <c r="AW16" s="103">
        <f t="shared" si="24"/>
        <v>4748.1600000000035</v>
      </c>
      <c r="AX16" s="93">
        <f t="shared" si="25"/>
        <v>1.0236206298310044E-2</v>
      </c>
      <c r="AY16" s="103">
        <f t="shared" si="26"/>
        <v>1057.7547951636643</v>
      </c>
      <c r="AZ16" s="103">
        <f t="shared" si="27"/>
        <v>5805.9147951636678</v>
      </c>
      <c r="BA16" s="103">
        <f t="shared" si="28"/>
        <v>3618.6000000000058</v>
      </c>
      <c r="BB16" s="90">
        <f t="shared" si="30"/>
        <v>1.0301331159386E-2</v>
      </c>
      <c r="BC16" s="103">
        <f t="shared" si="31"/>
        <v>890.44716843063691</v>
      </c>
      <c r="BD16" s="103">
        <f t="shared" si="29"/>
        <v>4509.0471684306431</v>
      </c>
      <c r="BE16" s="103">
        <f t="shared" si="32"/>
        <v>4483.5</v>
      </c>
      <c r="BF16" s="93">
        <f t="shared" si="33"/>
        <v>1.1629206580489061E-2</v>
      </c>
      <c r="BG16" s="103">
        <f t="shared" si="34"/>
        <v>903.66017317207479</v>
      </c>
      <c r="BH16" s="103">
        <f t="shared" si="35"/>
        <v>5387.1601731720748</v>
      </c>
      <c r="BI16" s="103">
        <f t="shared" si="36"/>
        <v>3549.5199999999895</v>
      </c>
      <c r="BJ16" s="90">
        <f t="shared" si="37"/>
        <v>7.3694497243484034E-3</v>
      </c>
      <c r="BK16" s="102">
        <f t="shared" si="38"/>
        <v>830.75563550738764</v>
      </c>
      <c r="BL16" s="102">
        <f t="shared" si="39"/>
        <v>4380.275635507377</v>
      </c>
      <c r="BM16" s="94">
        <f t="shared" si="40"/>
        <v>3156.2000000000116</v>
      </c>
      <c r="BN16" s="90">
        <f t="shared" si="41"/>
        <v>8.1437223271931779E-3</v>
      </c>
      <c r="BO16" s="94">
        <f t="shared" si="42"/>
        <v>799.36880876425892</v>
      </c>
      <c r="BP16" s="94">
        <f t="shared" si="43"/>
        <v>3955.5688087642707</v>
      </c>
      <c r="BQ16" s="94">
        <f t="shared" si="44"/>
        <v>3415.1999999999825</v>
      </c>
      <c r="BR16" s="90">
        <f t="shared" si="45"/>
        <v>6.4876315655949084E-3</v>
      </c>
      <c r="BS16" s="94">
        <f t="shared" si="46"/>
        <v>737.89627250499154</v>
      </c>
      <c r="BT16" s="94">
        <f t="shared" si="47"/>
        <v>4153.096272504974</v>
      </c>
    </row>
    <row r="17" spans="1:72" ht="13.5" hidden="1">
      <c r="A17" s="16">
        <v>14</v>
      </c>
      <c r="B17" s="16" t="s">
        <v>39</v>
      </c>
      <c r="C17" s="17" t="s">
        <v>40</v>
      </c>
      <c r="D17" s="21" t="s">
        <v>67</v>
      </c>
      <c r="E17" s="21" t="s">
        <v>68</v>
      </c>
      <c r="F17" s="56" t="s">
        <v>73</v>
      </c>
      <c r="G17" s="57" t="s">
        <v>74</v>
      </c>
      <c r="H17" s="53">
        <v>7895.3</v>
      </c>
      <c r="I17" s="53">
        <v>11421.25</v>
      </c>
      <c r="J17" s="53">
        <v>11422.45</v>
      </c>
      <c r="K17" s="53">
        <v>3525.95</v>
      </c>
      <c r="L17" s="53">
        <v>1.2</v>
      </c>
      <c r="M17" s="53">
        <v>11422.85</v>
      </c>
      <c r="N17" s="53">
        <v>11425.25</v>
      </c>
      <c r="O17" s="53">
        <v>11427</v>
      </c>
      <c r="P17" s="53">
        <v>11428.8</v>
      </c>
      <c r="Q17" s="53">
        <v>11430.75</v>
      </c>
      <c r="R17" s="53">
        <v>11433.2</v>
      </c>
      <c r="S17" s="53">
        <v>11435.25</v>
      </c>
      <c r="T17" s="71">
        <v>11437.35</v>
      </c>
      <c r="U17" s="34">
        <v>11439.65</v>
      </c>
      <c r="V17" s="34">
        <v>11441.9</v>
      </c>
      <c r="W17" s="72">
        <v>11443.85</v>
      </c>
      <c r="X17" s="72">
        <v>11446.3</v>
      </c>
      <c r="Y17" s="30">
        <f t="shared" si="0"/>
        <v>1.6000000000003638</v>
      </c>
      <c r="Z17" s="31">
        <f t="shared" si="1"/>
        <v>3.6221707365875821E-6</v>
      </c>
      <c r="AA17" s="30">
        <f t="shared" si="2"/>
        <v>0.49611398355550401</v>
      </c>
      <c r="AB17" s="30">
        <f t="shared" si="3"/>
        <v>2.0961139835558678</v>
      </c>
      <c r="AC17" s="30">
        <f t="shared" si="4"/>
        <v>2.3999999999996362</v>
      </c>
      <c r="AD17" s="31">
        <f t="shared" si="5"/>
        <v>6.7524522585437363E-6</v>
      </c>
      <c r="AE17" s="30">
        <f t="shared" si="6"/>
        <v>4.6864922228763872E-2</v>
      </c>
      <c r="AF17" s="30">
        <f t="shared" si="7"/>
        <v>2.4468649222284</v>
      </c>
      <c r="AG17" s="30">
        <f t="shared" si="8"/>
        <v>1.75</v>
      </c>
      <c r="AH17" s="31">
        <f t="shared" si="9"/>
        <v>6.0316414395273933E-6</v>
      </c>
      <c r="AI17" s="30">
        <f t="shared" si="10"/>
        <v>0.56751949538529178</v>
      </c>
      <c r="AJ17" s="30">
        <f t="shared" si="11"/>
        <v>2.3175194953852918</v>
      </c>
      <c r="AK17" s="30">
        <f t="shared" si="12"/>
        <v>1.7999999999992724</v>
      </c>
      <c r="AL17" s="31">
        <f t="shared" si="13"/>
        <v>4.376683016980058E-6</v>
      </c>
      <c r="AM17" s="30">
        <f t="shared" si="14"/>
        <v>0.18130689505553188</v>
      </c>
      <c r="AN17" s="30">
        <f t="shared" si="15"/>
        <v>1.9813068950548043</v>
      </c>
      <c r="AO17" s="30">
        <f t="shared" si="16"/>
        <v>1.9500000000007276</v>
      </c>
      <c r="AP17" s="31">
        <f t="shared" si="17"/>
        <v>5.3842207541573818E-6</v>
      </c>
      <c r="AQ17" s="30">
        <f t="shared" si="18"/>
        <v>0.46911423217992165</v>
      </c>
      <c r="AR17" s="30">
        <f t="shared" si="19"/>
        <v>2.4191142321806494</v>
      </c>
      <c r="AS17" s="92">
        <f t="shared" si="20"/>
        <v>2.4500000000007276</v>
      </c>
      <c r="AT17" s="93">
        <f t="shared" si="21"/>
        <v>5.1721643571982976E-6</v>
      </c>
      <c r="AU17" s="94">
        <f t="shared" si="22"/>
        <v>0.61276436225088804</v>
      </c>
      <c r="AV17" s="94">
        <f t="shared" si="23"/>
        <v>3.0627643622516159</v>
      </c>
      <c r="AW17" s="103">
        <f t="shared" si="24"/>
        <v>2.0499999999992724</v>
      </c>
      <c r="AX17" s="93">
        <f t="shared" si="25"/>
        <v>4.4194430919615452E-6</v>
      </c>
      <c r="AY17" s="103">
        <f t="shared" si="26"/>
        <v>0.45668160510276418</v>
      </c>
      <c r="AZ17" s="103">
        <f t="shared" si="27"/>
        <v>2.5066816051020364</v>
      </c>
      <c r="BA17" s="103">
        <f t="shared" si="28"/>
        <v>2.1000000000003638</v>
      </c>
      <c r="BB17" s="90">
        <f t="shared" si="30"/>
        <v>5.9782223607788404E-6</v>
      </c>
      <c r="BC17" s="103">
        <f t="shared" si="31"/>
        <v>0.51675760064794629</v>
      </c>
      <c r="BD17" s="103">
        <f t="shared" si="29"/>
        <v>2.61675760064831</v>
      </c>
      <c r="BE17" s="103">
        <f t="shared" si="32"/>
        <v>2.2999999999992724</v>
      </c>
      <c r="BF17" s="93">
        <f t="shared" si="33"/>
        <v>5.9656908966469006E-6</v>
      </c>
      <c r="BG17" s="103">
        <f t="shared" si="34"/>
        <v>0.46357051372702457</v>
      </c>
      <c r="BH17" s="103">
        <f t="shared" si="35"/>
        <v>2.7635705137262971</v>
      </c>
      <c r="BI17" s="103">
        <f t="shared" si="36"/>
        <v>2.25</v>
      </c>
      <c r="BJ17" s="90">
        <f t="shared" si="37"/>
        <v>4.6714096215217714E-6</v>
      </c>
      <c r="BK17" s="102">
        <f t="shared" si="38"/>
        <v>0.5266064650689749</v>
      </c>
      <c r="BL17" s="102">
        <f t="shared" si="39"/>
        <v>2.776606465068975</v>
      </c>
      <c r="BM17" s="94">
        <f t="shared" si="40"/>
        <v>1.9500000000007276</v>
      </c>
      <c r="BN17" s="90">
        <f t="shared" si="41"/>
        <v>5.0314487478716703E-6</v>
      </c>
      <c r="BO17" s="94">
        <f t="shared" si="42"/>
        <v>0.49387528581549994</v>
      </c>
      <c r="BP17" s="94">
        <f t="shared" si="43"/>
        <v>2.4438752858162274</v>
      </c>
      <c r="BQ17" s="94">
        <f t="shared" si="44"/>
        <v>2.4499999999989086</v>
      </c>
      <c r="BR17" s="90">
        <f t="shared" si="45"/>
        <v>4.6541043967265538E-6</v>
      </c>
      <c r="BS17" s="94">
        <f t="shared" si="46"/>
        <v>0.52935285419197509</v>
      </c>
      <c r="BT17" s="94">
        <f t="shared" si="47"/>
        <v>2.9793528541908838</v>
      </c>
    </row>
    <row r="18" spans="1:72" ht="13.5" hidden="1">
      <c r="A18" s="11">
        <v>15</v>
      </c>
      <c r="B18" s="16" t="s">
        <v>39</v>
      </c>
      <c r="C18" s="17" t="s">
        <v>40</v>
      </c>
      <c r="D18" s="21" t="s">
        <v>67</v>
      </c>
      <c r="E18" s="21" t="s">
        <v>68</v>
      </c>
      <c r="F18" s="56" t="s">
        <v>75</v>
      </c>
      <c r="G18" s="57" t="s">
        <v>76</v>
      </c>
      <c r="H18" s="53">
        <v>23672.1</v>
      </c>
      <c r="I18" s="53">
        <v>35748.99</v>
      </c>
      <c r="J18" s="53">
        <v>35811.440000000002</v>
      </c>
      <c r="K18" s="53">
        <v>12076.89</v>
      </c>
      <c r="L18" s="53">
        <v>62.45</v>
      </c>
      <c r="M18" s="53">
        <v>35853.269999999997</v>
      </c>
      <c r="N18" s="53">
        <v>35973.99</v>
      </c>
      <c r="O18" s="53">
        <v>35985.96</v>
      </c>
      <c r="P18" s="53">
        <v>38454.92</v>
      </c>
      <c r="Q18" s="53">
        <v>38857.86</v>
      </c>
      <c r="R18" s="53">
        <v>40606.379999999997</v>
      </c>
      <c r="S18" s="53">
        <v>42002.55</v>
      </c>
      <c r="T18" s="71">
        <v>42783.4</v>
      </c>
      <c r="U18" s="34">
        <v>43516.2</v>
      </c>
      <c r="V18" s="34">
        <v>43967.7</v>
      </c>
      <c r="W18" s="72">
        <v>44880.3</v>
      </c>
      <c r="X18" s="72">
        <v>45409.26</v>
      </c>
      <c r="Y18" s="30">
        <f t="shared" si="0"/>
        <v>104.27999999999884</v>
      </c>
      <c r="Z18" s="31">
        <f t="shared" si="1"/>
        <v>2.3607497775703933E-4</v>
      </c>
      <c r="AA18" s="30">
        <f t="shared" si="2"/>
        <v>32.334228878222262</v>
      </c>
      <c r="AB18" s="30">
        <f t="shared" si="3"/>
        <v>136.6142288782211</v>
      </c>
      <c r="AC18" s="30">
        <f t="shared" si="4"/>
        <v>120.72000000000116</v>
      </c>
      <c r="AD18" s="31">
        <f t="shared" si="5"/>
        <v>3.3964834860480465E-4</v>
      </c>
      <c r="AE18" s="30">
        <f t="shared" si="6"/>
        <v>2.3573055881072023</v>
      </c>
      <c r="AF18" s="30">
        <f t="shared" si="7"/>
        <v>123.07730558810837</v>
      </c>
      <c r="AG18" s="30">
        <f t="shared" si="8"/>
        <v>11.970000000001164</v>
      </c>
      <c r="AH18" s="31">
        <f t="shared" si="9"/>
        <v>4.1256427446371382E-5</v>
      </c>
      <c r="AI18" s="30">
        <f t="shared" si="10"/>
        <v>3.8818333484357734</v>
      </c>
      <c r="AJ18" s="30">
        <f t="shared" si="11"/>
        <v>15.851833348436937</v>
      </c>
      <c r="AK18" s="30">
        <f t="shared" si="12"/>
        <v>2468.9599999999991</v>
      </c>
      <c r="AL18" s="31">
        <f t="shared" si="13"/>
        <v>6.0032529453374712E-3</v>
      </c>
      <c r="AM18" s="30">
        <f t="shared" si="14"/>
        <v>248.68859534249265</v>
      </c>
      <c r="AN18" s="30">
        <f t="shared" si="15"/>
        <v>2717.6485953424917</v>
      </c>
      <c r="AO18" s="30">
        <f t="shared" si="16"/>
        <v>402.94000000000233</v>
      </c>
      <c r="AP18" s="31">
        <f t="shared" si="17"/>
        <v>1.1125732875278864E-3</v>
      </c>
      <c r="AQ18" s="30">
        <f t="shared" si="18"/>
        <v>96.935840366414453</v>
      </c>
      <c r="AR18" s="30">
        <f t="shared" si="19"/>
        <v>499.87584036641681</v>
      </c>
      <c r="AS18" s="92">
        <f t="shared" si="20"/>
        <v>1748.5199999999968</v>
      </c>
      <c r="AT18" s="93">
        <f t="shared" si="21"/>
        <v>3.6912787027941489E-3</v>
      </c>
      <c r="AU18" s="94">
        <f t="shared" si="22"/>
        <v>437.31867048269487</v>
      </c>
      <c r="AV18" s="94">
        <f t="shared" si="23"/>
        <v>2185.8386704826917</v>
      </c>
      <c r="AW18" s="103">
        <f t="shared" si="24"/>
        <v>1396.1700000000055</v>
      </c>
      <c r="AX18" s="93">
        <f t="shared" si="25"/>
        <v>3.0098994447347147E-3</v>
      </c>
      <c r="AY18" s="103">
        <f t="shared" si="26"/>
        <v>311.02690565685617</v>
      </c>
      <c r="AZ18" s="103">
        <f t="shared" si="27"/>
        <v>1707.1969056568616</v>
      </c>
      <c r="BA18" s="103">
        <f t="shared" si="28"/>
        <v>780.84999999999854</v>
      </c>
      <c r="BB18" s="90">
        <f t="shared" si="30"/>
        <v>2.2229023478158761E-3</v>
      </c>
      <c r="BC18" s="103">
        <f t="shared" si="31"/>
        <v>192.14770117422771</v>
      </c>
      <c r="BD18" s="103">
        <f t="shared" si="29"/>
        <v>972.99770117422622</v>
      </c>
      <c r="BE18" s="103">
        <f t="shared" si="32"/>
        <v>732.79999999999563</v>
      </c>
      <c r="BF18" s="93">
        <f t="shared" si="33"/>
        <v>1.900720995245307E-3</v>
      </c>
      <c r="BG18" s="103">
        <f t="shared" si="34"/>
        <v>147.69759672142135</v>
      </c>
      <c r="BH18" s="103">
        <f t="shared" si="35"/>
        <v>880.49759672141704</v>
      </c>
      <c r="BI18" s="103">
        <f t="shared" si="36"/>
        <v>451.5</v>
      </c>
      <c r="BJ18" s="90">
        <f t="shared" si="37"/>
        <v>9.3739619738536875E-4</v>
      </c>
      <c r="BK18" s="102">
        <f t="shared" si="38"/>
        <v>105.67236399050763</v>
      </c>
      <c r="BL18" s="102">
        <f t="shared" si="39"/>
        <v>557.17236399050762</v>
      </c>
      <c r="BM18" s="94">
        <f t="shared" si="40"/>
        <v>912.60000000000582</v>
      </c>
      <c r="BN18" s="90">
        <f t="shared" si="41"/>
        <v>2.3547180140030778E-3</v>
      </c>
      <c r="BO18" s="94">
        <f t="shared" si="42"/>
        <v>231.13363376156917</v>
      </c>
      <c r="BP18" s="94">
        <f t="shared" si="43"/>
        <v>1143.733633761575</v>
      </c>
      <c r="BQ18" s="94">
        <f t="shared" si="44"/>
        <v>528.95999999999913</v>
      </c>
      <c r="BR18" s="90">
        <f t="shared" si="45"/>
        <v>1.0048306374259471E-3</v>
      </c>
      <c r="BS18" s="94">
        <f t="shared" si="46"/>
        <v>114.28836153204546</v>
      </c>
      <c r="BT18" s="94">
        <f t="shared" si="47"/>
        <v>643.24836153204456</v>
      </c>
    </row>
    <row r="19" spans="1:72" ht="13.5" hidden="1">
      <c r="A19" s="16">
        <v>16</v>
      </c>
      <c r="B19" s="16" t="s">
        <v>39</v>
      </c>
      <c r="C19" s="17" t="s">
        <v>40</v>
      </c>
      <c r="D19" s="21" t="s">
        <v>67</v>
      </c>
      <c r="E19" s="21" t="s">
        <v>68</v>
      </c>
      <c r="F19" s="56" t="s">
        <v>77</v>
      </c>
      <c r="G19" s="57" t="s">
        <v>78</v>
      </c>
      <c r="H19" s="53">
        <v>25895.8</v>
      </c>
      <c r="I19" s="53">
        <v>41045.25</v>
      </c>
      <c r="J19" s="53">
        <v>41776.019999999997</v>
      </c>
      <c r="K19" s="53">
        <v>15149.45</v>
      </c>
      <c r="L19" s="53">
        <v>730.77</v>
      </c>
      <c r="M19" s="53">
        <v>41992.84</v>
      </c>
      <c r="N19" s="53">
        <v>43423.42</v>
      </c>
      <c r="O19" s="53">
        <v>44800.51</v>
      </c>
      <c r="P19" s="53">
        <v>46849.74</v>
      </c>
      <c r="Q19" s="53">
        <v>48425.83</v>
      </c>
      <c r="R19" s="53">
        <v>49697.74</v>
      </c>
      <c r="S19" s="53">
        <v>50904.73</v>
      </c>
      <c r="T19" s="71">
        <v>52110.21</v>
      </c>
      <c r="U19" s="34">
        <v>54025.54</v>
      </c>
      <c r="V19" s="34">
        <v>55607.67</v>
      </c>
      <c r="W19" s="72">
        <v>57317.37</v>
      </c>
      <c r="X19" s="72">
        <v>58379.35</v>
      </c>
      <c r="Y19" s="30">
        <f t="shared" si="0"/>
        <v>947.58999999999651</v>
      </c>
      <c r="Z19" s="31">
        <f t="shared" si="1"/>
        <v>2.1452079801763959E-3</v>
      </c>
      <c r="AA19" s="30">
        <f t="shared" si="2"/>
        <v>293.82040604828211</v>
      </c>
      <c r="AB19" s="30">
        <f t="shared" si="3"/>
        <v>1241.4104060482787</v>
      </c>
      <c r="AC19" s="30">
        <f t="shared" si="4"/>
        <v>1430.5800000000017</v>
      </c>
      <c r="AD19" s="31">
        <f t="shared" si="5"/>
        <v>4.0249679800120723E-3</v>
      </c>
      <c r="AE19" s="30">
        <f t="shared" si="6"/>
        <v>27.935008517514689</v>
      </c>
      <c r="AF19" s="30">
        <f t="shared" si="7"/>
        <v>1458.5150085175164</v>
      </c>
      <c r="AG19" s="30">
        <f t="shared" si="8"/>
        <v>1377.0900000000038</v>
      </c>
      <c r="AH19" s="31">
        <f t="shared" si="9"/>
        <v>4.7463503485478866E-3</v>
      </c>
      <c r="AI19" s="30">
        <f t="shared" si="10"/>
        <v>446.58595537150501</v>
      </c>
      <c r="AJ19" s="30">
        <f t="shared" si="11"/>
        <v>1823.6759553715087</v>
      </c>
      <c r="AK19" s="30">
        <f t="shared" si="12"/>
        <v>2049.2299999999959</v>
      </c>
      <c r="AL19" s="31">
        <f t="shared" si="13"/>
        <v>4.9826834104942505E-3</v>
      </c>
      <c r="AM19" s="30">
        <f t="shared" si="14"/>
        <v>206.41084919710943</v>
      </c>
      <c r="AN19" s="30">
        <f t="shared" si="15"/>
        <v>2255.6408491971051</v>
      </c>
      <c r="AO19" s="30">
        <f t="shared" si="16"/>
        <v>1576.0900000000038</v>
      </c>
      <c r="AP19" s="31">
        <f t="shared" si="17"/>
        <v>4.3518033273932111E-3</v>
      </c>
      <c r="AQ19" s="30">
        <f t="shared" si="18"/>
        <v>379.1621795877839</v>
      </c>
      <c r="AR19" s="30">
        <f t="shared" si="19"/>
        <v>1955.2521795877876</v>
      </c>
      <c r="AS19" s="92">
        <f t="shared" si="20"/>
        <v>1271.9099999999962</v>
      </c>
      <c r="AT19" s="93">
        <f t="shared" si="21"/>
        <v>2.6851132928824954E-3</v>
      </c>
      <c r="AU19" s="94">
        <f t="shared" si="22"/>
        <v>318.11474285318087</v>
      </c>
      <c r="AV19" s="94">
        <f t="shared" si="23"/>
        <v>1590.024742853177</v>
      </c>
      <c r="AW19" s="103">
        <f t="shared" si="24"/>
        <v>1206.9900000000052</v>
      </c>
      <c r="AX19" s="93">
        <f t="shared" si="25"/>
        <v>2.6020603012529668E-3</v>
      </c>
      <c r="AY19" s="103">
        <f t="shared" si="26"/>
        <v>268.88299050886997</v>
      </c>
      <c r="AZ19" s="103">
        <f t="shared" si="27"/>
        <v>1475.8729905088753</v>
      </c>
      <c r="BA19" s="103">
        <f t="shared" si="28"/>
        <v>1205.4799999999959</v>
      </c>
      <c r="BB19" s="90">
        <f t="shared" si="30"/>
        <v>3.4317273768906683E-3</v>
      </c>
      <c r="BC19" s="103">
        <f t="shared" si="31"/>
        <v>296.63854877570299</v>
      </c>
      <c r="BD19" s="103">
        <f t="shared" si="29"/>
        <v>1502.1185487756989</v>
      </c>
      <c r="BE19" s="103">
        <f t="shared" si="32"/>
        <v>1915.3300000000017</v>
      </c>
      <c r="BF19" s="93">
        <f t="shared" si="33"/>
        <v>4.9679420630775366E-3</v>
      </c>
      <c r="BG19" s="103">
        <f t="shared" si="34"/>
        <v>386.03935306828856</v>
      </c>
      <c r="BH19" s="103">
        <f t="shared" si="35"/>
        <v>2301.3693530682904</v>
      </c>
      <c r="BI19" s="103">
        <f t="shared" si="36"/>
        <v>1582.1299999999974</v>
      </c>
      <c r="BJ19" s="90">
        <f t="shared" si="37"/>
        <v>3.2847899131103232E-3</v>
      </c>
      <c r="BK19" s="102">
        <f t="shared" si="38"/>
        <v>370.29328292425595</v>
      </c>
      <c r="BL19" s="102">
        <f t="shared" si="39"/>
        <v>1952.4232829242533</v>
      </c>
      <c r="BM19" s="94">
        <f t="shared" si="40"/>
        <v>1709.7000000000044</v>
      </c>
      <c r="BN19" s="90">
        <f t="shared" si="41"/>
        <v>4.4114194483246185E-3</v>
      </c>
      <c r="BO19" s="94">
        <f t="shared" si="42"/>
        <v>433.01465444022938</v>
      </c>
      <c r="BP19" s="94">
        <f t="shared" si="43"/>
        <v>2142.714654440234</v>
      </c>
      <c r="BQ19" s="94">
        <f t="shared" si="44"/>
        <v>1061.9799999999959</v>
      </c>
      <c r="BR19" s="90">
        <f t="shared" si="45"/>
        <v>2.017373790709326E-3</v>
      </c>
      <c r="BS19" s="94">
        <f t="shared" si="46"/>
        <v>229.45393636532324</v>
      </c>
      <c r="BT19" s="94">
        <f t="shared" si="47"/>
        <v>1291.4339363653191</v>
      </c>
    </row>
    <row r="20" spans="1:72" ht="13.5" hidden="1">
      <c r="A20" s="11">
        <v>17</v>
      </c>
      <c r="B20" s="16" t="s">
        <v>39</v>
      </c>
      <c r="C20" s="17" t="s">
        <v>40</v>
      </c>
      <c r="D20" s="21" t="s">
        <v>67</v>
      </c>
      <c r="E20" s="21" t="s">
        <v>68</v>
      </c>
      <c r="F20" s="56" t="s">
        <v>79</v>
      </c>
      <c r="G20" s="57" t="s">
        <v>80</v>
      </c>
      <c r="H20" s="53">
        <v>54563.28</v>
      </c>
      <c r="I20" s="53">
        <v>107091.54</v>
      </c>
      <c r="J20" s="53">
        <v>111130.17</v>
      </c>
      <c r="K20" s="53">
        <v>52528.26</v>
      </c>
      <c r="L20" s="53">
        <v>4038.63</v>
      </c>
      <c r="M20" s="53">
        <v>112513.14</v>
      </c>
      <c r="N20" s="53">
        <v>116724.48</v>
      </c>
      <c r="O20" s="53">
        <v>121082.01</v>
      </c>
      <c r="P20" s="53">
        <v>125515.47</v>
      </c>
      <c r="Q20" s="53">
        <v>129395.37</v>
      </c>
      <c r="R20" s="53">
        <v>134313.35999999999</v>
      </c>
      <c r="S20" s="53">
        <v>138862.69</v>
      </c>
      <c r="T20" s="71">
        <v>142275.54</v>
      </c>
      <c r="U20" s="34">
        <v>143697.25</v>
      </c>
      <c r="V20" s="34">
        <v>145348.32</v>
      </c>
      <c r="W20" s="72">
        <v>148091.76</v>
      </c>
      <c r="X20" s="72">
        <v>154662.78</v>
      </c>
      <c r="Y20" s="30">
        <f t="shared" si="0"/>
        <v>5421.6000000000058</v>
      </c>
      <c r="Z20" s="31">
        <f t="shared" si="1"/>
        <v>1.2273725540924244E-2</v>
      </c>
      <c r="AA20" s="30">
        <f t="shared" si="2"/>
        <v>1681.0822332774449</v>
      </c>
      <c r="AB20" s="30">
        <f t="shared" si="3"/>
        <v>7102.6822332774509</v>
      </c>
      <c r="AC20" s="30">
        <f t="shared" si="4"/>
        <v>4211.3399999999965</v>
      </c>
      <c r="AD20" s="31">
        <f t="shared" si="5"/>
        <v>1.1848696789374943E-2</v>
      </c>
      <c r="AE20" s="30">
        <f t="shared" si="6"/>
        <v>82.235050657880066</v>
      </c>
      <c r="AF20" s="30">
        <f t="shared" si="7"/>
        <v>4293.575050657877</v>
      </c>
      <c r="AG20" s="30">
        <f t="shared" si="8"/>
        <v>4357.5299999999988</v>
      </c>
      <c r="AH20" s="31">
        <f t="shared" si="9"/>
        <v>1.5018890583990741E-2</v>
      </c>
      <c r="AI20" s="30">
        <f t="shared" si="10"/>
        <v>1413.1332724150116</v>
      </c>
      <c r="AJ20" s="30">
        <f t="shared" si="11"/>
        <v>5770.6632724150104</v>
      </c>
      <c r="AK20" s="30">
        <f t="shared" si="12"/>
        <v>4433.4600000000064</v>
      </c>
      <c r="AL20" s="31">
        <f t="shared" si="13"/>
        <v>1.0779916160260155E-2</v>
      </c>
      <c r="AM20" s="30">
        <f t="shared" si="14"/>
        <v>446.56492608512463</v>
      </c>
      <c r="AN20" s="30">
        <f t="shared" si="15"/>
        <v>4880.0249260851306</v>
      </c>
      <c r="AO20" s="30">
        <f t="shared" si="16"/>
        <v>3879.8999999999942</v>
      </c>
      <c r="AP20" s="31">
        <f t="shared" si="17"/>
        <v>1.0712942617460206E-2</v>
      </c>
      <c r="AQ20" s="30">
        <f t="shared" si="18"/>
        <v>933.39297919702369</v>
      </c>
      <c r="AR20" s="30">
        <f t="shared" si="19"/>
        <v>4813.2929791970182</v>
      </c>
      <c r="AS20" s="92">
        <f t="shared" si="20"/>
        <v>4917.9899999999907</v>
      </c>
      <c r="AT20" s="93">
        <f t="shared" si="21"/>
        <v>1.0382307178387777E-2</v>
      </c>
      <c r="AU20" s="94">
        <f t="shared" si="22"/>
        <v>1230.0281656756506</v>
      </c>
      <c r="AV20" s="94">
        <f t="shared" si="23"/>
        <v>6148.0181656756413</v>
      </c>
      <c r="AW20" s="103">
        <f t="shared" si="24"/>
        <v>4549.3300000000163</v>
      </c>
      <c r="AX20" s="93">
        <f t="shared" si="25"/>
        <v>9.8075634349076221E-3</v>
      </c>
      <c r="AY20" s="103">
        <f t="shared" si="26"/>
        <v>1013.4611348989771</v>
      </c>
      <c r="AZ20" s="103">
        <f t="shared" si="27"/>
        <v>5562.7911348989937</v>
      </c>
      <c r="BA20" s="103">
        <f t="shared" si="28"/>
        <v>3412.8500000000058</v>
      </c>
      <c r="BB20" s="90">
        <f t="shared" si="30"/>
        <v>9.7156077066574125E-3</v>
      </c>
      <c r="BC20" s="103">
        <f t="shared" si="31"/>
        <v>839.81722731954335</v>
      </c>
      <c r="BD20" s="103">
        <f t="shared" si="29"/>
        <v>4252.6672273195491</v>
      </c>
      <c r="BE20" s="103">
        <f t="shared" si="32"/>
        <v>1421.7099999999919</v>
      </c>
      <c r="BF20" s="93">
        <f t="shared" si="33"/>
        <v>3.6876010455106521E-3</v>
      </c>
      <c r="BG20" s="103">
        <f t="shared" si="34"/>
        <v>286.54905872654473</v>
      </c>
      <c r="BH20" s="103">
        <f t="shared" si="35"/>
        <v>1708.2590587265365</v>
      </c>
      <c r="BI20" s="103">
        <f t="shared" si="36"/>
        <v>1651.070000000007</v>
      </c>
      <c r="BJ20" s="90">
        <f t="shared" si="37"/>
        <v>3.4279219039137702E-3</v>
      </c>
      <c r="BK20" s="102">
        <f t="shared" si="38"/>
        <v>386.42850501397157</v>
      </c>
      <c r="BL20" s="102">
        <f t="shared" si="39"/>
        <v>2037.4985050139785</v>
      </c>
      <c r="BM20" s="94">
        <f t="shared" si="40"/>
        <v>2743.4400000000023</v>
      </c>
      <c r="BN20" s="90">
        <f t="shared" si="41"/>
        <v>7.0787065399261105E-3</v>
      </c>
      <c r="BO20" s="94">
        <f t="shared" si="42"/>
        <v>694.829340572908</v>
      </c>
      <c r="BP20" s="94">
        <f t="shared" si="43"/>
        <v>3438.2693405729106</v>
      </c>
      <c r="BQ20" s="94">
        <f t="shared" si="44"/>
        <v>6571.0199999999895</v>
      </c>
      <c r="BR20" s="90">
        <f t="shared" si="45"/>
        <v>1.2482535948159875E-2</v>
      </c>
      <c r="BS20" s="94">
        <f t="shared" si="46"/>
        <v>1419.7502824302433</v>
      </c>
      <c r="BT20" s="94">
        <f t="shared" si="47"/>
        <v>7990.7702824302323</v>
      </c>
    </row>
    <row r="21" spans="1:72" ht="13.5" hidden="1">
      <c r="A21" s="16">
        <v>18</v>
      </c>
      <c r="B21" s="16" t="s">
        <v>39</v>
      </c>
      <c r="C21" s="17" t="s">
        <v>40</v>
      </c>
      <c r="D21" s="21" t="s">
        <v>67</v>
      </c>
      <c r="E21" s="21" t="s">
        <v>68</v>
      </c>
      <c r="F21" s="56" t="s">
        <v>81</v>
      </c>
      <c r="G21" s="57" t="s">
        <v>82</v>
      </c>
      <c r="H21" s="53">
        <v>10537.15</v>
      </c>
      <c r="I21" s="53">
        <v>42012.35</v>
      </c>
      <c r="J21" s="53">
        <v>43472.5</v>
      </c>
      <c r="K21" s="53">
        <v>31475.200000000001</v>
      </c>
      <c r="L21" s="53">
        <v>1460.15</v>
      </c>
      <c r="M21" s="53">
        <v>43820.7</v>
      </c>
      <c r="N21" s="53">
        <v>45144.95</v>
      </c>
      <c r="O21" s="53">
        <v>47108.15</v>
      </c>
      <c r="P21" s="53">
        <v>50167.05</v>
      </c>
      <c r="Q21" s="53">
        <v>53717.95</v>
      </c>
      <c r="R21" s="53">
        <v>57286.7</v>
      </c>
      <c r="S21" s="53">
        <v>59687.3</v>
      </c>
      <c r="T21" s="71">
        <v>62026.8</v>
      </c>
      <c r="U21" s="34">
        <v>64431.6</v>
      </c>
      <c r="V21" s="34">
        <v>65918.100000000006</v>
      </c>
      <c r="W21" s="72">
        <v>68070.600000000006</v>
      </c>
      <c r="X21" s="72">
        <v>69707.05</v>
      </c>
      <c r="Y21" s="30">
        <f t="shared" si="0"/>
        <v>1808.3499999999985</v>
      </c>
      <c r="Z21" s="31">
        <f t="shared" si="1"/>
        <v>4.093845282191662E-3</v>
      </c>
      <c r="AA21" s="30">
        <f t="shared" si="2"/>
        <v>560.71732635149431</v>
      </c>
      <c r="AB21" s="30">
        <f t="shared" si="3"/>
        <v>2369.0673263514927</v>
      </c>
      <c r="AC21" s="30">
        <f t="shared" si="4"/>
        <v>1324.25</v>
      </c>
      <c r="AD21" s="31">
        <f t="shared" si="5"/>
        <v>3.7258062097407906E-3</v>
      </c>
      <c r="AE21" s="30">
        <f t="shared" si="6"/>
        <v>25.858697192270817</v>
      </c>
      <c r="AF21" s="30">
        <f t="shared" si="7"/>
        <v>1350.1086971922707</v>
      </c>
      <c r="AG21" s="30">
        <f t="shared" si="8"/>
        <v>1963.2000000000044</v>
      </c>
      <c r="AH21" s="31">
        <f t="shared" si="9"/>
        <v>6.7664676994744028E-3</v>
      </c>
      <c r="AI21" s="30">
        <f t="shared" si="10"/>
        <v>636.6595847659471</v>
      </c>
      <c r="AJ21" s="30">
        <f t="shared" si="11"/>
        <v>2599.8595847659517</v>
      </c>
      <c r="AK21" s="30">
        <f t="shared" si="12"/>
        <v>3058.9000000000015</v>
      </c>
      <c r="AL21" s="31">
        <f t="shared" si="13"/>
        <v>7.4376864892476205E-3</v>
      </c>
      <c r="AM21" s="30">
        <f t="shared" si="14"/>
        <v>308.11092293643935</v>
      </c>
      <c r="AN21" s="30">
        <f t="shared" si="15"/>
        <v>3367.0109229364407</v>
      </c>
      <c r="AO21" s="30">
        <f t="shared" si="16"/>
        <v>3550.8999999999942</v>
      </c>
      <c r="AP21" s="31">
        <f t="shared" si="17"/>
        <v>9.8045279363745044E-3</v>
      </c>
      <c r="AQ21" s="30">
        <f t="shared" si="18"/>
        <v>854.24498822926137</v>
      </c>
      <c r="AR21" s="30">
        <f t="shared" si="19"/>
        <v>4405.1449882292554</v>
      </c>
      <c r="AS21" s="92">
        <f t="shared" si="20"/>
        <v>3568.75</v>
      </c>
      <c r="AT21" s="93">
        <f t="shared" si="21"/>
        <v>7.5339434896922221E-3</v>
      </c>
      <c r="AU21" s="94">
        <f t="shared" si="22"/>
        <v>892.5725786866152</v>
      </c>
      <c r="AV21" s="94">
        <f t="shared" si="23"/>
        <v>4461.3225786866151</v>
      </c>
      <c r="AW21" s="103">
        <f t="shared" si="24"/>
        <v>2400.6000000000058</v>
      </c>
      <c r="AX21" s="93">
        <f t="shared" si="25"/>
        <v>5.1752756519837448E-3</v>
      </c>
      <c r="AY21" s="103">
        <f t="shared" si="26"/>
        <v>534.78529815126217</v>
      </c>
      <c r="AZ21" s="103">
        <f t="shared" si="27"/>
        <v>2935.3852981512682</v>
      </c>
      <c r="BA21" s="103">
        <f t="shared" si="28"/>
        <v>2339.5</v>
      </c>
      <c r="BB21" s="90">
        <f t="shared" si="30"/>
        <v>6.6600243871617493E-3</v>
      </c>
      <c r="BC21" s="103">
        <f t="shared" si="31"/>
        <v>575.69257462650512</v>
      </c>
      <c r="BD21" s="103">
        <f t="shared" si="29"/>
        <v>2915.1925746265051</v>
      </c>
      <c r="BE21" s="103">
        <f t="shared" si="32"/>
        <v>2404.7999999999956</v>
      </c>
      <c r="BF21" s="93">
        <f t="shared" si="33"/>
        <v>6.2375188992439042E-3</v>
      </c>
      <c r="BG21" s="103">
        <f t="shared" si="34"/>
        <v>484.69320496134753</v>
      </c>
      <c r="BH21" s="103">
        <f t="shared" si="35"/>
        <v>2889.4932049613431</v>
      </c>
      <c r="BI21" s="103">
        <f t="shared" si="36"/>
        <v>1486.5000000000073</v>
      </c>
      <c r="BJ21" s="90">
        <f t="shared" si="37"/>
        <v>3.0862446232853987E-3</v>
      </c>
      <c r="BK21" s="102">
        <f t="shared" si="38"/>
        <v>347.91133792223781</v>
      </c>
      <c r="BL21" s="102">
        <f t="shared" si="39"/>
        <v>1834.4113379222451</v>
      </c>
      <c r="BM21" s="94">
        <f t="shared" si="40"/>
        <v>2152.5</v>
      </c>
      <c r="BN21" s="90">
        <f t="shared" si="41"/>
        <v>5.5539453486101176E-3</v>
      </c>
      <c r="BO21" s="94">
        <f t="shared" si="42"/>
        <v>545.16233472690612</v>
      </c>
      <c r="BP21" s="94">
        <f t="shared" si="43"/>
        <v>2697.662334726906</v>
      </c>
      <c r="BQ21" s="94">
        <f t="shared" si="44"/>
        <v>1636.4499999999971</v>
      </c>
      <c r="BR21" s="90">
        <f t="shared" si="45"/>
        <v>3.1086567918475706E-3</v>
      </c>
      <c r="BS21" s="94">
        <f t="shared" si="46"/>
        <v>353.57529724197627</v>
      </c>
      <c r="BT21" s="94">
        <f t="shared" si="47"/>
        <v>1990.0252972419735</v>
      </c>
    </row>
    <row r="22" spans="1:72" ht="27" hidden="1">
      <c r="A22" s="11">
        <v>19</v>
      </c>
      <c r="B22" s="16" t="s">
        <v>83</v>
      </c>
      <c r="C22" s="17" t="s">
        <v>84</v>
      </c>
      <c r="D22" s="18" t="s">
        <v>41</v>
      </c>
      <c r="E22" s="18" t="s">
        <v>83</v>
      </c>
      <c r="F22" s="56" t="s">
        <v>85</v>
      </c>
      <c r="G22" s="56" t="s">
        <v>86</v>
      </c>
      <c r="H22" s="53">
        <v>43853.91</v>
      </c>
      <c r="I22" s="53">
        <v>70788.960000000006</v>
      </c>
      <c r="J22" s="53">
        <v>72283.320000000007</v>
      </c>
      <c r="K22" s="53">
        <v>26935.05</v>
      </c>
      <c r="L22" s="53">
        <v>1494.36</v>
      </c>
      <c r="M22" s="53">
        <v>72692.52</v>
      </c>
      <c r="N22" s="53">
        <v>75348.81</v>
      </c>
      <c r="O22" s="53">
        <v>77362.679999999993</v>
      </c>
      <c r="P22" s="53">
        <v>79405.59</v>
      </c>
      <c r="Q22" s="53">
        <v>81359.16</v>
      </c>
      <c r="R22" s="53">
        <v>83242.710000000006</v>
      </c>
      <c r="S22" s="53">
        <v>85401.42</v>
      </c>
      <c r="T22" s="71">
        <v>87724.11</v>
      </c>
      <c r="U22" s="34">
        <v>90171.78</v>
      </c>
      <c r="V22" s="34">
        <v>92361.600000000006</v>
      </c>
      <c r="W22" s="72">
        <v>94358.97</v>
      </c>
      <c r="X22" s="72">
        <v>97165.68</v>
      </c>
      <c r="Y22" s="30">
        <f t="shared" si="0"/>
        <v>1903.5599999999977</v>
      </c>
      <c r="Z22" s="31">
        <f t="shared" si="1"/>
        <v>4.3093870795856762E-3</v>
      </c>
      <c r="AA22" s="30">
        <f t="shared" si="2"/>
        <v>590.2392090854371</v>
      </c>
      <c r="AB22" s="30">
        <f t="shared" si="3"/>
        <v>2493.799209085435</v>
      </c>
      <c r="AC22" s="30">
        <f t="shared" si="4"/>
        <v>2656.2899999999936</v>
      </c>
      <c r="AD22" s="31">
        <f t="shared" si="5"/>
        <v>7.4735297541040895E-3</v>
      </c>
      <c r="AE22" s="30">
        <f t="shared" si="6"/>
        <v>51.869510111275723</v>
      </c>
      <c r="AF22" s="30">
        <f t="shared" si="7"/>
        <v>2708.1595101112694</v>
      </c>
      <c r="AG22" s="30">
        <f t="shared" si="8"/>
        <v>2013.8699999999953</v>
      </c>
      <c r="AH22" s="31">
        <f t="shared" si="9"/>
        <v>6.9411095690405733E-3</v>
      </c>
      <c r="AI22" s="30">
        <f t="shared" si="10"/>
        <v>653.09170638375713</v>
      </c>
      <c r="AJ22" s="30">
        <f t="shared" si="11"/>
        <v>2666.9617063837522</v>
      </c>
      <c r="AK22" s="30">
        <f t="shared" si="12"/>
        <v>2042.9100000000035</v>
      </c>
      <c r="AL22" s="31">
        <f t="shared" si="13"/>
        <v>4.9673163901235327E-3</v>
      </c>
      <c r="AM22" s="30">
        <f t="shared" si="14"/>
        <v>205.77426054335942</v>
      </c>
      <c r="AN22" s="30">
        <f t="shared" si="15"/>
        <v>2248.6842605433631</v>
      </c>
      <c r="AO22" s="30">
        <f t="shared" si="16"/>
        <v>1953.570000000007</v>
      </c>
      <c r="AP22" s="31">
        <f t="shared" si="17"/>
        <v>5.3940780198437691E-3</v>
      </c>
      <c r="AQ22" s="30">
        <f t="shared" si="18"/>
        <v>469.97307208173891</v>
      </c>
      <c r="AR22" s="30">
        <f t="shared" si="19"/>
        <v>2423.5430720817458</v>
      </c>
      <c r="AS22" s="92">
        <f t="shared" si="20"/>
        <v>1883.5500000000029</v>
      </c>
      <c r="AT22" s="93">
        <f t="shared" si="21"/>
        <v>3.9763388469379489E-3</v>
      </c>
      <c r="AU22" s="94">
        <f t="shared" si="22"/>
        <v>471.09074061931386</v>
      </c>
      <c r="AV22" s="94">
        <f t="shared" si="23"/>
        <v>2354.6407406193166</v>
      </c>
      <c r="AW22" s="103">
        <f t="shared" si="24"/>
        <v>2158.7099999999919</v>
      </c>
      <c r="AX22" s="93">
        <f t="shared" si="25"/>
        <v>4.6538029253910523E-3</v>
      </c>
      <c r="AY22" s="103">
        <f t="shared" si="26"/>
        <v>480.89909646426059</v>
      </c>
      <c r="AZ22" s="103">
        <f t="shared" si="27"/>
        <v>2639.6090964642526</v>
      </c>
      <c r="BA22" s="103">
        <f t="shared" si="28"/>
        <v>2322.6900000000023</v>
      </c>
      <c r="BB22" s="90">
        <f t="shared" si="30"/>
        <v>6.6121701405500062E-3</v>
      </c>
      <c r="BC22" s="103">
        <f t="shared" si="31"/>
        <v>571.55605307084363</v>
      </c>
      <c r="BD22" s="103">
        <f t="shared" si="29"/>
        <v>2894.2460530708458</v>
      </c>
      <c r="BE22" s="103">
        <f t="shared" si="32"/>
        <v>2447.6699999999983</v>
      </c>
      <c r="BF22" s="93">
        <f t="shared" si="33"/>
        <v>6.3487141900001433E-3</v>
      </c>
      <c r="BG22" s="103">
        <f t="shared" si="34"/>
        <v>493.33375623242802</v>
      </c>
      <c r="BH22" s="103">
        <f t="shared" si="35"/>
        <v>2941.0037562324264</v>
      </c>
      <c r="BI22" s="103">
        <f t="shared" si="36"/>
        <v>2189.820000000007</v>
      </c>
      <c r="BJ22" s="90">
        <f t="shared" si="37"/>
        <v>4.5464649855114832E-3</v>
      </c>
      <c r="BK22" s="102">
        <f t="shared" si="38"/>
        <v>512.52149748326497</v>
      </c>
      <c r="BL22" s="102">
        <f t="shared" si="39"/>
        <v>2702.3414974832722</v>
      </c>
      <c r="BM22" s="94">
        <f t="shared" si="40"/>
        <v>1997.3699999999953</v>
      </c>
      <c r="BN22" s="90">
        <f t="shared" si="41"/>
        <v>5.1536742489911094E-3</v>
      </c>
      <c r="BO22" s="94">
        <f t="shared" si="42"/>
        <v>505.87265621996647</v>
      </c>
      <c r="BP22" s="94">
        <f t="shared" si="43"/>
        <v>2503.2426562199616</v>
      </c>
      <c r="BQ22" s="94">
        <f t="shared" si="44"/>
        <v>2806.7099999999919</v>
      </c>
      <c r="BR22" s="104">
        <f t="shared" si="45"/>
        <v>5.3317230005478231E-3</v>
      </c>
      <c r="BS22" s="94">
        <f t="shared" si="46"/>
        <v>606.42446913870037</v>
      </c>
      <c r="BT22" s="94">
        <f t="shared" si="47"/>
        <v>3413.1344691386921</v>
      </c>
    </row>
    <row r="23" spans="1:72" ht="13.5" hidden="1" customHeight="1">
      <c r="A23" s="16">
        <v>20</v>
      </c>
      <c r="B23" s="16" t="s">
        <v>49</v>
      </c>
      <c r="C23" s="17" t="s">
        <v>50</v>
      </c>
      <c r="D23" s="21" t="s">
        <v>67</v>
      </c>
      <c r="E23" s="18" t="s">
        <v>49</v>
      </c>
      <c r="F23" s="56" t="s">
        <v>87</v>
      </c>
      <c r="G23" s="56" t="s">
        <v>88</v>
      </c>
      <c r="H23" s="53">
        <v>1159938.8</v>
      </c>
      <c r="I23" s="53">
        <v>2064298.1</v>
      </c>
      <c r="J23" s="53">
        <v>2109107.9</v>
      </c>
      <c r="K23" s="53">
        <v>904359.3</v>
      </c>
      <c r="L23" s="53">
        <v>44809.8</v>
      </c>
      <c r="M23" s="53">
        <v>2122584.4</v>
      </c>
      <c r="N23" s="53">
        <v>2200047.2999999998</v>
      </c>
      <c r="O23" s="53">
        <v>2269943</v>
      </c>
      <c r="P23" s="53">
        <v>2355516.4</v>
      </c>
      <c r="Q23" s="53">
        <v>2425487.7999999998</v>
      </c>
      <c r="R23" s="53">
        <v>2507627.5</v>
      </c>
      <c r="S23" s="53">
        <v>2578393.7999999998</v>
      </c>
      <c r="T23" s="71">
        <v>2645325</v>
      </c>
      <c r="U23" s="34">
        <v>2724471.1</v>
      </c>
      <c r="V23" s="34">
        <v>2800340.7</v>
      </c>
      <c r="W23" s="72">
        <v>2866696.7</v>
      </c>
      <c r="X23" s="72">
        <v>2938675.7</v>
      </c>
      <c r="Y23" s="30">
        <f t="shared" si="0"/>
        <v>58286.299999999814</v>
      </c>
      <c r="Z23" s="31">
        <f t="shared" si="1"/>
        <v>0.13195183137744756</v>
      </c>
      <c r="AA23" s="30">
        <f t="shared" si="2"/>
        <v>18072.905299815317</v>
      </c>
      <c r="AB23" s="30">
        <f t="shared" si="3"/>
        <v>76359.205299815134</v>
      </c>
      <c r="AC23" s="30">
        <f t="shared" si="4"/>
        <v>77462.899999999907</v>
      </c>
      <c r="AD23" s="31">
        <f t="shared" si="5"/>
        <v>0.21794355585767758</v>
      </c>
      <c r="AE23" s="30">
        <f t="shared" si="6"/>
        <v>1512.6219933812743</v>
      </c>
      <c r="AF23" s="30">
        <f t="shared" si="7"/>
        <v>78975.521993381175</v>
      </c>
      <c r="AG23" s="30">
        <f t="shared" si="8"/>
        <v>69895.700000000186</v>
      </c>
      <c r="AH23" s="31">
        <f t="shared" si="9"/>
        <v>0.24090617175130055</v>
      </c>
      <c r="AI23" s="30">
        <f t="shared" si="10"/>
        <v>22666.95565348677</v>
      </c>
      <c r="AJ23" s="30">
        <f t="shared" si="11"/>
        <v>92562.65565348696</v>
      </c>
      <c r="AK23" s="30">
        <f t="shared" si="12"/>
        <v>85573.399999999907</v>
      </c>
      <c r="AL23" s="31">
        <f t="shared" si="13"/>
        <v>0.20807091471410682</v>
      </c>
      <c r="AM23" s="30">
        <f t="shared" si="14"/>
        <v>8619.4708074173923</v>
      </c>
      <c r="AN23" s="30">
        <f t="shared" si="15"/>
        <v>94192.870807417305</v>
      </c>
      <c r="AO23" s="30">
        <f t="shared" si="16"/>
        <v>69971.399999999907</v>
      </c>
      <c r="AP23" s="31">
        <f t="shared" si="17"/>
        <v>0.19320075080887528</v>
      </c>
      <c r="AQ23" s="30">
        <f t="shared" si="18"/>
        <v>16833.117736175322</v>
      </c>
      <c r="AR23" s="30">
        <f t="shared" si="19"/>
        <v>86804.517736175228</v>
      </c>
      <c r="AS23" s="92">
        <f t="shared" si="20"/>
        <v>82139.700000000186</v>
      </c>
      <c r="AT23" s="93">
        <f t="shared" si="21"/>
        <v>0.17340409332687176</v>
      </c>
      <c r="AU23" s="94">
        <f t="shared" si="22"/>
        <v>20543.788116720178</v>
      </c>
      <c r="AV23" s="94">
        <f t="shared" si="23"/>
        <v>102683.48811672037</v>
      </c>
      <c r="AW23" s="103">
        <f t="shared" si="24"/>
        <v>70766.299999999814</v>
      </c>
      <c r="AX23" s="93">
        <f t="shared" si="25"/>
        <v>0.15255982228233583</v>
      </c>
      <c r="AY23" s="103">
        <f t="shared" si="26"/>
        <v>15764.715839607377</v>
      </c>
      <c r="AZ23" s="103">
        <f t="shared" si="27"/>
        <v>86531.015839607193</v>
      </c>
      <c r="BA23" s="103">
        <f t="shared" si="28"/>
        <v>66931.200000000186</v>
      </c>
      <c r="BB23" s="90">
        <f t="shared" si="30"/>
        <v>0.19053790308271071</v>
      </c>
      <c r="BC23" s="103">
        <f t="shared" si="31"/>
        <v>16470.098247848535</v>
      </c>
      <c r="BD23" s="103">
        <f t="shared" si="29"/>
        <v>83401.298247848725</v>
      </c>
      <c r="BE23" s="103">
        <f t="shared" si="32"/>
        <v>79146.100000000093</v>
      </c>
      <c r="BF23" s="93">
        <f t="shared" si="33"/>
        <v>0.20528746446750226</v>
      </c>
      <c r="BG23" s="103">
        <f t="shared" si="34"/>
        <v>15952.086189783526</v>
      </c>
      <c r="BH23" s="103">
        <f t="shared" si="35"/>
        <v>95098.186189783621</v>
      </c>
      <c r="BI23" s="103">
        <f t="shared" si="36"/>
        <v>75869.600000000093</v>
      </c>
      <c r="BJ23" s="90">
        <f t="shared" si="37"/>
        <v>0.15751910196489272</v>
      </c>
      <c r="BK23" s="102">
        <f t="shared" si="38"/>
        <v>17757.076383198731</v>
      </c>
      <c r="BL23" s="102">
        <f t="shared" si="39"/>
        <v>93626.676383198821</v>
      </c>
      <c r="BM23" s="94">
        <f t="shared" si="40"/>
        <v>66356</v>
      </c>
      <c r="BN23" s="90">
        <f t="shared" si="41"/>
        <v>0.17121375031469127</v>
      </c>
      <c r="BO23" s="94">
        <f t="shared" si="42"/>
        <v>16805.942802851838</v>
      </c>
      <c r="BP23" s="94">
        <f t="shared" si="43"/>
        <v>83161.942802851845</v>
      </c>
      <c r="BQ23" s="94">
        <f t="shared" si="44"/>
        <v>71979</v>
      </c>
      <c r="BR23" s="90">
        <f t="shared" si="45"/>
        <v>0.13673378790699176</v>
      </c>
      <c r="BS23" s="94">
        <f t="shared" si="46"/>
        <v>15551.954731388221</v>
      </c>
      <c r="BT23" s="94">
        <f t="shared" si="47"/>
        <v>87530.954731388221</v>
      </c>
    </row>
    <row r="24" spans="1:72" ht="27" hidden="1">
      <c r="A24" s="11">
        <v>21</v>
      </c>
      <c r="B24" s="16" t="s">
        <v>49</v>
      </c>
      <c r="C24" s="17" t="s">
        <v>50</v>
      </c>
      <c r="D24" s="21" t="s">
        <v>67</v>
      </c>
      <c r="E24" s="18" t="s">
        <v>49</v>
      </c>
      <c r="F24" s="56" t="s">
        <v>89</v>
      </c>
      <c r="G24" s="56" t="s">
        <v>90</v>
      </c>
      <c r="H24" s="53">
        <v>546901.04</v>
      </c>
      <c r="I24" s="53">
        <v>809797.04</v>
      </c>
      <c r="J24" s="53">
        <v>824998.24</v>
      </c>
      <c r="K24" s="53">
        <v>262896</v>
      </c>
      <c r="L24" s="53">
        <v>15201.2</v>
      </c>
      <c r="M24" s="53">
        <v>830161.61</v>
      </c>
      <c r="N24" s="53">
        <v>856708.32</v>
      </c>
      <c r="O24" s="53">
        <v>876215.28</v>
      </c>
      <c r="P24" s="53">
        <v>900145.2</v>
      </c>
      <c r="Q24" s="53">
        <v>917684.4</v>
      </c>
      <c r="R24" s="53">
        <v>939442.4</v>
      </c>
      <c r="S24" s="53">
        <v>956001.44</v>
      </c>
      <c r="T24" s="71">
        <v>967472.16</v>
      </c>
      <c r="U24" s="34">
        <v>985035.36</v>
      </c>
      <c r="V24" s="34">
        <v>1004438.2</v>
      </c>
      <c r="W24" s="72">
        <v>1022243</v>
      </c>
      <c r="X24" s="72">
        <v>1048141.5</v>
      </c>
      <c r="Y24" s="30">
        <f t="shared" si="0"/>
        <v>20364.569999999949</v>
      </c>
      <c r="Z24" s="31">
        <f t="shared" si="1"/>
        <v>4.6102468448232757E-2</v>
      </c>
      <c r="AA24" s="30">
        <f t="shared" si="2"/>
        <v>6314.4674663078667</v>
      </c>
      <c r="AB24" s="30">
        <f t="shared" si="3"/>
        <v>26679.037466307815</v>
      </c>
      <c r="AC24" s="30">
        <f t="shared" si="4"/>
        <v>26546.709999999963</v>
      </c>
      <c r="AD24" s="31">
        <f t="shared" si="5"/>
        <v>7.4689746623513548E-2</v>
      </c>
      <c r="AE24" s="30">
        <f t="shared" si="6"/>
        <v>518.37895815822287</v>
      </c>
      <c r="AF24" s="30">
        <f t="shared" si="7"/>
        <v>27065.088958158187</v>
      </c>
      <c r="AG24" s="30">
        <f t="shared" si="8"/>
        <v>19506.960000000079</v>
      </c>
      <c r="AH24" s="31">
        <f t="shared" si="9"/>
        <v>6.7233707597259287E-2</v>
      </c>
      <c r="AI24" s="30">
        <f t="shared" si="10"/>
        <v>6326.045768972067</v>
      </c>
      <c r="AJ24" s="30">
        <f t="shared" si="11"/>
        <v>25833.005768972147</v>
      </c>
      <c r="AK24" s="30">
        <f t="shared" si="12"/>
        <v>23929.919999999925</v>
      </c>
      <c r="AL24" s="31">
        <f t="shared" si="13"/>
        <v>5.8185374700963022E-2</v>
      </c>
      <c r="AM24" s="30">
        <f t="shared" si="14"/>
        <v>2410.3663856272296</v>
      </c>
      <c r="AN24" s="30">
        <f t="shared" si="15"/>
        <v>26340.286385627154</v>
      </c>
      <c r="AO24" s="30">
        <f t="shared" si="16"/>
        <v>17539.20000000007</v>
      </c>
      <c r="AP24" s="31">
        <f t="shared" si="17"/>
        <v>4.8428166487837071E-2</v>
      </c>
      <c r="AQ24" s="30">
        <f t="shared" si="18"/>
        <v>4219.4299184856636</v>
      </c>
      <c r="AR24" s="30">
        <f t="shared" si="19"/>
        <v>21758.629918485734</v>
      </c>
      <c r="AS24" s="92">
        <f t="shared" si="20"/>
        <v>21758</v>
      </c>
      <c r="AT24" s="93">
        <f t="shared" si="21"/>
        <v>4.5933041666892709E-2</v>
      </c>
      <c r="AU24" s="94">
        <f t="shared" si="22"/>
        <v>5441.847752592188</v>
      </c>
      <c r="AV24" s="94">
        <f t="shared" si="23"/>
        <v>27199.847752592188</v>
      </c>
      <c r="AW24" s="103">
        <f t="shared" si="24"/>
        <v>16559.039999999921</v>
      </c>
      <c r="AX24" s="93">
        <f t="shared" si="25"/>
        <v>3.5698407286605137E-2</v>
      </c>
      <c r="AY24" s="103">
        <f t="shared" si="26"/>
        <v>3688.8824225187923</v>
      </c>
      <c r="AZ24" s="103">
        <f t="shared" si="27"/>
        <v>20247.922422518714</v>
      </c>
      <c r="BA24" s="103">
        <f t="shared" si="28"/>
        <v>11470.720000000088</v>
      </c>
      <c r="BB24" s="90">
        <f t="shared" si="30"/>
        <v>3.2654530856296049E-2</v>
      </c>
      <c r="BC24" s="103">
        <f t="shared" si="31"/>
        <v>2822.6579737635375</v>
      </c>
      <c r="BD24" s="103">
        <f t="shared" si="29"/>
        <v>14293.377973763625</v>
      </c>
      <c r="BE24" s="103">
        <f t="shared" si="32"/>
        <v>17563.199999999953</v>
      </c>
      <c r="BF24" s="93">
        <f t="shared" si="33"/>
        <v>4.5555053198270315E-2</v>
      </c>
      <c r="BG24" s="103">
        <f t="shared" si="34"/>
        <v>3539.9050637795795</v>
      </c>
      <c r="BH24" s="103">
        <f t="shared" si="35"/>
        <v>21103.105063779534</v>
      </c>
      <c r="BI24" s="103">
        <f t="shared" si="36"/>
        <v>19402.839999999967</v>
      </c>
      <c r="BJ24" s="90">
        <f t="shared" si="37"/>
        <v>4.0283828204821036E-2</v>
      </c>
      <c r="BK24" s="102">
        <f t="shared" si="38"/>
        <v>4541.1826598661737</v>
      </c>
      <c r="BL24" s="102">
        <f t="shared" si="39"/>
        <v>23944.022659866139</v>
      </c>
      <c r="BM24" s="94">
        <f t="shared" si="40"/>
        <v>17804.800000000047</v>
      </c>
      <c r="BN24" s="90">
        <f t="shared" si="41"/>
        <v>4.5940481367216575E-2</v>
      </c>
      <c r="BO24" s="94">
        <f t="shared" si="42"/>
        <v>4509.4106096843871</v>
      </c>
      <c r="BP24" s="94">
        <f t="shared" si="43"/>
        <v>22314.210609684433</v>
      </c>
      <c r="BQ24" s="94">
        <f t="shared" si="44"/>
        <v>25898.5</v>
      </c>
      <c r="BR24" s="90">
        <f t="shared" si="45"/>
        <v>4.9197682742316874E-2</v>
      </c>
      <c r="BS24" s="94">
        <f t="shared" si="46"/>
        <v>5595.6917935906013</v>
      </c>
      <c r="BT24" s="94">
        <f t="shared" si="47"/>
        <v>31494.191793590602</v>
      </c>
    </row>
    <row r="25" spans="1:72" ht="27" hidden="1">
      <c r="A25" s="16">
        <v>22</v>
      </c>
      <c r="B25" s="16" t="s">
        <v>49</v>
      </c>
      <c r="C25" s="17" t="s">
        <v>50</v>
      </c>
      <c r="D25" s="21" t="s">
        <v>67</v>
      </c>
      <c r="E25" s="18" t="s">
        <v>49</v>
      </c>
      <c r="F25" s="56" t="s">
        <v>91</v>
      </c>
      <c r="G25" s="56" t="s">
        <v>92</v>
      </c>
      <c r="H25" s="53">
        <v>241013.44</v>
      </c>
      <c r="I25" s="53">
        <v>407818.56</v>
      </c>
      <c r="J25" s="53">
        <v>417206.24</v>
      </c>
      <c r="K25" s="53">
        <v>166805.12</v>
      </c>
      <c r="L25" s="53">
        <v>9387.68</v>
      </c>
      <c r="M25" s="53">
        <v>420877.6</v>
      </c>
      <c r="N25" s="53">
        <v>438602.4</v>
      </c>
      <c r="O25" s="53">
        <v>451712.96</v>
      </c>
      <c r="P25" s="53">
        <v>466424.32000000001</v>
      </c>
      <c r="Q25" s="53">
        <v>475678.56</v>
      </c>
      <c r="R25" s="53">
        <v>487489.76</v>
      </c>
      <c r="S25" s="53">
        <v>496885.76000000001</v>
      </c>
      <c r="T25" s="71">
        <v>512104.96000000002</v>
      </c>
      <c r="U25" s="34">
        <v>541816</v>
      </c>
      <c r="V25" s="34">
        <v>580839.04</v>
      </c>
      <c r="W25" s="72">
        <v>620897.28000000003</v>
      </c>
      <c r="X25" s="72">
        <v>659648.52</v>
      </c>
      <c r="Y25" s="30">
        <f t="shared" si="0"/>
        <v>13059.039999999979</v>
      </c>
      <c r="Z25" s="31">
        <f t="shared" si="1"/>
        <v>2.9563795334947417E-2</v>
      </c>
      <c r="AA25" s="30">
        <f t="shared" si="2"/>
        <v>4049.2327223807411</v>
      </c>
      <c r="AB25" s="30">
        <f t="shared" si="3"/>
        <v>17108.27272238072</v>
      </c>
      <c r="AC25" s="30">
        <f t="shared" si="4"/>
        <v>17724.800000000047</v>
      </c>
      <c r="AD25" s="31">
        <f t="shared" si="5"/>
        <v>4.9869110746772694E-2</v>
      </c>
      <c r="AE25" s="30">
        <f t="shared" si="6"/>
        <v>346.11307230021742</v>
      </c>
      <c r="AF25" s="30">
        <f t="shared" si="7"/>
        <v>18070.913072300264</v>
      </c>
      <c r="AG25" s="30">
        <f t="shared" si="8"/>
        <v>13110.559999999998</v>
      </c>
      <c r="AH25" s="31">
        <f t="shared" si="9"/>
        <v>4.5187541137948713E-2</v>
      </c>
      <c r="AI25" s="30">
        <f t="shared" si="10"/>
        <v>4251.7133688106233</v>
      </c>
      <c r="AJ25" s="30">
        <f t="shared" si="11"/>
        <v>17362.27336881062</v>
      </c>
      <c r="AK25" s="30">
        <f t="shared" si="12"/>
        <v>14711.359999999986</v>
      </c>
      <c r="AL25" s="31">
        <f t="shared" si="13"/>
        <v>3.5770533038169836E-2</v>
      </c>
      <c r="AM25" s="30">
        <f t="shared" si="14"/>
        <v>1481.817224247347</v>
      </c>
      <c r="AN25" s="30">
        <f t="shared" si="15"/>
        <v>16193.177224247333</v>
      </c>
      <c r="AO25" s="30">
        <f t="shared" si="16"/>
        <v>9254.2399999999907</v>
      </c>
      <c r="AP25" s="31">
        <f t="shared" si="17"/>
        <v>2.5552241575351162E-2</v>
      </c>
      <c r="AQ25" s="30">
        <f t="shared" si="18"/>
        <v>2226.3054830805609</v>
      </c>
      <c r="AR25" s="30">
        <f t="shared" si="19"/>
        <v>11480.545483080552</v>
      </c>
      <c r="AS25" s="92">
        <f t="shared" si="20"/>
        <v>11811.200000000012</v>
      </c>
      <c r="AT25" s="93">
        <f t="shared" si="21"/>
        <v>2.4934476594172431E-2</v>
      </c>
      <c r="AU25" s="94">
        <f t="shared" si="22"/>
        <v>2954.0744634349171</v>
      </c>
      <c r="AV25" s="94">
        <f t="shared" si="23"/>
        <v>14765.274463434929</v>
      </c>
      <c r="AW25" s="103">
        <f t="shared" si="24"/>
        <v>9396</v>
      </c>
      <c r="AX25" s="93">
        <f t="shared" si="25"/>
        <v>2.0256140142480689E-2</v>
      </c>
      <c r="AY25" s="103">
        <f t="shared" si="26"/>
        <v>2093.1611519741928</v>
      </c>
      <c r="AZ25" s="103">
        <f t="shared" si="27"/>
        <v>11489.161151974193</v>
      </c>
      <c r="BA25" s="103">
        <f t="shared" si="28"/>
        <v>15219.200000000012</v>
      </c>
      <c r="BB25" s="90">
        <f t="shared" si="30"/>
        <v>4.332560083483316E-2</v>
      </c>
      <c r="BC25" s="103">
        <f t="shared" si="31"/>
        <v>3745.0653694189846</v>
      </c>
      <c r="BD25" s="103">
        <f t="shared" si="29"/>
        <v>18964.265369418998</v>
      </c>
      <c r="BE25" s="103">
        <f t="shared" si="32"/>
        <v>29711.039999999979</v>
      </c>
      <c r="BF25" s="93">
        <f t="shared" si="33"/>
        <v>7.7063861242594733E-2</v>
      </c>
      <c r="BG25" s="103">
        <f t="shared" si="34"/>
        <v>5988.3313374645759</v>
      </c>
      <c r="BH25" s="103">
        <f t="shared" si="35"/>
        <v>35699.371337464552</v>
      </c>
      <c r="BI25" s="103">
        <f t="shared" si="36"/>
        <v>39023.040000000037</v>
      </c>
      <c r="BJ25" s="90">
        <f t="shared" si="37"/>
        <v>8.1018935340901821E-2</v>
      </c>
      <c r="BK25" s="102">
        <f t="shared" si="38"/>
        <v>9133.237844731213</v>
      </c>
      <c r="BL25" s="102">
        <f t="shared" si="39"/>
        <v>48156.277844731252</v>
      </c>
      <c r="BM25" s="94">
        <f t="shared" si="40"/>
        <v>40058.239999999991</v>
      </c>
      <c r="BN25" s="90">
        <f t="shared" si="41"/>
        <v>0.10335947768711158</v>
      </c>
      <c r="BO25" s="94">
        <f t="shared" si="42"/>
        <v>10145.525502183847</v>
      </c>
      <c r="BP25" s="94">
        <f t="shared" si="43"/>
        <v>50203.765502183836</v>
      </c>
      <c r="BQ25" s="94">
        <f t="shared" si="44"/>
        <v>38751.239999999991</v>
      </c>
      <c r="BR25" s="90">
        <f t="shared" si="45"/>
        <v>7.3613190392933139E-2</v>
      </c>
      <c r="BS25" s="94">
        <f t="shared" si="46"/>
        <v>8372.6855091785164</v>
      </c>
      <c r="BT25" s="94">
        <f t="shared" si="47"/>
        <v>47123.925509178509</v>
      </c>
    </row>
    <row r="26" spans="1:72" ht="27" hidden="1">
      <c r="A26" s="11">
        <v>23</v>
      </c>
      <c r="B26" s="16" t="s">
        <v>49</v>
      </c>
      <c r="C26" s="17" t="s">
        <v>50</v>
      </c>
      <c r="D26" s="21" t="s">
        <v>67</v>
      </c>
      <c r="E26" s="18" t="s">
        <v>49</v>
      </c>
      <c r="F26" s="56" t="s">
        <v>93</v>
      </c>
      <c r="G26" s="56" t="s">
        <v>94</v>
      </c>
      <c r="H26" s="53">
        <v>39121.089999999997</v>
      </c>
      <c r="I26" s="53">
        <v>71446.850000000006</v>
      </c>
      <c r="J26" s="53">
        <v>72752.850000000006</v>
      </c>
      <c r="K26" s="53">
        <v>32325.759999999998</v>
      </c>
      <c r="L26" s="53">
        <v>1306</v>
      </c>
      <c r="M26" s="53">
        <v>73209.77</v>
      </c>
      <c r="N26" s="53">
        <v>75649.649999999994</v>
      </c>
      <c r="O26" s="53">
        <v>78293.5</v>
      </c>
      <c r="P26" s="53">
        <v>81618.23</v>
      </c>
      <c r="Q26" s="53">
        <v>84822.48</v>
      </c>
      <c r="R26" s="53">
        <v>88353.56</v>
      </c>
      <c r="S26" s="53">
        <v>91920.02</v>
      </c>
      <c r="T26" s="71">
        <v>94880.25</v>
      </c>
      <c r="U26" s="34">
        <v>97894.53</v>
      </c>
      <c r="V26" s="34">
        <v>101404.9</v>
      </c>
      <c r="W26" s="72">
        <v>104430.79</v>
      </c>
      <c r="X26" s="72">
        <v>108258.41</v>
      </c>
      <c r="Y26" s="30">
        <f t="shared" si="0"/>
        <v>1762.9199999999983</v>
      </c>
      <c r="Z26" s="31">
        <f t="shared" si="1"/>
        <v>3.9909982718397009E-3</v>
      </c>
      <c r="AA26" s="30">
        <f t="shared" si="2"/>
        <v>546.63078993091835</v>
      </c>
      <c r="AB26" s="30">
        <f t="shared" si="3"/>
        <v>2309.5507899309168</v>
      </c>
      <c r="AC26" s="30">
        <f t="shared" si="4"/>
        <v>2439.8799999999901</v>
      </c>
      <c r="AD26" s="31">
        <f t="shared" si="5"/>
        <v>6.8646555069075505E-3</v>
      </c>
      <c r="AE26" s="30">
        <f t="shared" si="6"/>
        <v>47.643661019805521</v>
      </c>
      <c r="AF26" s="30">
        <f t="shared" si="7"/>
        <v>2487.5236610197958</v>
      </c>
      <c r="AG26" s="30">
        <f t="shared" si="8"/>
        <v>2643.8500000000058</v>
      </c>
      <c r="AH26" s="31">
        <f t="shared" si="9"/>
        <v>9.1124315542254492E-3</v>
      </c>
      <c r="AI26" s="30">
        <f t="shared" si="10"/>
        <v>857.39223878537564</v>
      </c>
      <c r="AJ26" s="30">
        <f t="shared" si="11"/>
        <v>3501.2422387853812</v>
      </c>
      <c r="AK26" s="30">
        <f t="shared" si="12"/>
        <v>3324.7299999999959</v>
      </c>
      <c r="AL26" s="31">
        <f t="shared" si="13"/>
        <v>8.0840496261388728E-3</v>
      </c>
      <c r="AM26" s="30">
        <f t="shared" si="14"/>
        <v>334.88692955456742</v>
      </c>
      <c r="AN26" s="30">
        <f t="shared" si="15"/>
        <v>3659.6169295545633</v>
      </c>
      <c r="AO26" s="30">
        <f t="shared" si="16"/>
        <v>3204.25</v>
      </c>
      <c r="AP26" s="31">
        <f t="shared" si="17"/>
        <v>8.8473791546165911E-3</v>
      </c>
      <c r="AQ26" s="30">
        <f t="shared" si="18"/>
        <v>770.8509120317708</v>
      </c>
      <c r="AR26" s="30">
        <f t="shared" si="19"/>
        <v>3975.1009120317708</v>
      </c>
      <c r="AS26" s="92">
        <f t="shared" si="20"/>
        <v>3531.0800000000017</v>
      </c>
      <c r="AT26" s="93">
        <f t="shared" si="21"/>
        <v>7.454418823840959E-3</v>
      </c>
      <c r="AU26" s="94">
        <f t="shared" si="22"/>
        <v>883.15101398213221</v>
      </c>
      <c r="AV26" s="94">
        <f t="shared" si="23"/>
        <v>4414.2310139821338</v>
      </c>
      <c r="AW26" s="103">
        <f t="shared" si="24"/>
        <v>3566.4600000000064</v>
      </c>
      <c r="AX26" s="93">
        <f t="shared" si="25"/>
        <v>7.6886668340306313E-3</v>
      </c>
      <c r="AY26" s="103">
        <f t="shared" si="26"/>
        <v>794.50569626116351</v>
      </c>
      <c r="AZ26" s="103">
        <f t="shared" si="27"/>
        <v>4360.9656962611698</v>
      </c>
      <c r="BA26" s="103">
        <f t="shared" si="28"/>
        <v>2960.2299999999959</v>
      </c>
      <c r="BB26" s="90">
        <f t="shared" si="30"/>
        <v>8.4271015138310743E-3</v>
      </c>
      <c r="BC26" s="103">
        <f t="shared" si="31"/>
        <v>728.43873912657284</v>
      </c>
      <c r="BD26" s="103">
        <f t="shared" si="29"/>
        <v>3688.6687391265687</v>
      </c>
      <c r="BE26" s="103">
        <f t="shared" si="32"/>
        <v>3014.2799999999988</v>
      </c>
      <c r="BF26" s="93">
        <f t="shared" si="33"/>
        <v>7.8183751112828274E-3</v>
      </c>
      <c r="BG26" s="103">
        <f t="shared" si="34"/>
        <v>607.53536005110311</v>
      </c>
      <c r="BH26" s="103">
        <f t="shared" si="35"/>
        <v>3621.8153600511018</v>
      </c>
      <c r="BI26" s="103">
        <f t="shared" si="36"/>
        <v>3510.3699999999953</v>
      </c>
      <c r="BJ26" s="90">
        <f t="shared" si="37"/>
        <v>7.2881671969339369E-3</v>
      </c>
      <c r="BK26" s="102">
        <f t="shared" si="38"/>
        <v>821.59268301518887</v>
      </c>
      <c r="BL26" s="102">
        <f t="shared" si="39"/>
        <v>4331.9626830151847</v>
      </c>
      <c r="BM26" s="94">
        <f t="shared" si="40"/>
        <v>3025.8899999999994</v>
      </c>
      <c r="BN26" s="90">
        <f t="shared" si="41"/>
        <v>7.8074925393290893E-3</v>
      </c>
      <c r="BO26" s="94">
        <f t="shared" si="42"/>
        <v>766.36527620292577</v>
      </c>
      <c r="BP26" s="94">
        <f t="shared" si="43"/>
        <v>3792.2552762029254</v>
      </c>
      <c r="BQ26" s="94">
        <f t="shared" si="44"/>
        <v>3827.6200000000099</v>
      </c>
      <c r="BR26" s="90">
        <f t="shared" si="45"/>
        <v>7.2710788044924382E-3</v>
      </c>
      <c r="BS26" s="94">
        <f t="shared" si="46"/>
        <v>827.00472316865114</v>
      </c>
      <c r="BT26" s="94">
        <f t="shared" si="47"/>
        <v>4654.6247231686611</v>
      </c>
    </row>
    <row r="27" spans="1:72" ht="13.5" hidden="1">
      <c r="A27" s="16">
        <v>24</v>
      </c>
      <c r="B27" s="16" t="s">
        <v>49</v>
      </c>
      <c r="C27" s="17" t="s">
        <v>50</v>
      </c>
      <c r="D27" s="21" t="s">
        <v>67</v>
      </c>
      <c r="E27" s="18" t="s">
        <v>49</v>
      </c>
      <c r="F27" s="56" t="s">
        <v>95</v>
      </c>
      <c r="G27" s="56" t="s">
        <v>96</v>
      </c>
      <c r="H27" s="53">
        <v>129557.16</v>
      </c>
      <c r="I27" s="53">
        <v>179860.56</v>
      </c>
      <c r="J27" s="53">
        <v>182334.38</v>
      </c>
      <c r="K27" s="53">
        <v>50303.4</v>
      </c>
      <c r="L27" s="53">
        <v>2473.8200000000002</v>
      </c>
      <c r="M27" s="53">
        <v>183112.92</v>
      </c>
      <c r="N27" s="53">
        <v>187936.98</v>
      </c>
      <c r="O27" s="53">
        <v>191083.04</v>
      </c>
      <c r="P27" s="53">
        <v>195210.88</v>
      </c>
      <c r="Q27" s="53">
        <v>199273.56</v>
      </c>
      <c r="R27" s="53">
        <v>204746.14</v>
      </c>
      <c r="S27" s="53">
        <v>209277.2</v>
      </c>
      <c r="T27" s="71">
        <v>213926.98</v>
      </c>
      <c r="U27" s="34">
        <v>218940.92</v>
      </c>
      <c r="V27" s="34">
        <v>223848.6</v>
      </c>
      <c r="W27" s="72">
        <v>228513.72</v>
      </c>
      <c r="X27" s="72">
        <v>234198</v>
      </c>
      <c r="Y27" s="30">
        <f t="shared" si="0"/>
        <v>3252.3600000000151</v>
      </c>
      <c r="Z27" s="31">
        <f t="shared" si="1"/>
        <v>7.3628770105283528E-3</v>
      </c>
      <c r="AA27" s="30">
        <f t="shared" si="2"/>
        <v>1008.4632972226373</v>
      </c>
      <c r="AB27" s="30">
        <f t="shared" si="3"/>
        <v>4260.8232972226524</v>
      </c>
      <c r="AC27" s="30">
        <f t="shared" si="4"/>
        <v>4824.0599999999977</v>
      </c>
      <c r="AD27" s="31">
        <f t="shared" si="5"/>
        <v>1.3572597850981423E-2</v>
      </c>
      <c r="AE27" s="30">
        <f t="shared" si="6"/>
        <v>94.199665302885322</v>
      </c>
      <c r="AF27" s="30">
        <f t="shared" si="7"/>
        <v>4918.2596653028831</v>
      </c>
      <c r="AG27" s="30">
        <f t="shared" si="8"/>
        <v>3146.0599999999977</v>
      </c>
      <c r="AH27" s="31">
        <f t="shared" si="9"/>
        <v>1.0843374781279736E-2</v>
      </c>
      <c r="AI27" s="30">
        <f t="shared" si="10"/>
        <v>1020.2573620867714</v>
      </c>
      <c r="AJ27" s="30">
        <f t="shared" si="11"/>
        <v>4166.3173620867692</v>
      </c>
      <c r="AK27" s="30">
        <f t="shared" si="12"/>
        <v>4127.8399999999965</v>
      </c>
      <c r="AL27" s="31">
        <f t="shared" si="13"/>
        <v>1.0036804013787917E-2</v>
      </c>
      <c r="AM27" s="30">
        <f t="shared" si="14"/>
        <v>415.78102982573807</v>
      </c>
      <c r="AN27" s="30">
        <f t="shared" si="15"/>
        <v>4543.6210298257347</v>
      </c>
      <c r="AO27" s="30">
        <f t="shared" si="16"/>
        <v>4062.679999999993</v>
      </c>
      <c r="AP27" s="31">
        <f t="shared" si="17"/>
        <v>1.1217623576149699E-2</v>
      </c>
      <c r="AQ27" s="30">
        <f t="shared" si="18"/>
        <v>977.36461989333827</v>
      </c>
      <c r="AR27" s="30">
        <f t="shared" si="19"/>
        <v>5040.0446198933314</v>
      </c>
      <c r="AS27" s="92">
        <f t="shared" si="20"/>
        <v>5472.5800000000163</v>
      </c>
      <c r="AT27" s="93">
        <f t="shared" si="21"/>
        <v>1.1553095190982831E-2</v>
      </c>
      <c r="AU27" s="94">
        <f t="shared" si="22"/>
        <v>1368.7355075779503</v>
      </c>
      <c r="AV27" s="94">
        <f t="shared" si="23"/>
        <v>6841.3155075779669</v>
      </c>
      <c r="AW27" s="103">
        <f t="shared" si="24"/>
        <v>4531.0599999999977</v>
      </c>
      <c r="AX27" s="93">
        <f t="shared" si="25"/>
        <v>9.7681764957416473E-3</v>
      </c>
      <c r="AY27" s="103">
        <f t="shared" si="26"/>
        <v>1009.3910993256899</v>
      </c>
      <c r="AZ27" s="103">
        <f t="shared" si="27"/>
        <v>5540.4510993256872</v>
      </c>
      <c r="BA27" s="103">
        <f t="shared" si="28"/>
        <v>4649.7799999999988</v>
      </c>
      <c r="BB27" s="90">
        <f t="shared" si="30"/>
        <v>1.3236866080332102E-2</v>
      </c>
      <c r="BC27" s="103">
        <f t="shared" si="31"/>
        <v>1144.1948363525671</v>
      </c>
      <c r="BD27" s="103">
        <f t="shared" si="29"/>
        <v>5793.9748363525659</v>
      </c>
      <c r="BE27" s="103">
        <f t="shared" si="32"/>
        <v>5013.9400000000023</v>
      </c>
      <c r="BF27" s="93">
        <f t="shared" si="33"/>
        <v>1.3005050527975322E-2</v>
      </c>
      <c r="BG27" s="103">
        <f t="shared" si="34"/>
        <v>1010.5716267813975</v>
      </c>
      <c r="BH27" s="103">
        <f t="shared" si="35"/>
        <v>6024.5116267814001</v>
      </c>
      <c r="BI27" s="103">
        <f t="shared" si="36"/>
        <v>4907.679999999993</v>
      </c>
      <c r="BJ27" s="90">
        <f t="shared" si="37"/>
        <v>1.0189237142822192E-2</v>
      </c>
      <c r="BK27" s="102">
        <f t="shared" si="38"/>
        <v>1148.6293406620903</v>
      </c>
      <c r="BL27" s="102">
        <f t="shared" si="39"/>
        <v>6056.3093406620828</v>
      </c>
      <c r="BM27" s="94">
        <f t="shared" si="40"/>
        <v>4665.1199999999953</v>
      </c>
      <c r="BN27" s="90">
        <f t="shared" si="41"/>
        <v>1.2037083170596053E-2</v>
      </c>
      <c r="BO27" s="94">
        <f t="shared" si="42"/>
        <v>1181.5320376219195</v>
      </c>
      <c r="BP27" s="94">
        <f t="shared" si="43"/>
        <v>5846.652037621915</v>
      </c>
      <c r="BQ27" s="94">
        <f t="shared" si="44"/>
        <v>5684.2799999999988</v>
      </c>
      <c r="BR27" s="90">
        <f t="shared" si="45"/>
        <v>1.0798054098055752E-2</v>
      </c>
      <c r="BS27" s="94">
        <f t="shared" si="46"/>
        <v>1228.1591191949794</v>
      </c>
      <c r="BT27" s="94">
        <f t="shared" si="47"/>
        <v>6912.439119194978</v>
      </c>
    </row>
    <row r="28" spans="1:72" ht="13.5" hidden="1">
      <c r="A28" s="11">
        <v>25</v>
      </c>
      <c r="B28" s="16" t="s">
        <v>49</v>
      </c>
      <c r="C28" s="17" t="s">
        <v>50</v>
      </c>
      <c r="D28" s="21" t="s">
        <v>67</v>
      </c>
      <c r="E28" s="18" t="s">
        <v>49</v>
      </c>
      <c r="F28" s="56" t="s">
        <v>97</v>
      </c>
      <c r="G28" s="56" t="s">
        <v>98</v>
      </c>
      <c r="H28" s="53">
        <v>25894.32</v>
      </c>
      <c r="I28" s="53">
        <v>40399.58</v>
      </c>
      <c r="J28" s="53">
        <v>40977.24</v>
      </c>
      <c r="K28" s="53">
        <v>14505.26</v>
      </c>
      <c r="L28" s="53">
        <v>577.66</v>
      </c>
      <c r="M28" s="53">
        <v>41191.040000000001</v>
      </c>
      <c r="N28" s="53">
        <v>42269.62</v>
      </c>
      <c r="O28" s="53">
        <v>43104.07</v>
      </c>
      <c r="P28" s="53">
        <v>44152.26</v>
      </c>
      <c r="Q28" s="53">
        <v>45032.09</v>
      </c>
      <c r="R28" s="53">
        <v>46006.38</v>
      </c>
      <c r="S28" s="53">
        <v>46812.38</v>
      </c>
      <c r="T28" s="71">
        <v>47768.76</v>
      </c>
      <c r="U28" s="34">
        <v>48862.8</v>
      </c>
      <c r="V28" s="34">
        <v>49934.38</v>
      </c>
      <c r="W28" s="72">
        <v>50928.22</v>
      </c>
      <c r="X28" s="72">
        <v>52071.57</v>
      </c>
      <c r="Y28" s="30">
        <f t="shared" si="0"/>
        <v>791.45999999999913</v>
      </c>
      <c r="Z28" s="31">
        <f t="shared" si="1"/>
        <v>1.7917520319868454E-3</v>
      </c>
      <c r="AA28" s="30">
        <f t="shared" si="2"/>
        <v>245.40898339046845</v>
      </c>
      <c r="AB28" s="30">
        <f t="shared" si="3"/>
        <v>1036.8689833904675</v>
      </c>
      <c r="AC28" s="30">
        <f t="shared" si="4"/>
        <v>1078.5800000000017</v>
      </c>
      <c r="AD28" s="31">
        <f t="shared" si="5"/>
        <v>3.0346083154255076E-3</v>
      </c>
      <c r="AE28" s="30">
        <f t="shared" si="6"/>
        <v>21.061486590628281</v>
      </c>
      <c r="AF28" s="30">
        <f t="shared" si="7"/>
        <v>1099.6414865906299</v>
      </c>
      <c r="AG28" s="30">
        <f t="shared" si="8"/>
        <v>834.44999999999709</v>
      </c>
      <c r="AH28" s="31">
        <f t="shared" si="9"/>
        <v>2.8760589709792093E-3</v>
      </c>
      <c r="AI28" s="30">
        <f t="shared" si="10"/>
        <v>270.6095102424315</v>
      </c>
      <c r="AJ28" s="30">
        <f t="shared" si="11"/>
        <v>1105.0595102424286</v>
      </c>
      <c r="AK28" s="30">
        <f t="shared" si="12"/>
        <v>1048.1900000000023</v>
      </c>
      <c r="AL28" s="31">
        <f t="shared" si="13"/>
        <v>2.5486640953167731E-3</v>
      </c>
      <c r="AM28" s="30">
        <f t="shared" si="14"/>
        <v>105.58004129351956</v>
      </c>
      <c r="AN28" s="30">
        <f t="shared" si="15"/>
        <v>1153.7700412935219</v>
      </c>
      <c r="AO28" s="30">
        <f t="shared" si="16"/>
        <v>879.82999999999447</v>
      </c>
      <c r="AP28" s="31">
        <f t="shared" si="17"/>
        <v>2.429332792886406E-3</v>
      </c>
      <c r="AQ28" s="30">
        <f t="shared" si="18"/>
        <v>211.66193584548915</v>
      </c>
      <c r="AR28" s="30">
        <f t="shared" si="19"/>
        <v>1091.4919358454836</v>
      </c>
      <c r="AS28" s="92">
        <f t="shared" si="20"/>
        <v>974.29000000000087</v>
      </c>
      <c r="AT28" s="93">
        <f t="shared" si="21"/>
        <v>2.0568114332951992E-3</v>
      </c>
      <c r="AU28" s="94">
        <f t="shared" si="22"/>
        <v>243.67762877438406</v>
      </c>
      <c r="AV28" s="94">
        <f t="shared" si="23"/>
        <v>1217.967628774385</v>
      </c>
      <c r="AW28" s="103">
        <f t="shared" si="24"/>
        <v>806</v>
      </c>
      <c r="AX28" s="93">
        <f t="shared" si="25"/>
        <v>1.7375956742059851E-3</v>
      </c>
      <c r="AY28" s="103">
        <f t="shared" si="26"/>
        <v>179.55384083558954</v>
      </c>
      <c r="AZ28" s="103">
        <f t="shared" si="27"/>
        <v>985.55384083558954</v>
      </c>
      <c r="BA28" s="103">
        <f t="shared" si="28"/>
        <v>956.38000000000466</v>
      </c>
      <c r="BB28" s="90">
        <f t="shared" si="30"/>
        <v>2.7225963340003355E-3</v>
      </c>
      <c r="BC28" s="103">
        <f t="shared" si="31"/>
        <v>235.3412543369522</v>
      </c>
      <c r="BD28" s="103">
        <f t="shared" si="29"/>
        <v>1191.7212543369569</v>
      </c>
      <c r="BE28" s="103">
        <f t="shared" si="32"/>
        <v>1094.0400000000009</v>
      </c>
      <c r="BF28" s="93">
        <f t="shared" si="33"/>
        <v>2.8376975950302808E-3</v>
      </c>
      <c r="BG28" s="103">
        <f t="shared" si="34"/>
        <v>220.50638471220645</v>
      </c>
      <c r="BH28" s="103">
        <f t="shared" si="35"/>
        <v>1314.5463847122073</v>
      </c>
      <c r="BI28" s="103">
        <f t="shared" si="36"/>
        <v>1071.5799999999945</v>
      </c>
      <c r="BJ28" s="90">
        <f t="shared" si="37"/>
        <v>2.2247951654356772E-3</v>
      </c>
      <c r="BK28" s="102">
        <f t="shared" si="38"/>
        <v>250.80042481715964</v>
      </c>
      <c r="BL28" s="102">
        <f t="shared" si="39"/>
        <v>1322.3804248171541</v>
      </c>
      <c r="BM28" s="94">
        <f t="shared" si="40"/>
        <v>993.84000000000378</v>
      </c>
      <c r="BN28" s="90">
        <f t="shared" si="41"/>
        <v>2.5643359095297094E-3</v>
      </c>
      <c r="BO28" s="94">
        <f t="shared" si="42"/>
        <v>251.70923797676673</v>
      </c>
      <c r="BP28" s="94">
        <f t="shared" si="43"/>
        <v>1245.5492379767704</v>
      </c>
      <c r="BQ28" s="94">
        <f t="shared" si="44"/>
        <v>1143.3499999999985</v>
      </c>
      <c r="BR28" s="90">
        <f t="shared" si="45"/>
        <v>2.1719470457141504E-3</v>
      </c>
      <c r="BS28" s="94">
        <f t="shared" si="46"/>
        <v>247.03493299618916</v>
      </c>
      <c r="BT28" s="94">
        <f t="shared" si="47"/>
        <v>1390.3849329961877</v>
      </c>
    </row>
    <row r="29" spans="1:72" ht="13.5" hidden="1">
      <c r="A29" s="16">
        <v>26</v>
      </c>
      <c r="B29" s="16" t="s">
        <v>83</v>
      </c>
      <c r="C29" s="17" t="s">
        <v>84</v>
      </c>
      <c r="D29" s="21" t="s">
        <v>67</v>
      </c>
      <c r="E29" s="18" t="s">
        <v>83</v>
      </c>
      <c r="F29" s="56" t="s">
        <v>99</v>
      </c>
      <c r="G29" s="56" t="s">
        <v>100</v>
      </c>
      <c r="H29" s="53">
        <v>95613.27</v>
      </c>
      <c r="I29" s="53">
        <v>126530.85</v>
      </c>
      <c r="J29" s="53">
        <v>126854.46</v>
      </c>
      <c r="K29" s="53">
        <v>30917.58</v>
      </c>
      <c r="L29" s="53">
        <v>323.61</v>
      </c>
      <c r="M29" s="53">
        <v>126955.86</v>
      </c>
      <c r="N29" s="53">
        <v>127434.93</v>
      </c>
      <c r="O29" s="53">
        <v>127886.13</v>
      </c>
      <c r="P29" s="53">
        <v>128502.33</v>
      </c>
      <c r="Q29" s="53">
        <v>131047.5</v>
      </c>
      <c r="R29" s="53">
        <v>134036.43</v>
      </c>
      <c r="S29" s="53">
        <v>140410.98000000001</v>
      </c>
      <c r="T29" s="71">
        <v>143339.79</v>
      </c>
      <c r="U29" s="34">
        <v>146187.23000000001</v>
      </c>
      <c r="V29" s="34">
        <v>148862.43</v>
      </c>
      <c r="W29" s="72">
        <v>151446.03</v>
      </c>
      <c r="X29" s="72">
        <v>154489.26</v>
      </c>
      <c r="Y29" s="30">
        <f t="shared" si="0"/>
        <v>425.00999999999476</v>
      </c>
      <c r="Z29" s="31">
        <f t="shared" si="1"/>
        <v>9.6216174047294946E-4</v>
      </c>
      <c r="AA29" s="30">
        <f t="shared" si="2"/>
        <v>131.78337759429638</v>
      </c>
      <c r="AB29" s="30">
        <f t="shared" si="3"/>
        <v>556.79337759429109</v>
      </c>
      <c r="AC29" s="30">
        <f t="shared" si="4"/>
        <v>479.06999999999243</v>
      </c>
      <c r="AD29" s="31">
        <f t="shared" si="5"/>
        <v>1.3478738764587444E-3</v>
      </c>
      <c r="AE29" s="30">
        <f t="shared" si="6"/>
        <v>9.3548242883903967</v>
      </c>
      <c r="AF29" s="30">
        <f t="shared" si="7"/>
        <v>488.42482428838281</v>
      </c>
      <c r="AG29" s="30">
        <f t="shared" si="8"/>
        <v>451.20000000001164</v>
      </c>
      <c r="AH29" s="31">
        <f t="shared" si="9"/>
        <v>1.5551294957227601E-3</v>
      </c>
      <c r="AI29" s="30">
        <f t="shared" si="10"/>
        <v>146.3227407530573</v>
      </c>
      <c r="AJ29" s="30">
        <f t="shared" si="11"/>
        <v>597.522740753069</v>
      </c>
      <c r="AK29" s="30">
        <f t="shared" si="12"/>
        <v>616.19999999999709</v>
      </c>
      <c r="AL29" s="31">
        <f t="shared" si="13"/>
        <v>1.4982844861467716E-3</v>
      </c>
      <c r="AM29" s="30">
        <f t="shared" si="14"/>
        <v>62.067393740701867</v>
      </c>
      <c r="AN29" s="30">
        <f t="shared" si="15"/>
        <v>678.26739374069894</v>
      </c>
      <c r="AO29" s="30">
        <f t="shared" si="16"/>
        <v>2545.1699999999983</v>
      </c>
      <c r="AP29" s="31">
        <f t="shared" si="17"/>
        <v>7.0275677624890365E-3</v>
      </c>
      <c r="AQ29" s="30">
        <f t="shared" si="18"/>
        <v>612.29511298303839</v>
      </c>
      <c r="AR29" s="30">
        <f t="shared" si="19"/>
        <v>3157.4651129830368</v>
      </c>
      <c r="AS29" s="92">
        <f t="shared" si="20"/>
        <v>2988.929999999993</v>
      </c>
      <c r="AT29" s="93">
        <f t="shared" si="21"/>
        <v>6.3098927396555435E-3</v>
      </c>
      <c r="AU29" s="94">
        <f t="shared" si="22"/>
        <v>747.55501439265242</v>
      </c>
      <c r="AV29" s="94">
        <f t="shared" si="23"/>
        <v>3736.4850143926456</v>
      </c>
      <c r="AW29" s="103">
        <f t="shared" si="24"/>
        <v>6374.5500000000175</v>
      </c>
      <c r="AX29" s="93">
        <f t="shared" si="25"/>
        <v>1.3742419981401728E-2</v>
      </c>
      <c r="AY29" s="103">
        <f t="shared" si="26"/>
        <v>1420.0681589311544</v>
      </c>
      <c r="AZ29" s="103">
        <f t="shared" si="27"/>
        <v>7794.6181589311718</v>
      </c>
      <c r="BA29" s="103">
        <f t="shared" si="28"/>
        <v>2928.8099999999977</v>
      </c>
      <c r="BB29" s="90">
        <f t="shared" si="30"/>
        <v>8.3376559202236328E-3</v>
      </c>
      <c r="BC29" s="103">
        <f t="shared" si="31"/>
        <v>720.70706112068956</v>
      </c>
      <c r="BD29" s="103">
        <f t="shared" si="29"/>
        <v>3649.5170611206872</v>
      </c>
      <c r="BE29" s="103">
        <f t="shared" si="32"/>
        <v>2847.4400000000023</v>
      </c>
      <c r="BF29" s="93">
        <f t="shared" si="33"/>
        <v>7.3856290811972342E-3</v>
      </c>
      <c r="BG29" s="103">
        <f t="shared" si="34"/>
        <v>573.90835809012935</v>
      </c>
      <c r="BH29" s="103">
        <f t="shared" si="35"/>
        <v>3421.3483580901316</v>
      </c>
      <c r="BI29" s="103">
        <f t="shared" si="36"/>
        <v>2675.1999999999825</v>
      </c>
      <c r="BJ29" s="90">
        <f t="shared" si="37"/>
        <v>5.5542022308866495E-3</v>
      </c>
      <c r="BK29" s="102">
        <f t="shared" si="38"/>
        <v>626.12338460111664</v>
      </c>
      <c r="BL29" s="102">
        <f t="shared" si="39"/>
        <v>3301.323384601099</v>
      </c>
      <c r="BM29" s="94">
        <f t="shared" si="40"/>
        <v>2583.6000000000058</v>
      </c>
      <c r="BN29" s="90">
        <f t="shared" si="41"/>
        <v>6.6662825564084236E-3</v>
      </c>
      <c r="BO29" s="94">
        <f t="shared" si="42"/>
        <v>654.34676329869353</v>
      </c>
      <c r="BP29" s="94">
        <f t="shared" si="43"/>
        <v>3237.9467632986994</v>
      </c>
      <c r="BQ29" s="94">
        <f t="shared" si="44"/>
        <v>3043.2300000000105</v>
      </c>
      <c r="BR29" s="90">
        <f t="shared" si="45"/>
        <v>5.7810245401046971E-3</v>
      </c>
      <c r="BS29" s="94">
        <f t="shared" si="46"/>
        <v>657.52754549525196</v>
      </c>
      <c r="BT29" s="94">
        <f t="shared" si="47"/>
        <v>3700.7575454952625</v>
      </c>
    </row>
    <row r="30" spans="1:72" ht="13.5" hidden="1">
      <c r="A30" s="11">
        <v>27</v>
      </c>
      <c r="B30" s="16" t="s">
        <v>83</v>
      </c>
      <c r="C30" s="17" t="s">
        <v>84</v>
      </c>
      <c r="D30" s="21" t="s">
        <v>67</v>
      </c>
      <c r="E30" s="18" t="s">
        <v>83</v>
      </c>
      <c r="F30" s="56" t="s">
        <v>101</v>
      </c>
      <c r="G30" s="56" t="s">
        <v>102</v>
      </c>
      <c r="H30" s="53">
        <v>45172.08</v>
      </c>
      <c r="I30" s="53">
        <v>102869.23</v>
      </c>
      <c r="J30" s="53">
        <v>107812.2</v>
      </c>
      <c r="K30" s="53">
        <v>57697.15</v>
      </c>
      <c r="L30" s="53">
        <v>4942.97</v>
      </c>
      <c r="M30" s="53">
        <v>109248.66</v>
      </c>
      <c r="N30" s="53">
        <v>117401.7</v>
      </c>
      <c r="O30" s="53">
        <v>120577.11</v>
      </c>
      <c r="P30" s="53">
        <v>124191.93</v>
      </c>
      <c r="Q30" s="53">
        <v>129876.66</v>
      </c>
      <c r="R30" s="53">
        <v>136151.31</v>
      </c>
      <c r="S30" s="53">
        <v>141098.74</v>
      </c>
      <c r="T30" s="71">
        <v>145387.74</v>
      </c>
      <c r="U30" s="34">
        <v>148868.46</v>
      </c>
      <c r="V30" s="34">
        <v>152574.78</v>
      </c>
      <c r="W30" s="72">
        <v>156054.37</v>
      </c>
      <c r="X30" s="72">
        <v>161042.26999999999</v>
      </c>
      <c r="Y30" s="30">
        <f t="shared" si="0"/>
        <v>6379.4300000000076</v>
      </c>
      <c r="Z30" s="31">
        <f t="shared" si="1"/>
        <v>1.4442115413814807E-2</v>
      </c>
      <c r="AA30" s="30">
        <f t="shared" si="2"/>
        <v>1978.0777688204832</v>
      </c>
      <c r="AB30" s="30">
        <f t="shared" si="3"/>
        <v>8357.507768820491</v>
      </c>
      <c r="AC30" s="30">
        <f t="shared" si="4"/>
        <v>8153.0399999999936</v>
      </c>
      <c r="AD30" s="31">
        <f t="shared" si="5"/>
        <v>2.2938755567502384E-2</v>
      </c>
      <c r="AE30" s="30">
        <f t="shared" si="6"/>
        <v>159.20482730335775</v>
      </c>
      <c r="AF30" s="30">
        <f t="shared" si="7"/>
        <v>8312.2448273033515</v>
      </c>
      <c r="AG30" s="30">
        <f t="shared" si="8"/>
        <v>3175.4100000000035</v>
      </c>
      <c r="AH30" s="31">
        <f t="shared" si="9"/>
        <v>1.0944534024851259E-2</v>
      </c>
      <c r="AI30" s="30">
        <f t="shared" si="10"/>
        <v>1029.775474766521</v>
      </c>
      <c r="AJ30" s="30">
        <f t="shared" si="11"/>
        <v>4205.1854747665247</v>
      </c>
      <c r="AK30" s="30">
        <f t="shared" si="12"/>
        <v>3614.8199999999924</v>
      </c>
      <c r="AL30" s="31">
        <f t="shared" si="13"/>
        <v>8.7894007241367863E-3</v>
      </c>
      <c r="AM30" s="30">
        <f t="shared" si="14"/>
        <v>364.10655021383405</v>
      </c>
      <c r="AN30" s="30">
        <f t="shared" si="15"/>
        <v>3978.9265502138264</v>
      </c>
      <c r="AO30" s="30">
        <f t="shared" si="16"/>
        <v>5684.7300000000105</v>
      </c>
      <c r="AP30" s="31">
        <f t="shared" si="17"/>
        <v>1.5696328845010116E-2</v>
      </c>
      <c r="AQ30" s="30">
        <f t="shared" si="18"/>
        <v>1367.5834610765003</v>
      </c>
      <c r="AR30" s="30">
        <f t="shared" si="19"/>
        <v>7052.313461076511</v>
      </c>
      <c r="AS30" s="92">
        <f t="shared" si="20"/>
        <v>6274.6499999999942</v>
      </c>
      <c r="AT30" s="93">
        <f t="shared" si="21"/>
        <v>1.3246335136279441E-2</v>
      </c>
      <c r="AU30" s="94">
        <f t="shared" si="22"/>
        <v>1569.3395533046485</v>
      </c>
      <c r="AV30" s="94">
        <f t="shared" si="23"/>
        <v>7843.9895533046429</v>
      </c>
      <c r="AW30" s="103">
        <f t="shared" si="24"/>
        <v>4947.429999999993</v>
      </c>
      <c r="AX30" s="93">
        <f t="shared" si="25"/>
        <v>1.0665797725107822E-2</v>
      </c>
      <c r="AY30" s="103">
        <f t="shared" si="26"/>
        <v>1102.1464748948133</v>
      </c>
      <c r="AZ30" s="103">
        <f t="shared" si="27"/>
        <v>6049.5764748948059</v>
      </c>
      <c r="BA30" s="103">
        <f t="shared" si="28"/>
        <v>4289</v>
      </c>
      <c r="BB30" s="90">
        <f t="shared" si="30"/>
        <v>1.2209807478750478E-2</v>
      </c>
      <c r="BC30" s="103">
        <f t="shared" si="31"/>
        <v>1055.4158805612656</v>
      </c>
      <c r="BD30" s="103">
        <f t="shared" si="29"/>
        <v>5344.415880561266</v>
      </c>
      <c r="BE30" s="103">
        <f t="shared" si="32"/>
        <v>3480.7200000000012</v>
      </c>
      <c r="BF30" s="93">
        <f t="shared" si="33"/>
        <v>9.0282172251232081E-3</v>
      </c>
      <c r="BG30" s="103">
        <f t="shared" si="34"/>
        <v>701.54746023497398</v>
      </c>
      <c r="BH30" s="103">
        <f t="shared" si="35"/>
        <v>4182.2674602349753</v>
      </c>
      <c r="BI30" s="103">
        <f t="shared" si="36"/>
        <v>3706.320000000007</v>
      </c>
      <c r="BJ30" s="90">
        <f t="shared" si="37"/>
        <v>7.694995070417157E-3</v>
      </c>
      <c r="BK30" s="102">
        <f t="shared" si="38"/>
        <v>867.45425493975404</v>
      </c>
      <c r="BL30" s="102">
        <f t="shared" si="39"/>
        <v>4573.7742549397608</v>
      </c>
      <c r="BM30" s="94">
        <f t="shared" si="40"/>
        <v>3479.5899999999965</v>
      </c>
      <c r="BN30" s="90">
        <f t="shared" si="41"/>
        <v>8.9781429480001191E-3</v>
      </c>
      <c r="BO30" s="94">
        <f t="shared" si="42"/>
        <v>881.27359270262161</v>
      </c>
      <c r="BP30" s="94">
        <f t="shared" si="43"/>
        <v>4360.863592702618</v>
      </c>
      <c r="BQ30" s="94">
        <f t="shared" si="44"/>
        <v>4987.8999999999942</v>
      </c>
      <c r="BR30" s="90">
        <f t="shared" si="45"/>
        <v>9.4751866614051806E-3</v>
      </c>
      <c r="BS30" s="94">
        <f t="shared" si="46"/>
        <v>1077.6975924185003</v>
      </c>
      <c r="BT30" s="94">
        <f t="shared" si="47"/>
        <v>6065.597592418495</v>
      </c>
    </row>
    <row r="31" spans="1:72" ht="13.5" hidden="1">
      <c r="A31" s="16">
        <v>28</v>
      </c>
      <c r="B31" s="16" t="s">
        <v>83</v>
      </c>
      <c r="C31" s="17" t="s">
        <v>84</v>
      </c>
      <c r="D31" s="21" t="s">
        <v>67</v>
      </c>
      <c r="E31" s="18" t="s">
        <v>83</v>
      </c>
      <c r="F31" s="56" t="s">
        <v>103</v>
      </c>
      <c r="G31" s="56" t="s">
        <v>104</v>
      </c>
      <c r="H31" s="53">
        <v>14264.31</v>
      </c>
      <c r="I31" s="53">
        <v>42844.84</v>
      </c>
      <c r="J31" s="53">
        <v>44497.5</v>
      </c>
      <c r="K31" s="53">
        <v>28580.53</v>
      </c>
      <c r="L31" s="53">
        <v>1652.66</v>
      </c>
      <c r="M31" s="53">
        <v>44937.07</v>
      </c>
      <c r="N31" s="53">
        <v>47586.61</v>
      </c>
      <c r="O31" s="53">
        <v>50029.68</v>
      </c>
      <c r="P31" s="53">
        <v>52840.45</v>
      </c>
      <c r="Q31" s="53">
        <v>55385.08</v>
      </c>
      <c r="R31" s="53">
        <v>58214.1</v>
      </c>
      <c r="S31" s="53">
        <v>60674.13</v>
      </c>
      <c r="T31" s="71">
        <v>63021.97</v>
      </c>
      <c r="U31" s="34">
        <v>65656.12</v>
      </c>
      <c r="V31" s="34">
        <v>68355.61</v>
      </c>
      <c r="W31" s="72">
        <v>70672.11</v>
      </c>
      <c r="X31" s="72">
        <v>73442.33</v>
      </c>
      <c r="Y31" s="30">
        <f t="shared" si="0"/>
        <v>2092.2300000000032</v>
      </c>
      <c r="Z31" s="31">
        <f t="shared" si="1"/>
        <v>4.7365089251305784E-3</v>
      </c>
      <c r="AA31" s="30">
        <f t="shared" si="2"/>
        <v>648.74034988381106</v>
      </c>
      <c r="AB31" s="30">
        <f t="shared" si="3"/>
        <v>2740.9703498838144</v>
      </c>
      <c r="AC31" s="30">
        <f t="shared" si="4"/>
        <v>2649.5400000000009</v>
      </c>
      <c r="AD31" s="31">
        <f t="shared" si="5"/>
        <v>7.4545384821269531E-3</v>
      </c>
      <c r="AE31" s="30">
        <f t="shared" si="6"/>
        <v>51.737702517507451</v>
      </c>
      <c r="AF31" s="30">
        <f t="shared" si="7"/>
        <v>2701.2777025175083</v>
      </c>
      <c r="AG31" s="30">
        <f t="shared" si="8"/>
        <v>2443.0699999999997</v>
      </c>
      <c r="AH31" s="31">
        <f t="shared" si="9"/>
        <v>8.4204127152378207E-3</v>
      </c>
      <c r="AI31" s="30">
        <f t="shared" si="10"/>
        <v>792.27991633768272</v>
      </c>
      <c r="AJ31" s="30">
        <f t="shared" si="11"/>
        <v>3235.3499163376823</v>
      </c>
      <c r="AK31" s="30">
        <f t="shared" si="12"/>
        <v>2810.7699999999968</v>
      </c>
      <c r="AL31" s="31">
        <f t="shared" si="13"/>
        <v>6.8343607353566647E-3</v>
      </c>
      <c r="AM31" s="30">
        <f t="shared" si="14"/>
        <v>283.11776745302376</v>
      </c>
      <c r="AN31" s="30">
        <f t="shared" si="15"/>
        <v>3093.8877674530204</v>
      </c>
      <c r="AO31" s="30">
        <f t="shared" si="16"/>
        <v>2544.6300000000047</v>
      </c>
      <c r="AP31" s="31">
        <f t="shared" si="17"/>
        <v>7.0260767475109802E-3</v>
      </c>
      <c r="AQ31" s="30">
        <f t="shared" si="18"/>
        <v>612.16520442643628</v>
      </c>
      <c r="AR31" s="30">
        <f t="shared" si="19"/>
        <v>3156.7952044264412</v>
      </c>
      <c r="AS31" s="92">
        <f t="shared" si="20"/>
        <v>2829.0199999999968</v>
      </c>
      <c r="AT31" s="93">
        <f t="shared" si="21"/>
        <v>5.9723087386925576E-3</v>
      </c>
      <c r="AU31" s="94">
        <f t="shared" si="22"/>
        <v>707.56025963040429</v>
      </c>
      <c r="AV31" s="94">
        <f t="shared" si="23"/>
        <v>3536.5802596304011</v>
      </c>
      <c r="AW31" s="103">
        <f t="shared" si="24"/>
        <v>2460.0299999999988</v>
      </c>
      <c r="AX31" s="93">
        <f t="shared" si="25"/>
        <v>5.3033963851326898E-3</v>
      </c>
      <c r="AY31" s="103">
        <f t="shared" si="26"/>
        <v>548.02460926895185</v>
      </c>
      <c r="AZ31" s="103">
        <f t="shared" si="27"/>
        <v>3008.0546092689506</v>
      </c>
      <c r="BA31" s="103">
        <f t="shared" si="28"/>
        <v>2347.8400000000038</v>
      </c>
      <c r="BB31" s="90">
        <f t="shared" si="30"/>
        <v>6.6837664702517063E-3</v>
      </c>
      <c r="BC31" s="103">
        <f t="shared" si="31"/>
        <v>577.74484052622188</v>
      </c>
      <c r="BD31" s="103">
        <f t="shared" si="29"/>
        <v>2925.5848405262259</v>
      </c>
      <c r="BE31" s="103">
        <f t="shared" si="32"/>
        <v>2634.1499999999942</v>
      </c>
      <c r="BF31" s="93">
        <f t="shared" si="33"/>
        <v>6.8324020327858136E-3</v>
      </c>
      <c r="BG31" s="103">
        <f t="shared" si="34"/>
        <v>530.91924727583717</v>
      </c>
      <c r="BH31" s="103">
        <f t="shared" si="35"/>
        <v>3165.0692472758315</v>
      </c>
      <c r="BI31" s="103">
        <f t="shared" si="36"/>
        <v>2699.4900000000052</v>
      </c>
      <c r="BJ31" s="90">
        <f t="shared" si="37"/>
        <v>5.6046326929785912E-3</v>
      </c>
      <c r="BK31" s="102">
        <f t="shared" si="38"/>
        <v>631.80839395068881</v>
      </c>
      <c r="BL31" s="102">
        <f t="shared" si="39"/>
        <v>3331.2983939506939</v>
      </c>
      <c r="BM31" s="94">
        <f t="shared" si="40"/>
        <v>2316.5</v>
      </c>
      <c r="BN31" s="90">
        <f t="shared" si="41"/>
        <v>5.977103089456602E-3</v>
      </c>
      <c r="BO31" s="94">
        <f t="shared" si="42"/>
        <v>586.6985126108608</v>
      </c>
      <c r="BP31" s="94">
        <f t="shared" si="43"/>
        <v>2903.1985126108607</v>
      </c>
      <c r="BQ31" s="94">
        <f t="shared" si="44"/>
        <v>2770.2200000000012</v>
      </c>
      <c r="BR31" s="90">
        <f t="shared" si="45"/>
        <v>5.2624053395532991E-3</v>
      </c>
      <c r="BS31" s="94">
        <f t="shared" si="46"/>
        <v>598.54035254708037</v>
      </c>
      <c r="BT31" s="94">
        <f t="shared" si="47"/>
        <v>3368.7603525470813</v>
      </c>
    </row>
    <row r="32" spans="1:72" ht="13.5" hidden="1">
      <c r="A32" s="11">
        <v>29</v>
      </c>
      <c r="B32" s="16" t="s">
        <v>105</v>
      </c>
      <c r="C32" s="17" t="s">
        <v>106</v>
      </c>
      <c r="D32" s="20" t="s">
        <v>41</v>
      </c>
      <c r="E32" s="20" t="s">
        <v>105</v>
      </c>
      <c r="F32" s="56" t="s">
        <v>107</v>
      </c>
      <c r="G32" s="56" t="s">
        <v>108</v>
      </c>
      <c r="H32" s="53">
        <v>70928.600000000006</v>
      </c>
      <c r="I32" s="53">
        <v>119805.25</v>
      </c>
      <c r="J32" s="53">
        <v>122179.3</v>
      </c>
      <c r="K32" s="53">
        <v>48876.65</v>
      </c>
      <c r="L32" s="53">
        <v>2374.0500000000002</v>
      </c>
      <c r="M32" s="53">
        <v>122856.7</v>
      </c>
      <c r="N32" s="53">
        <v>127491.05</v>
      </c>
      <c r="O32" s="53">
        <v>131493.75</v>
      </c>
      <c r="P32" s="53">
        <v>136271.46</v>
      </c>
      <c r="Q32" s="53">
        <v>140833.85999999999</v>
      </c>
      <c r="R32" s="53">
        <v>145506.70000000001</v>
      </c>
      <c r="S32" s="53">
        <v>149571.20000000001</v>
      </c>
      <c r="T32" s="71">
        <v>154078.5</v>
      </c>
      <c r="U32" s="34">
        <v>158449.29999999999</v>
      </c>
      <c r="V32" s="34">
        <v>163142.35</v>
      </c>
      <c r="W32" s="72">
        <v>167374.85</v>
      </c>
      <c r="X32" s="72">
        <v>172140.44</v>
      </c>
      <c r="Y32" s="30">
        <f t="shared" si="0"/>
        <v>3051.4499999999971</v>
      </c>
      <c r="Z32" s="31">
        <f t="shared" si="1"/>
        <v>6.9080455588485332E-3</v>
      </c>
      <c r="AA32" s="30">
        <f t="shared" si="2"/>
        <v>946.16688445006059</v>
      </c>
      <c r="AB32" s="30">
        <f t="shared" si="3"/>
        <v>3997.6168844500576</v>
      </c>
      <c r="AC32" s="30">
        <f t="shared" si="4"/>
        <v>4634.3500000000058</v>
      </c>
      <c r="AD32" s="31">
        <f t="shared" si="5"/>
        <v>1.3038844635161227E-2</v>
      </c>
      <c r="AE32" s="30">
        <f t="shared" si="6"/>
        <v>90.495188471210426</v>
      </c>
      <c r="AF32" s="30">
        <f t="shared" si="7"/>
        <v>4724.8451884712158</v>
      </c>
      <c r="AG32" s="30">
        <f t="shared" si="8"/>
        <v>4002.6999999999971</v>
      </c>
      <c r="AH32" s="31">
        <f t="shared" si="9"/>
        <v>1.3795914965712161E-2</v>
      </c>
      <c r="AI32" s="30">
        <f t="shared" si="10"/>
        <v>1298.0630195306892</v>
      </c>
      <c r="AJ32" s="30">
        <f t="shared" si="11"/>
        <v>5300.7630195306865</v>
      </c>
      <c r="AK32" s="30">
        <f t="shared" si="12"/>
        <v>4777.7099999999919</v>
      </c>
      <c r="AL32" s="31">
        <f t="shared" si="13"/>
        <v>1.1616956787257894E-2</v>
      </c>
      <c r="AM32" s="30">
        <f t="shared" si="14"/>
        <v>481.23986976450766</v>
      </c>
      <c r="AN32" s="30">
        <f t="shared" si="15"/>
        <v>5258.9498697644995</v>
      </c>
      <c r="AO32" s="30">
        <f t="shared" si="16"/>
        <v>4562.3999999999942</v>
      </c>
      <c r="AP32" s="31">
        <f t="shared" si="17"/>
        <v>1.2597419881414586E-2</v>
      </c>
      <c r="AQ32" s="30">
        <f t="shared" si="18"/>
        <v>1097.5829604599351</v>
      </c>
      <c r="AR32" s="30">
        <f t="shared" si="19"/>
        <v>5659.982960459929</v>
      </c>
      <c r="AS32" s="92">
        <f t="shared" si="20"/>
        <v>4672.8400000000256</v>
      </c>
      <c r="AT32" s="93">
        <f t="shared" si="21"/>
        <v>9.864774079544265E-3</v>
      </c>
      <c r="AU32" s="94">
        <f t="shared" si="22"/>
        <v>1168.714213265145</v>
      </c>
      <c r="AV32" s="94">
        <f t="shared" si="23"/>
        <v>5841.5542132651708</v>
      </c>
      <c r="AW32" s="103">
        <f t="shared" si="24"/>
        <v>4064.5</v>
      </c>
      <c r="AX32" s="93">
        <f t="shared" si="25"/>
        <v>8.7623543645288168E-3</v>
      </c>
      <c r="AY32" s="103">
        <f t="shared" si="26"/>
        <v>905.45482143455786</v>
      </c>
      <c r="AZ32" s="103">
        <f t="shared" si="27"/>
        <v>4969.9548214345577</v>
      </c>
      <c r="BA32" s="103">
        <f t="shared" si="28"/>
        <v>4507.2999999999884</v>
      </c>
      <c r="BB32" s="90">
        <f t="shared" si="30"/>
        <v>1.2831257927016062E-2</v>
      </c>
      <c r="BC32" s="103">
        <f t="shared" si="31"/>
        <v>1109.1340635238471</v>
      </c>
      <c r="BD32" s="103">
        <f t="shared" si="29"/>
        <v>5616.434063523835</v>
      </c>
      <c r="BE32" s="103">
        <f t="shared" si="32"/>
        <v>4370.7999999999884</v>
      </c>
      <c r="BF32" s="93">
        <f t="shared" si="33"/>
        <v>1.1336887726553242E-2</v>
      </c>
      <c r="BG32" s="103">
        <f t="shared" si="34"/>
        <v>880.94521799944118</v>
      </c>
      <c r="BH32" s="103">
        <f t="shared" si="35"/>
        <v>5251.7452179994298</v>
      </c>
      <c r="BI32" s="103">
        <f t="shared" si="36"/>
        <v>4693.0500000000175</v>
      </c>
      <c r="BJ32" s="90">
        <f t="shared" si="37"/>
        <v>9.7436261885701474E-3</v>
      </c>
      <c r="BK32" s="102">
        <f t="shared" si="38"/>
        <v>1098.3957648408721</v>
      </c>
      <c r="BL32" s="102">
        <f t="shared" si="39"/>
        <v>5791.4457648408898</v>
      </c>
      <c r="BM32" s="94">
        <f t="shared" si="40"/>
        <v>4232.5</v>
      </c>
      <c r="BN32" s="90">
        <f t="shared" si="41"/>
        <v>1.0920824013004562E-2</v>
      </c>
      <c r="BO32" s="94">
        <f t="shared" si="42"/>
        <v>1071.9626395965761</v>
      </c>
      <c r="BP32" s="94">
        <f t="shared" si="43"/>
        <v>5304.4626395965761</v>
      </c>
      <c r="BQ32" s="94">
        <f t="shared" si="44"/>
        <v>4765.5899999999965</v>
      </c>
      <c r="BR32" s="90">
        <f t="shared" si="45"/>
        <v>9.0528789273493712E-3</v>
      </c>
      <c r="BS32" s="94">
        <f t="shared" si="46"/>
        <v>1029.6647626162678</v>
      </c>
      <c r="BT32" s="94">
        <f t="shared" si="47"/>
        <v>5795.2547626162641</v>
      </c>
    </row>
    <row r="33" spans="1:72" ht="13.5" hidden="1">
      <c r="A33" s="16">
        <v>30</v>
      </c>
      <c r="B33" s="16" t="s">
        <v>109</v>
      </c>
      <c r="C33" s="17" t="s">
        <v>110</v>
      </c>
      <c r="D33" s="20" t="s">
        <v>41</v>
      </c>
      <c r="E33" s="20" t="s">
        <v>109</v>
      </c>
      <c r="F33" s="56" t="s">
        <v>111</v>
      </c>
      <c r="G33" s="56" t="s">
        <v>112</v>
      </c>
      <c r="H33" s="53">
        <v>131066.85</v>
      </c>
      <c r="I33" s="53">
        <v>204267.42</v>
      </c>
      <c r="J33" s="53">
        <v>206087.56</v>
      </c>
      <c r="K33" s="53">
        <v>73200.570000000007</v>
      </c>
      <c r="L33" s="53">
        <v>1820.14</v>
      </c>
      <c r="M33" s="53">
        <v>206699.34</v>
      </c>
      <c r="N33" s="53">
        <v>210571.06</v>
      </c>
      <c r="O33" s="53">
        <v>213946.46</v>
      </c>
      <c r="P33" s="53">
        <v>218507.86</v>
      </c>
      <c r="Q33" s="53">
        <v>223299.54</v>
      </c>
      <c r="R33" s="53">
        <v>228213.98</v>
      </c>
      <c r="S33" s="53">
        <v>231412.98</v>
      </c>
      <c r="T33" s="71">
        <v>234299.66</v>
      </c>
      <c r="U33" s="34">
        <v>237393.64</v>
      </c>
      <c r="V33" s="34">
        <v>240306.92</v>
      </c>
      <c r="W33" s="72">
        <v>243258.42</v>
      </c>
      <c r="X33" s="72">
        <v>246845.9</v>
      </c>
      <c r="Y33" s="30">
        <f t="shared" si="0"/>
        <v>2431.9199999999837</v>
      </c>
      <c r="Z33" s="31">
        <f t="shared" si="1"/>
        <v>5.5055184110750065E-3</v>
      </c>
      <c r="AA33" s="30">
        <f t="shared" si="2"/>
        <v>754.06844930501177</v>
      </c>
      <c r="AB33" s="30">
        <f t="shared" si="3"/>
        <v>3185.9884493049954</v>
      </c>
      <c r="AC33" s="30">
        <f t="shared" si="4"/>
        <v>3871.7200000000012</v>
      </c>
      <c r="AD33" s="31">
        <f t="shared" si="5"/>
        <v>1.0893168524355385E-2</v>
      </c>
      <c r="AE33" s="30">
        <f t="shared" si="6"/>
        <v>75.603273621490501</v>
      </c>
      <c r="AF33" s="30">
        <f t="shared" si="7"/>
        <v>3947.3232736214918</v>
      </c>
      <c r="AG33" s="30">
        <f t="shared" si="8"/>
        <v>3375.3999999999942</v>
      </c>
      <c r="AH33" s="31">
        <f t="shared" si="9"/>
        <v>1.1633830008560418E-2</v>
      </c>
      <c r="AI33" s="30">
        <f t="shared" si="10"/>
        <v>1094.6316026991492</v>
      </c>
      <c r="AJ33" s="30">
        <f t="shared" si="11"/>
        <v>4470.0316026991431</v>
      </c>
      <c r="AK33" s="30">
        <f t="shared" si="12"/>
        <v>4561.3999999999942</v>
      </c>
      <c r="AL33" s="31">
        <f t="shared" si="13"/>
        <v>1.1091001063144933E-2</v>
      </c>
      <c r="AM33" s="30">
        <f t="shared" si="14"/>
        <v>459.45181728146457</v>
      </c>
      <c r="AN33" s="30">
        <f t="shared" si="15"/>
        <v>5020.8518172814584</v>
      </c>
      <c r="AO33" s="30">
        <f t="shared" si="16"/>
        <v>4791.6800000000221</v>
      </c>
      <c r="AP33" s="31">
        <f t="shared" si="17"/>
        <v>1.3230493796549404E-2</v>
      </c>
      <c r="AQ33" s="30">
        <f t="shared" si="18"/>
        <v>1152.7411713082352</v>
      </c>
      <c r="AR33" s="30">
        <f t="shared" si="19"/>
        <v>5944.4211713082568</v>
      </c>
      <c r="AS33" s="92">
        <f t="shared" si="20"/>
        <v>4914.4400000000023</v>
      </c>
      <c r="AT33" s="93">
        <f t="shared" si="21"/>
        <v>1.0374812817788598E-2</v>
      </c>
      <c r="AU33" s="94">
        <f t="shared" si="22"/>
        <v>1229.1402826201474</v>
      </c>
      <c r="AV33" s="94">
        <f t="shared" si="23"/>
        <v>6143.5802826201498</v>
      </c>
      <c r="AW33" s="103">
        <f t="shared" si="24"/>
        <v>3199</v>
      </c>
      <c r="AX33" s="93">
        <f t="shared" si="25"/>
        <v>6.896487049360976E-3</v>
      </c>
      <c r="AY33" s="103">
        <f t="shared" si="26"/>
        <v>712.64607547524929</v>
      </c>
      <c r="AZ33" s="103">
        <f t="shared" si="27"/>
        <v>3911.6460754752493</v>
      </c>
      <c r="BA33" s="103">
        <f t="shared" si="28"/>
        <v>2886.679999999993</v>
      </c>
      <c r="BB33" s="90">
        <f t="shared" si="30"/>
        <v>8.2177213925762049E-3</v>
      </c>
      <c r="BC33" s="103">
        <f t="shared" si="31"/>
        <v>710.33991935150073</v>
      </c>
      <c r="BD33" s="103">
        <f t="shared" si="29"/>
        <v>3597.0199193514936</v>
      </c>
      <c r="BE33" s="103">
        <f t="shared" si="32"/>
        <v>3093.9800000000105</v>
      </c>
      <c r="BF33" s="93">
        <f t="shared" si="33"/>
        <v>8.025099269744991E-3</v>
      </c>
      <c r="BG33" s="103">
        <f t="shared" si="34"/>
        <v>623.59908611373828</v>
      </c>
      <c r="BH33" s="103">
        <f t="shared" si="35"/>
        <v>3717.5790861137489</v>
      </c>
      <c r="BI33" s="103">
        <f t="shared" si="36"/>
        <v>2913.2799999999988</v>
      </c>
      <c r="BJ33" s="90">
        <f t="shared" si="37"/>
        <v>6.0484996543053067E-3</v>
      </c>
      <c r="BK33" s="102">
        <f t="shared" si="38"/>
        <v>681.84537002495222</v>
      </c>
      <c r="BL33" s="102">
        <f t="shared" si="39"/>
        <v>3595.1253700249508</v>
      </c>
      <c r="BM33" s="94">
        <f t="shared" si="40"/>
        <v>2951.5</v>
      </c>
      <c r="BN33" s="90">
        <f t="shared" si="41"/>
        <v>7.6155492201731758E-3</v>
      </c>
      <c r="BO33" s="94">
        <f t="shared" si="42"/>
        <v>747.52456722251497</v>
      </c>
      <c r="BP33" s="94">
        <f t="shared" si="43"/>
        <v>3699.0245672225151</v>
      </c>
      <c r="BQ33" s="94">
        <f t="shared" si="44"/>
        <v>3587.4799999999814</v>
      </c>
      <c r="BR33" s="90">
        <f t="shared" si="45"/>
        <v>6.8149005882350722E-3</v>
      </c>
      <c r="BS33" s="94">
        <f t="shared" si="46"/>
        <v>775.11950096222961</v>
      </c>
      <c r="BT33" s="94">
        <f t="shared" si="47"/>
        <v>4362.5995009622111</v>
      </c>
    </row>
    <row r="34" spans="1:72" ht="13.5" hidden="1">
      <c r="A34" s="11">
        <v>31</v>
      </c>
      <c r="B34" s="16" t="s">
        <v>49</v>
      </c>
      <c r="C34" s="17" t="s">
        <v>50</v>
      </c>
      <c r="D34" s="18" t="s">
        <v>41</v>
      </c>
      <c r="E34" s="20" t="s">
        <v>49</v>
      </c>
      <c r="F34" s="56" t="s">
        <v>113</v>
      </c>
      <c r="G34" s="56" t="s">
        <v>114</v>
      </c>
      <c r="H34" s="53">
        <v>66489.69</v>
      </c>
      <c r="I34" s="53">
        <v>108842.21</v>
      </c>
      <c r="J34" s="53">
        <v>110813.58</v>
      </c>
      <c r="K34" s="53">
        <v>42352.52</v>
      </c>
      <c r="L34" s="53">
        <v>1971.37</v>
      </c>
      <c r="M34" s="53">
        <v>111472.86</v>
      </c>
      <c r="N34" s="53">
        <v>114602.49</v>
      </c>
      <c r="O34" s="53">
        <v>117905.82</v>
      </c>
      <c r="P34" s="53">
        <v>121659.45</v>
      </c>
      <c r="Q34" s="53">
        <v>125539.95</v>
      </c>
      <c r="R34" s="53">
        <v>129269.13</v>
      </c>
      <c r="S34" s="53">
        <v>133291.26</v>
      </c>
      <c r="T34" s="71">
        <v>137060.5</v>
      </c>
      <c r="U34" s="34">
        <v>141215.87</v>
      </c>
      <c r="V34" s="34">
        <v>145337.07</v>
      </c>
      <c r="W34" s="72">
        <v>148946.53</v>
      </c>
      <c r="X34" s="72">
        <v>153165.06</v>
      </c>
      <c r="Y34" s="30">
        <f t="shared" si="0"/>
        <v>2630.6499999999942</v>
      </c>
      <c r="Z34" s="31">
        <f t="shared" si="1"/>
        <v>5.9554146551262094E-3</v>
      </c>
      <c r="AA34" s="30">
        <f t="shared" si="2"/>
        <v>815.68890677499189</v>
      </c>
      <c r="AB34" s="30">
        <f t="shared" si="3"/>
        <v>3446.3389067749858</v>
      </c>
      <c r="AC34" s="30">
        <f t="shared" si="4"/>
        <v>3129.6300000000047</v>
      </c>
      <c r="AD34" s="31">
        <f t="shared" si="5"/>
        <v>8.8052821507956115E-3</v>
      </c>
      <c r="AE34" s="30">
        <f t="shared" si="6"/>
        <v>61.112444397845302</v>
      </c>
      <c r="AF34" s="30">
        <f t="shared" si="7"/>
        <v>3190.7424443978498</v>
      </c>
      <c r="AG34" s="30">
        <f t="shared" si="8"/>
        <v>3303.3300000000017</v>
      </c>
      <c r="AH34" s="31">
        <f t="shared" si="9"/>
        <v>1.138542978081945E-2</v>
      </c>
      <c r="AI34" s="30">
        <f t="shared" si="10"/>
        <v>1071.2595283949126</v>
      </c>
      <c r="AJ34" s="30">
        <f t="shared" si="11"/>
        <v>4374.5895283949139</v>
      </c>
      <c r="AK34" s="30">
        <f t="shared" si="12"/>
        <v>3753.6299999999901</v>
      </c>
      <c r="AL34" s="31">
        <f t="shared" si="13"/>
        <v>9.1269159294630284E-3</v>
      </c>
      <c r="AM34" s="30">
        <f t="shared" si="14"/>
        <v>378.08833360420516</v>
      </c>
      <c r="AN34" s="30">
        <f t="shared" si="15"/>
        <v>4131.7183336041953</v>
      </c>
      <c r="AO34" s="30">
        <f t="shared" si="16"/>
        <v>3880.5</v>
      </c>
      <c r="AP34" s="31">
        <f t="shared" si="17"/>
        <v>1.0714599300769193E-2</v>
      </c>
      <c r="AQ34" s="30">
        <f t="shared" si="18"/>
        <v>933.53732203769573</v>
      </c>
      <c r="AR34" s="30">
        <f t="shared" si="19"/>
        <v>4814.037322037696</v>
      </c>
      <c r="AS34" s="92">
        <f t="shared" si="20"/>
        <v>3729.1800000000076</v>
      </c>
      <c r="AT34" s="93">
        <f t="shared" si="21"/>
        <v>7.8726252561514519E-3</v>
      </c>
      <c r="AU34" s="94">
        <f t="shared" si="22"/>
        <v>932.69738955840501</v>
      </c>
      <c r="AV34" s="94">
        <f t="shared" si="23"/>
        <v>4661.8773895584127</v>
      </c>
      <c r="AW34" s="103">
        <f t="shared" si="24"/>
        <v>4022.1300000000047</v>
      </c>
      <c r="AX34" s="93">
        <f t="shared" si="25"/>
        <v>8.6710120212085944E-3</v>
      </c>
      <c r="AY34" s="103">
        <f t="shared" si="26"/>
        <v>896.01599235738286</v>
      </c>
      <c r="AZ34" s="103">
        <f t="shared" si="27"/>
        <v>4918.1459923573875</v>
      </c>
      <c r="BA34" s="103">
        <f t="shared" si="28"/>
        <v>3769.2399999999907</v>
      </c>
      <c r="BB34" s="90">
        <f t="shared" si="30"/>
        <v>1.0730168976732417E-2</v>
      </c>
      <c r="BC34" s="103">
        <f t="shared" si="31"/>
        <v>927.51591365043942</v>
      </c>
      <c r="BD34" s="103">
        <f t="shared" si="29"/>
        <v>4696.7559136504296</v>
      </c>
      <c r="BE34" s="103">
        <f t="shared" si="32"/>
        <v>4155.3699999999953</v>
      </c>
      <c r="BF34" s="93">
        <f t="shared" si="33"/>
        <v>1.0778109991829325E-2</v>
      </c>
      <c r="BG34" s="103">
        <f t="shared" si="34"/>
        <v>837.52478505498846</v>
      </c>
      <c r="BH34" s="103">
        <f t="shared" si="35"/>
        <v>4992.8947850549839</v>
      </c>
      <c r="BI34" s="103">
        <f t="shared" si="36"/>
        <v>4121.2000000000116</v>
      </c>
      <c r="BJ34" s="90">
        <f t="shared" si="37"/>
        <v>8.5563614809847019E-3</v>
      </c>
      <c r="BK34" s="102">
        <f t="shared" si="38"/>
        <v>964.55580615211807</v>
      </c>
      <c r="BL34" s="102">
        <f t="shared" si="39"/>
        <v>5085.7558061521295</v>
      </c>
      <c r="BM34" s="94">
        <f t="shared" si="40"/>
        <v>3609.4599999999919</v>
      </c>
      <c r="BN34" s="90">
        <f t="shared" si="41"/>
        <v>9.3132374346082368E-3</v>
      </c>
      <c r="BO34" s="94">
        <f t="shared" si="42"/>
        <v>914.16568673792062</v>
      </c>
      <c r="BP34" s="94">
        <f t="shared" si="43"/>
        <v>4523.6256867379125</v>
      </c>
      <c r="BQ34" s="94">
        <f t="shared" si="44"/>
        <v>4218.5299999999988</v>
      </c>
      <c r="BR34" s="90">
        <f t="shared" si="45"/>
        <v>8.0136649064210651E-3</v>
      </c>
      <c r="BS34" s="94">
        <f t="shared" si="46"/>
        <v>911.46567183488435</v>
      </c>
      <c r="BT34" s="94">
        <f t="shared" si="47"/>
        <v>5129.9956718348831</v>
      </c>
    </row>
    <row r="35" spans="1:72" ht="13.5" hidden="1">
      <c r="A35" s="16">
        <v>32</v>
      </c>
      <c r="B35" s="16" t="s">
        <v>49</v>
      </c>
      <c r="C35" s="17" t="s">
        <v>50</v>
      </c>
      <c r="D35" s="21" t="s">
        <v>67</v>
      </c>
      <c r="E35" s="20" t="s">
        <v>49</v>
      </c>
      <c r="F35" s="56" t="s">
        <v>115</v>
      </c>
      <c r="G35" s="56" t="s">
        <v>116</v>
      </c>
      <c r="H35" s="53">
        <v>24199.5</v>
      </c>
      <c r="I35" s="53">
        <v>38867.5</v>
      </c>
      <c r="J35" s="53">
        <v>39406.5</v>
      </c>
      <c r="K35" s="53">
        <v>14668</v>
      </c>
      <c r="L35" s="53">
        <v>539</v>
      </c>
      <c r="M35" s="53">
        <v>39572</v>
      </c>
      <c r="N35" s="53">
        <v>40636</v>
      </c>
      <c r="O35" s="53">
        <v>41457.5</v>
      </c>
      <c r="P35" s="53">
        <v>42458.5</v>
      </c>
      <c r="Q35" s="53">
        <v>43027</v>
      </c>
      <c r="R35" s="53">
        <v>43679</v>
      </c>
      <c r="S35" s="53">
        <v>44482.5</v>
      </c>
      <c r="T35" s="71">
        <v>45366</v>
      </c>
      <c r="U35" s="34">
        <v>46327.5</v>
      </c>
      <c r="V35" s="34">
        <v>46997.5</v>
      </c>
      <c r="W35" s="72">
        <v>47569</v>
      </c>
      <c r="X35" s="72">
        <v>48412</v>
      </c>
      <c r="Y35" s="30">
        <f t="shared" si="0"/>
        <v>704.5</v>
      </c>
      <c r="Z35" s="31">
        <f t="shared" si="1"/>
        <v>1.5948870524533571E-3</v>
      </c>
      <c r="AA35" s="30">
        <f t="shared" si="2"/>
        <v>218.44518838423321</v>
      </c>
      <c r="AB35" s="30">
        <f t="shared" si="3"/>
        <v>922.94518838423323</v>
      </c>
      <c r="AC35" s="30">
        <f t="shared" si="4"/>
        <v>1064</v>
      </c>
      <c r="AD35" s="31">
        <f t="shared" si="5"/>
        <v>2.9935871679548434E-3</v>
      </c>
      <c r="AE35" s="30">
        <f t="shared" si="6"/>
        <v>20.776782188088465</v>
      </c>
      <c r="AF35" s="30">
        <f t="shared" si="7"/>
        <v>1084.7767821880884</v>
      </c>
      <c r="AG35" s="30">
        <f t="shared" si="8"/>
        <v>821.5</v>
      </c>
      <c r="AH35" s="31">
        <f t="shared" si="9"/>
        <v>2.8314248243267166E-3</v>
      </c>
      <c r="AI35" s="30">
        <f t="shared" si="10"/>
        <v>266.40986597658133</v>
      </c>
      <c r="AJ35" s="30">
        <f t="shared" si="11"/>
        <v>1087.9098659765814</v>
      </c>
      <c r="AK35" s="30">
        <f t="shared" si="12"/>
        <v>1001</v>
      </c>
      <c r="AL35" s="31">
        <f t="shared" si="13"/>
        <v>2.4339220555548938E-3</v>
      </c>
      <c r="AM35" s="30">
        <f t="shared" si="14"/>
        <v>100.8267788614782</v>
      </c>
      <c r="AN35" s="30">
        <f t="shared" si="15"/>
        <v>1101.8267788614783</v>
      </c>
      <c r="AO35" s="30">
        <f t="shared" si="16"/>
        <v>568.5</v>
      </c>
      <c r="AP35" s="31">
        <f t="shared" si="17"/>
        <v>1.5697074352499125E-3</v>
      </c>
      <c r="AQ35" s="30">
        <f t="shared" si="18"/>
        <v>136.76484153547997</v>
      </c>
      <c r="AR35" s="30">
        <f t="shared" si="19"/>
        <v>705.26484153547995</v>
      </c>
      <c r="AS35" s="92">
        <f t="shared" si="20"/>
        <v>652</v>
      </c>
      <c r="AT35" s="93">
        <f t="shared" si="21"/>
        <v>1.3764290452621586E-3</v>
      </c>
      <c r="AU35" s="94">
        <f t="shared" si="22"/>
        <v>163.07035272957563</v>
      </c>
      <c r="AV35" s="94">
        <f t="shared" si="23"/>
        <v>815.07035272957569</v>
      </c>
      <c r="AW35" s="103">
        <f t="shared" si="24"/>
        <v>803.5</v>
      </c>
      <c r="AX35" s="93">
        <f t="shared" si="25"/>
        <v>1.7322061094596887E-3</v>
      </c>
      <c r="AY35" s="103">
        <f t="shared" si="26"/>
        <v>178.99691204887867</v>
      </c>
      <c r="AZ35" s="103">
        <f t="shared" si="27"/>
        <v>982.4969120488787</v>
      </c>
      <c r="BA35" s="103">
        <f t="shared" si="28"/>
        <v>883.5</v>
      </c>
      <c r="BB35" s="90">
        <f t="shared" si="30"/>
        <v>2.515123550355805E-3</v>
      </c>
      <c r="BC35" s="103">
        <f t="shared" si="31"/>
        <v>217.40730484399117</v>
      </c>
      <c r="BD35" s="103">
        <f t="shared" si="29"/>
        <v>1100.9073048439911</v>
      </c>
      <c r="BE35" s="103">
        <f t="shared" si="32"/>
        <v>961.5</v>
      </c>
      <c r="BF35" s="93">
        <f t="shared" si="33"/>
        <v>2.4939181726642652E-3</v>
      </c>
      <c r="BG35" s="103">
        <f t="shared" si="34"/>
        <v>193.79262997768484</v>
      </c>
      <c r="BH35" s="103">
        <f t="shared" si="35"/>
        <v>1155.2926299776848</v>
      </c>
      <c r="BI35" s="103">
        <f t="shared" si="36"/>
        <v>670</v>
      </c>
      <c r="BJ35" s="90">
        <f t="shared" si="37"/>
        <v>1.391041976186483E-3</v>
      </c>
      <c r="BK35" s="102">
        <f t="shared" si="38"/>
        <v>156.8117029316503</v>
      </c>
      <c r="BL35" s="102">
        <f t="shared" si="39"/>
        <v>826.8117029316503</v>
      </c>
      <c r="BM35" s="94">
        <f t="shared" si="40"/>
        <v>571.5</v>
      </c>
      <c r="BN35" s="90">
        <f t="shared" si="41"/>
        <v>1.4746015176449162E-3</v>
      </c>
      <c r="BO35" s="94">
        <f t="shared" si="42"/>
        <v>144.74344915048866</v>
      </c>
      <c r="BP35" s="94">
        <f t="shared" si="43"/>
        <v>716.24344915048869</v>
      </c>
      <c r="BQ35" s="94">
        <f t="shared" si="44"/>
        <v>843</v>
      </c>
      <c r="BR35" s="90">
        <f t="shared" si="45"/>
        <v>1.6013918393641764E-3</v>
      </c>
      <c r="BS35" s="94">
        <f t="shared" si="46"/>
        <v>182.14059432001378</v>
      </c>
      <c r="BT35" s="94">
        <f t="shared" si="47"/>
        <v>1025.1405943200139</v>
      </c>
    </row>
    <row r="36" spans="1:72" ht="13.5" hidden="1">
      <c r="A36" s="11">
        <v>33</v>
      </c>
      <c r="B36" s="16" t="s">
        <v>49</v>
      </c>
      <c r="C36" s="17" t="s">
        <v>50</v>
      </c>
      <c r="D36" s="21" t="s">
        <v>67</v>
      </c>
      <c r="E36" s="20" t="s">
        <v>49</v>
      </c>
      <c r="F36" s="56" t="s">
        <v>117</v>
      </c>
      <c r="G36" s="56" t="s">
        <v>118</v>
      </c>
      <c r="H36" s="53">
        <v>80681.16</v>
      </c>
      <c r="I36" s="53">
        <v>163194.88</v>
      </c>
      <c r="J36" s="53">
        <v>168568.39</v>
      </c>
      <c r="K36" s="53">
        <v>82513.72</v>
      </c>
      <c r="L36" s="53">
        <v>5373.51</v>
      </c>
      <c r="M36" s="53">
        <v>170288.56</v>
      </c>
      <c r="N36" s="53">
        <v>177311.79</v>
      </c>
      <c r="O36" s="53">
        <v>182469.5</v>
      </c>
      <c r="P36" s="53">
        <v>189576.12</v>
      </c>
      <c r="Q36" s="53">
        <v>195509.91</v>
      </c>
      <c r="R36" s="53">
        <v>203359.4</v>
      </c>
      <c r="S36" s="53">
        <v>210211.75</v>
      </c>
      <c r="T36" s="71">
        <v>216191</v>
      </c>
      <c r="U36" s="34">
        <v>221898.85</v>
      </c>
      <c r="V36" s="34">
        <v>229486.25</v>
      </c>
      <c r="W36" s="72">
        <v>237044.34</v>
      </c>
      <c r="X36" s="72">
        <v>246518.18</v>
      </c>
      <c r="Y36" s="30">
        <f t="shared" si="0"/>
        <v>7093.679999999993</v>
      </c>
      <c r="Z36" s="31">
        <f t="shared" si="1"/>
        <v>1.6059075069194208E-2</v>
      </c>
      <c r="AA36" s="30">
        <f t="shared" si="2"/>
        <v>2199.5461517920025</v>
      </c>
      <c r="AB36" s="30">
        <f t="shared" si="3"/>
        <v>9293.226151791996</v>
      </c>
      <c r="AC36" s="30">
        <f t="shared" si="4"/>
        <v>7023.2300000000105</v>
      </c>
      <c r="AD36" s="31">
        <f t="shared" si="5"/>
        <v>1.9760010531574741E-2</v>
      </c>
      <c r="AE36" s="30">
        <f t="shared" si="6"/>
        <v>137.14296989365485</v>
      </c>
      <c r="AF36" s="30">
        <f t="shared" si="7"/>
        <v>7160.372969893665</v>
      </c>
      <c r="AG36" s="30">
        <f t="shared" si="8"/>
        <v>5157.7099999999919</v>
      </c>
      <c r="AH36" s="31">
        <f t="shared" si="9"/>
        <v>1.7776832782322734E-2</v>
      </c>
      <c r="AI36" s="30">
        <f t="shared" si="10"/>
        <v>1672.6291294535251</v>
      </c>
      <c r="AJ36" s="30">
        <f t="shared" si="11"/>
        <v>6830.3391294535168</v>
      </c>
      <c r="AK36" s="30">
        <f t="shared" si="12"/>
        <v>7106.6199999999953</v>
      </c>
      <c r="AL36" s="31">
        <f t="shared" si="13"/>
        <v>1.7279679478968541E-2</v>
      </c>
      <c r="AM36" s="30">
        <f t="shared" si="14"/>
        <v>715.82178141114662</v>
      </c>
      <c r="AN36" s="30">
        <f t="shared" si="15"/>
        <v>7822.4417814111421</v>
      </c>
      <c r="AO36" s="30">
        <f t="shared" si="16"/>
        <v>5933.7900000000081</v>
      </c>
      <c r="AP36" s="31">
        <f t="shared" si="17"/>
        <v>1.6384018086563926E-2</v>
      </c>
      <c r="AQ36" s="30">
        <f t="shared" si="18"/>
        <v>1427.5001742389038</v>
      </c>
      <c r="AR36" s="30">
        <f t="shared" si="19"/>
        <v>7361.2901742389122</v>
      </c>
      <c r="AS36" s="92">
        <f t="shared" si="20"/>
        <v>7849.4899999999907</v>
      </c>
      <c r="AT36" s="93">
        <f t="shared" si="21"/>
        <v>1.6570960163335657E-2</v>
      </c>
      <c r="AU36" s="94">
        <f t="shared" si="22"/>
        <v>1963.2194832013422</v>
      </c>
      <c r="AV36" s="94">
        <f t="shared" si="23"/>
        <v>9812.7094832013336</v>
      </c>
      <c r="AW36" s="103">
        <f t="shared" si="24"/>
        <v>6852.3500000000058</v>
      </c>
      <c r="AX36" s="93">
        <f t="shared" si="25"/>
        <v>1.4772473595713886E-2</v>
      </c>
      <c r="AY36" s="103">
        <f t="shared" si="26"/>
        <v>1526.5083886473362</v>
      </c>
      <c r="AZ36" s="103">
        <f t="shared" si="27"/>
        <v>8378.8583886473425</v>
      </c>
      <c r="BA36" s="103">
        <f t="shared" si="28"/>
        <v>5979.25</v>
      </c>
      <c r="BB36" s="90">
        <f t="shared" si="30"/>
        <v>1.7021564786038421E-2</v>
      </c>
      <c r="BC36" s="103">
        <f t="shared" si="31"/>
        <v>1471.3442303208083</v>
      </c>
      <c r="BD36" s="103">
        <f t="shared" si="29"/>
        <v>7450.5942303208085</v>
      </c>
      <c r="BE36" s="103">
        <f t="shared" si="32"/>
        <v>5707.8500000000058</v>
      </c>
      <c r="BF36" s="93">
        <f t="shared" si="33"/>
        <v>1.4804899471494271E-2</v>
      </c>
      <c r="BG36" s="103">
        <f t="shared" si="34"/>
        <v>1150.4308507728858</v>
      </c>
      <c r="BH36" s="103">
        <f t="shared" si="35"/>
        <v>6858.2808507728914</v>
      </c>
      <c r="BI36" s="103">
        <f t="shared" si="36"/>
        <v>7587.3999999999942</v>
      </c>
      <c r="BJ36" s="90">
        <f t="shared" si="37"/>
        <v>1.5752823716593003E-2</v>
      </c>
      <c r="BK36" s="102">
        <f t="shared" si="38"/>
        <v>1775.8106191397053</v>
      </c>
      <c r="BL36" s="102">
        <f t="shared" si="39"/>
        <v>9363.2106191396997</v>
      </c>
      <c r="BM36" s="94">
        <f t="shared" si="40"/>
        <v>7558.0899999999965</v>
      </c>
      <c r="BN36" s="90">
        <f t="shared" si="41"/>
        <v>1.9501611521429325E-2</v>
      </c>
      <c r="BO36" s="94">
        <f t="shared" si="42"/>
        <v>1914.232748188655</v>
      </c>
      <c r="BP36" s="94">
        <f t="shared" si="43"/>
        <v>9472.3227481886515</v>
      </c>
      <c r="BQ36" s="94">
        <f t="shared" si="44"/>
        <v>9473.8399999999965</v>
      </c>
      <c r="BR36" s="90">
        <f t="shared" si="45"/>
        <v>1.7996832815470824E-2</v>
      </c>
      <c r="BS36" s="94">
        <f t="shared" si="46"/>
        <v>2046.9405078205441</v>
      </c>
      <c r="BT36" s="94">
        <f t="shared" si="47"/>
        <v>11520.78050782054</v>
      </c>
    </row>
    <row r="37" spans="1:72" ht="13.5" hidden="1">
      <c r="A37" s="16">
        <v>34</v>
      </c>
      <c r="B37" s="16" t="s">
        <v>49</v>
      </c>
      <c r="C37" s="17" t="s">
        <v>50</v>
      </c>
      <c r="D37" s="21" t="s">
        <v>67</v>
      </c>
      <c r="E37" s="20" t="s">
        <v>49</v>
      </c>
      <c r="F37" s="56" t="s">
        <v>119</v>
      </c>
      <c r="G37" s="56" t="s">
        <v>120</v>
      </c>
      <c r="H37" s="53">
        <v>74325.33</v>
      </c>
      <c r="I37" s="53">
        <v>120810.66</v>
      </c>
      <c r="J37" s="53">
        <v>123329.19</v>
      </c>
      <c r="K37" s="53">
        <v>46485.33</v>
      </c>
      <c r="L37" s="53">
        <v>2518.5300000000002</v>
      </c>
      <c r="M37" s="53">
        <v>124017.39</v>
      </c>
      <c r="N37" s="53">
        <v>128684.31</v>
      </c>
      <c r="O37" s="53">
        <v>132381.42000000001</v>
      </c>
      <c r="P37" s="53">
        <v>137306.1</v>
      </c>
      <c r="Q37" s="53">
        <v>141925.23000000001</v>
      </c>
      <c r="R37" s="53">
        <v>146620.10999999999</v>
      </c>
      <c r="S37" s="53">
        <v>150684.24</v>
      </c>
      <c r="T37" s="71">
        <v>154532.03</v>
      </c>
      <c r="U37" s="34">
        <v>158253.70000000001</v>
      </c>
      <c r="V37" s="34">
        <v>162891.18</v>
      </c>
      <c r="W37" s="72">
        <v>166650.1</v>
      </c>
      <c r="X37" s="72">
        <v>170657.08</v>
      </c>
      <c r="Y37" s="30">
        <f t="shared" si="0"/>
        <v>3206.7299999999959</v>
      </c>
      <c r="Z37" s="31">
        <f t="shared" si="1"/>
        <v>7.2595772288342759E-3</v>
      </c>
      <c r="AA37" s="30">
        <f t="shared" si="2"/>
        <v>994.31474655411103</v>
      </c>
      <c r="AB37" s="30">
        <f t="shared" si="3"/>
        <v>4201.0447465541074</v>
      </c>
      <c r="AC37" s="30">
        <f t="shared" si="4"/>
        <v>4666.9199999999983</v>
      </c>
      <c r="AD37" s="31">
        <f t="shared" si="5"/>
        <v>1.3130481039353208E-2</v>
      </c>
      <c r="AE37" s="30">
        <f t="shared" si="6"/>
        <v>91.131184519956562</v>
      </c>
      <c r="AF37" s="30">
        <f t="shared" si="7"/>
        <v>4758.0511845199544</v>
      </c>
      <c r="AG37" s="30">
        <f t="shared" si="8"/>
        <v>3697.1100000000151</v>
      </c>
      <c r="AH37" s="31">
        <f t="shared" si="9"/>
        <v>1.2742652504280694E-2</v>
      </c>
      <c r="AI37" s="30">
        <f t="shared" si="10"/>
        <v>1198.961143762243</v>
      </c>
      <c r="AJ37" s="30">
        <f t="shared" si="11"/>
        <v>4896.0711437622576</v>
      </c>
      <c r="AK37" s="30">
        <f t="shared" si="12"/>
        <v>4924.679999999993</v>
      </c>
      <c r="AL37" s="31">
        <f t="shared" si="13"/>
        <v>1.1974312955594462E-2</v>
      </c>
      <c r="AM37" s="30">
        <f t="shared" si="14"/>
        <v>496.0435777457979</v>
      </c>
      <c r="AN37" s="30">
        <f t="shared" si="15"/>
        <v>5420.7235777457909</v>
      </c>
      <c r="AO37" s="30">
        <f t="shared" si="16"/>
        <v>4619.1300000000047</v>
      </c>
      <c r="AP37" s="31">
        <f t="shared" si="17"/>
        <v>1.2754059288277811E-2</v>
      </c>
      <c r="AQ37" s="30">
        <f t="shared" si="18"/>
        <v>1111.2305760453512</v>
      </c>
      <c r="AR37" s="30">
        <f t="shared" si="19"/>
        <v>5730.3605760453556</v>
      </c>
      <c r="AS37" s="92">
        <f t="shared" si="20"/>
        <v>4694.8799999999756</v>
      </c>
      <c r="AT37" s="93">
        <f t="shared" si="21"/>
        <v>9.9113024478840028E-3</v>
      </c>
      <c r="AU37" s="94">
        <f t="shared" si="22"/>
        <v>1174.2265914463592</v>
      </c>
      <c r="AV37" s="94">
        <f t="shared" si="23"/>
        <v>5869.1065914463343</v>
      </c>
      <c r="AW37" s="103">
        <f t="shared" si="24"/>
        <v>4064.1300000000047</v>
      </c>
      <c r="AX37" s="93">
        <f t="shared" si="25"/>
        <v>8.7615567089463758E-3</v>
      </c>
      <c r="AY37" s="103">
        <f t="shared" si="26"/>
        <v>905.37239597412577</v>
      </c>
      <c r="AZ37" s="103">
        <f t="shared" si="27"/>
        <v>4969.5023959741302</v>
      </c>
      <c r="BA37" s="103">
        <f t="shared" si="28"/>
        <v>3847.7900000000081</v>
      </c>
      <c r="BB37" s="90">
        <f t="shared" si="30"/>
        <v>1.0953782960751085E-2</v>
      </c>
      <c r="BC37" s="103">
        <f t="shared" si="31"/>
        <v>946.84510866515291</v>
      </c>
      <c r="BD37" s="103">
        <f t="shared" si="29"/>
        <v>4794.6351086651612</v>
      </c>
      <c r="BE37" s="103">
        <f t="shared" si="32"/>
        <v>3721.6700000000128</v>
      </c>
      <c r="BF37" s="93">
        <f t="shared" si="33"/>
        <v>9.6531881910134655E-3</v>
      </c>
      <c r="BG37" s="103">
        <f t="shared" si="34"/>
        <v>750.11151035782927</v>
      </c>
      <c r="BH37" s="103">
        <f t="shared" si="35"/>
        <v>4471.7815103578423</v>
      </c>
      <c r="BI37" s="103">
        <f t="shared" si="36"/>
        <v>4637.4799999999814</v>
      </c>
      <c r="BJ37" s="90">
        <f t="shared" si="37"/>
        <v>9.6282527518287541E-3</v>
      </c>
      <c r="BK37" s="102">
        <f t="shared" si="38"/>
        <v>1085.3897553902489</v>
      </c>
      <c r="BL37" s="102">
        <f t="shared" si="39"/>
        <v>5722.8697553902302</v>
      </c>
      <c r="BM37" s="94">
        <f t="shared" si="40"/>
        <v>3758.9200000000128</v>
      </c>
      <c r="BN37" s="90">
        <f t="shared" si="41"/>
        <v>9.6988786294065557E-3</v>
      </c>
      <c r="BO37" s="94">
        <f t="shared" si="42"/>
        <v>952.01932787533974</v>
      </c>
      <c r="BP37" s="94">
        <f t="shared" si="43"/>
        <v>4710.9393278753523</v>
      </c>
      <c r="BQ37" s="94">
        <f t="shared" si="44"/>
        <v>4006.9799999999814</v>
      </c>
      <c r="BR37" s="90">
        <f t="shared" si="45"/>
        <v>7.6117972390218717E-3</v>
      </c>
      <c r="BS37" s="94">
        <f t="shared" si="46"/>
        <v>865.75767334330408</v>
      </c>
      <c r="BT37" s="94">
        <f t="shared" si="47"/>
        <v>4872.7376733432857</v>
      </c>
    </row>
    <row r="38" spans="1:72" ht="24" hidden="1" customHeight="1">
      <c r="A38" s="11">
        <v>35</v>
      </c>
      <c r="B38" s="16" t="s">
        <v>49</v>
      </c>
      <c r="C38" s="17" t="s">
        <v>50</v>
      </c>
      <c r="D38" s="18" t="s">
        <v>121</v>
      </c>
      <c r="E38" s="20" t="s">
        <v>49</v>
      </c>
      <c r="F38" s="58" t="s">
        <v>122</v>
      </c>
      <c r="G38" s="57" t="s">
        <v>123</v>
      </c>
      <c r="H38" s="59">
        <v>162.5</v>
      </c>
      <c r="I38" s="59">
        <v>17220.599999999999</v>
      </c>
      <c r="J38" s="59">
        <v>18842.3</v>
      </c>
      <c r="K38" s="59">
        <v>17058.099999999999</v>
      </c>
      <c r="L38" s="59">
        <v>1621.7</v>
      </c>
      <c r="M38" s="59">
        <v>19345</v>
      </c>
      <c r="N38" s="59">
        <v>21476.2</v>
      </c>
      <c r="O38" s="59">
        <v>23496.400000000001</v>
      </c>
      <c r="P38" s="59">
        <v>26446.799999999999</v>
      </c>
      <c r="Q38" s="59">
        <v>29026</v>
      </c>
      <c r="R38" s="59">
        <v>32143.7</v>
      </c>
      <c r="S38" s="59">
        <v>34876.9</v>
      </c>
      <c r="T38" s="75">
        <v>36950.699999999997</v>
      </c>
      <c r="U38" s="65">
        <v>39101.300000000003</v>
      </c>
      <c r="V38" s="65">
        <v>41707.300000000003</v>
      </c>
      <c r="W38" s="76">
        <v>43606.9</v>
      </c>
      <c r="X38" s="76">
        <v>46084.9</v>
      </c>
      <c r="Y38" s="30">
        <f t="shared" si="0"/>
        <v>2124.4000000000015</v>
      </c>
      <c r="Z38" s="31">
        <f t="shared" si="1"/>
        <v>4.8093371955030715E-3</v>
      </c>
      <c r="AA38" s="30">
        <f t="shared" si="2"/>
        <v>658.71534166567108</v>
      </c>
      <c r="AB38" s="30">
        <f t="shared" si="3"/>
        <v>2783.1153416656725</v>
      </c>
      <c r="AC38" s="30">
        <f t="shared" si="4"/>
        <v>2131.2000000000007</v>
      </c>
      <c r="AD38" s="31">
        <f t="shared" si="5"/>
        <v>5.9961776055877485E-3</v>
      </c>
      <c r="AE38" s="30">
        <f t="shared" si="6"/>
        <v>41.616050939148636</v>
      </c>
      <c r="AF38" s="30">
        <f t="shared" si="7"/>
        <v>2172.8160509391491</v>
      </c>
      <c r="AG38" s="30">
        <f t="shared" si="8"/>
        <v>2020.2000000000007</v>
      </c>
      <c r="AH38" s="31">
        <f t="shared" si="9"/>
        <v>6.9629268777904258E-3</v>
      </c>
      <c r="AI38" s="30">
        <f t="shared" si="10"/>
        <v>655.14450547278113</v>
      </c>
      <c r="AJ38" s="30">
        <f t="shared" si="11"/>
        <v>2675.3445054727817</v>
      </c>
      <c r="AK38" s="30">
        <f t="shared" si="12"/>
        <v>2950.3999999999978</v>
      </c>
      <c r="AL38" s="31">
        <f t="shared" si="13"/>
        <v>7.1738697629462073E-3</v>
      </c>
      <c r="AM38" s="30">
        <f t="shared" si="14"/>
        <v>297.18214620669835</v>
      </c>
      <c r="AN38" s="30">
        <f t="shared" si="15"/>
        <v>3247.5821462066961</v>
      </c>
      <c r="AO38" s="30">
        <f t="shared" si="16"/>
        <v>2579.2000000000007</v>
      </c>
      <c r="AP38" s="31">
        <f t="shared" si="17"/>
        <v>7.1215293174961749E-3</v>
      </c>
      <c r="AQ38" s="30">
        <f t="shared" si="18"/>
        <v>620.48175776307835</v>
      </c>
      <c r="AR38" s="30">
        <f t="shared" si="19"/>
        <v>3199.6817577630791</v>
      </c>
      <c r="AS38" s="92">
        <f t="shared" si="20"/>
        <v>3117.7000000000007</v>
      </c>
      <c r="AT38" s="93">
        <f t="shared" si="21"/>
        <v>6.5817374760948361E-3</v>
      </c>
      <c r="AU38" s="94">
        <f t="shared" si="22"/>
        <v>779.76140905674561</v>
      </c>
      <c r="AV38" s="94">
        <f t="shared" si="23"/>
        <v>3897.4614090567466</v>
      </c>
      <c r="AW38" s="103">
        <f t="shared" si="24"/>
        <v>2733.2000000000007</v>
      </c>
      <c r="AX38" s="93">
        <f t="shared" si="25"/>
        <v>5.8923033458310172E-3</v>
      </c>
      <c r="AY38" s="103">
        <f t="shared" si="26"/>
        <v>608.87910393527727</v>
      </c>
      <c r="AZ38" s="103">
        <f t="shared" si="27"/>
        <v>3342.079103935278</v>
      </c>
      <c r="BA38" s="103">
        <f t="shared" si="28"/>
        <v>2073.7999999999956</v>
      </c>
      <c r="BB38" s="90">
        <f t="shared" si="30"/>
        <v>5.9036369198957068E-3</v>
      </c>
      <c r="BC38" s="103">
        <f t="shared" si="31"/>
        <v>510.31043439215381</v>
      </c>
      <c r="BD38" s="103">
        <f t="shared" si="29"/>
        <v>2584.1104343921493</v>
      </c>
      <c r="BE38" s="103">
        <f t="shared" si="32"/>
        <v>2150.6000000000058</v>
      </c>
      <c r="BF38" s="93">
        <f t="shared" si="33"/>
        <v>5.5781803662317041E-3</v>
      </c>
      <c r="BG38" s="103">
        <f t="shared" si="34"/>
        <v>433.45858557463356</v>
      </c>
      <c r="BH38" s="103">
        <f t="shared" si="35"/>
        <v>2584.0585855746394</v>
      </c>
      <c r="BI38" s="103">
        <f t="shared" si="36"/>
        <v>2606</v>
      </c>
      <c r="BJ38" s="90">
        <f t="shared" si="37"/>
        <v>5.410530432749216E-3</v>
      </c>
      <c r="BK38" s="102">
        <f t="shared" si="38"/>
        <v>609.92731020877716</v>
      </c>
      <c r="BL38" s="102">
        <f t="shared" si="39"/>
        <v>3215.9273102087773</v>
      </c>
      <c r="BM38" s="94">
        <f t="shared" si="40"/>
        <v>1899.5999999999985</v>
      </c>
      <c r="BN38" s="90">
        <f t="shared" si="41"/>
        <v>4.9014051494633082E-3</v>
      </c>
      <c r="BO38" s="94">
        <f t="shared" si="42"/>
        <v>481.11050919731946</v>
      </c>
      <c r="BP38" s="94">
        <f t="shared" si="43"/>
        <v>2380.7105091973181</v>
      </c>
      <c r="BQ38" s="94">
        <f t="shared" si="44"/>
        <v>2478</v>
      </c>
      <c r="BR38" s="90">
        <f t="shared" si="45"/>
        <v>4.707294161262668E-3</v>
      </c>
      <c r="BS38" s="94">
        <f t="shared" si="46"/>
        <v>535.40260109726466</v>
      </c>
      <c r="BT38" s="94">
        <f t="shared" si="47"/>
        <v>3013.4026010972648</v>
      </c>
    </row>
    <row r="39" spans="1:72" ht="27" hidden="1">
      <c r="A39" s="16">
        <v>36</v>
      </c>
      <c r="B39" s="16" t="s">
        <v>39</v>
      </c>
      <c r="C39" s="17" t="s">
        <v>40</v>
      </c>
      <c r="D39" s="18" t="s">
        <v>121</v>
      </c>
      <c r="E39" s="18" t="s">
        <v>124</v>
      </c>
      <c r="F39" s="58" t="s">
        <v>125</v>
      </c>
      <c r="G39" s="57" t="s">
        <v>126</v>
      </c>
      <c r="H39" s="59" t="s">
        <v>127</v>
      </c>
      <c r="I39" s="59">
        <v>1866.9</v>
      </c>
      <c r="J39" s="59">
        <v>2076.5</v>
      </c>
      <c r="K39" s="59">
        <v>1866.9</v>
      </c>
      <c r="L39" s="59">
        <v>209.6</v>
      </c>
      <c r="M39" s="59">
        <v>2140.4</v>
      </c>
      <c r="N39" s="59">
        <v>2557.9</v>
      </c>
      <c r="O39" s="59">
        <v>2856</v>
      </c>
      <c r="P39" s="59">
        <v>3249.4</v>
      </c>
      <c r="Q39" s="59">
        <v>3623.1</v>
      </c>
      <c r="R39" s="59">
        <v>4060.9</v>
      </c>
      <c r="S39" s="59">
        <v>4421.7</v>
      </c>
      <c r="T39" s="75">
        <v>4762.6000000000004</v>
      </c>
      <c r="U39" s="65">
        <v>5108.3</v>
      </c>
      <c r="V39" s="65">
        <v>5486.9</v>
      </c>
      <c r="W39" s="76">
        <v>5826.9</v>
      </c>
      <c r="X39" s="76">
        <v>6233.3</v>
      </c>
      <c r="Y39" s="30">
        <f t="shared" si="0"/>
        <v>273.5</v>
      </c>
      <c r="Z39" s="31">
        <f t="shared" si="1"/>
        <v>6.1916481028529899E-4</v>
      </c>
      <c r="AA39" s="30">
        <f t="shared" si="2"/>
        <v>84.804484063999681</v>
      </c>
      <c r="AB39" s="30">
        <f t="shared" si="3"/>
        <v>358.30448406399967</v>
      </c>
      <c r="AC39" s="30">
        <f t="shared" si="4"/>
        <v>417.5</v>
      </c>
      <c r="AD39" s="31">
        <f t="shared" si="5"/>
        <v>1.1746453408093488E-3</v>
      </c>
      <c r="AE39" s="30">
        <f t="shared" si="6"/>
        <v>8.1525437627132842</v>
      </c>
      <c r="AF39" s="30">
        <f t="shared" si="7"/>
        <v>425.65254376271326</v>
      </c>
      <c r="AG39" s="30">
        <f t="shared" si="8"/>
        <v>298.09999999999991</v>
      </c>
      <c r="AH39" s="31">
        <f t="shared" si="9"/>
        <v>1.0274470360703517E-3</v>
      </c>
      <c r="AI39" s="30">
        <f t="shared" si="10"/>
        <v>96.672892328203119</v>
      </c>
      <c r="AJ39" s="30">
        <f t="shared" si="11"/>
        <v>394.77289232820306</v>
      </c>
      <c r="AK39" s="30">
        <f t="shared" si="12"/>
        <v>393.40000000000009</v>
      </c>
      <c r="AL39" s="31">
        <f t="shared" si="13"/>
        <v>9.5654838826702844E-4</v>
      </c>
      <c r="AM39" s="30">
        <f t="shared" si="14"/>
        <v>39.625629174930602</v>
      </c>
      <c r="AN39" s="30">
        <f t="shared" si="15"/>
        <v>433.02562917493071</v>
      </c>
      <c r="AO39" s="30">
        <f t="shared" si="16"/>
        <v>373.69999999999982</v>
      </c>
      <c r="AP39" s="31">
        <f t="shared" si="17"/>
        <v>1.0318375876040317E-3</v>
      </c>
      <c r="AQ39" s="30">
        <f t="shared" si="18"/>
        <v>89.901532597728831</v>
      </c>
      <c r="AR39" s="30">
        <f t="shared" si="19"/>
        <v>463.60153259772864</v>
      </c>
      <c r="AS39" s="92">
        <f t="shared" si="20"/>
        <v>437.80000000000018</v>
      </c>
      <c r="AT39" s="93">
        <f t="shared" si="21"/>
        <v>9.2423410431867069E-4</v>
      </c>
      <c r="AU39" s="94">
        <f t="shared" si="22"/>
        <v>109.49723991565682</v>
      </c>
      <c r="AV39" s="94">
        <f t="shared" si="23"/>
        <v>547.29723991565697</v>
      </c>
      <c r="AW39" s="103">
        <f t="shared" si="24"/>
        <v>360.79999999999973</v>
      </c>
      <c r="AX39" s="93">
        <f t="shared" si="25"/>
        <v>7.7782198418550744E-4</v>
      </c>
      <c r="AY39" s="103">
        <f t="shared" si="26"/>
        <v>80.375962498114959</v>
      </c>
      <c r="AZ39" s="103">
        <f t="shared" si="27"/>
        <v>441.1759624981147</v>
      </c>
      <c r="BA39" s="103">
        <f t="shared" si="28"/>
        <v>340.90000000000055</v>
      </c>
      <c r="BB39" s="90">
        <f t="shared" si="30"/>
        <v>9.7046476323293181E-4</v>
      </c>
      <c r="BC39" s="103">
        <f t="shared" si="31"/>
        <v>83.886983838502204</v>
      </c>
      <c r="BD39" s="103">
        <f t="shared" si="29"/>
        <v>424.78698383850275</v>
      </c>
      <c r="BE39" s="103">
        <f t="shared" si="32"/>
        <v>345.69999999999982</v>
      </c>
      <c r="BF39" s="93">
        <f t="shared" si="33"/>
        <v>8.9666927955281959E-4</v>
      </c>
      <c r="BG39" s="103">
        <f t="shared" si="34"/>
        <v>69.676663737166535</v>
      </c>
      <c r="BH39" s="103">
        <f t="shared" si="35"/>
        <v>415.37666373716638</v>
      </c>
      <c r="BI39" s="103">
        <f t="shared" si="36"/>
        <v>378.59999999999945</v>
      </c>
      <c r="BJ39" s="90">
        <f t="shared" si="37"/>
        <v>7.8604252564806222E-4</v>
      </c>
      <c r="BK39" s="102">
        <f t="shared" si="38"/>
        <v>88.610314522272716</v>
      </c>
      <c r="BL39" s="102">
        <f t="shared" si="39"/>
        <v>467.21031452227214</v>
      </c>
      <c r="BM39" s="94">
        <f t="shared" si="40"/>
        <v>340</v>
      </c>
      <c r="BN39" s="90">
        <f t="shared" si="41"/>
        <v>8.7727824321832276E-4</v>
      </c>
      <c r="BO39" s="94">
        <f t="shared" si="42"/>
        <v>86.111588296003745</v>
      </c>
      <c r="BP39" s="94">
        <f t="shared" si="43"/>
        <v>426.11158829600373</v>
      </c>
      <c r="BQ39" s="94">
        <f t="shared" si="44"/>
        <v>406.40000000000055</v>
      </c>
      <c r="BR39" s="90">
        <f t="shared" si="45"/>
        <v>7.7201143952265977E-4</v>
      </c>
      <c r="BS39" s="94">
        <f t="shared" si="46"/>
        <v>87.807755079067249</v>
      </c>
      <c r="BT39" s="94">
        <f t="shared" si="47"/>
        <v>494.20775507906779</v>
      </c>
    </row>
    <row r="40" spans="1:72" ht="13.5" hidden="1">
      <c r="A40" s="11">
        <v>37</v>
      </c>
      <c r="B40" s="16" t="s">
        <v>49</v>
      </c>
      <c r="C40" s="17" t="s">
        <v>50</v>
      </c>
      <c r="D40" s="18" t="s">
        <v>121</v>
      </c>
      <c r="E40" s="20" t="s">
        <v>49</v>
      </c>
      <c r="F40" s="58" t="s">
        <v>128</v>
      </c>
      <c r="G40" s="57" t="s">
        <v>129</v>
      </c>
      <c r="H40" s="59" t="s">
        <v>127</v>
      </c>
      <c r="I40" s="59">
        <v>4329.3</v>
      </c>
      <c r="J40" s="59">
        <v>7166</v>
      </c>
      <c r="K40" s="59">
        <v>4329.3</v>
      </c>
      <c r="L40" s="59">
        <v>2836.7</v>
      </c>
      <c r="M40" s="59">
        <v>7985.4</v>
      </c>
      <c r="N40" s="59">
        <v>9440.9</v>
      </c>
      <c r="O40" s="59">
        <v>10004</v>
      </c>
      <c r="P40" s="59">
        <v>11630.3</v>
      </c>
      <c r="Q40" s="59">
        <v>12986.2</v>
      </c>
      <c r="R40" s="59">
        <v>16133.3</v>
      </c>
      <c r="S40" s="59">
        <v>19136.599999999999</v>
      </c>
      <c r="T40" s="75">
        <v>20115.8</v>
      </c>
      <c r="U40" s="65">
        <v>21363.3</v>
      </c>
      <c r="V40" s="65">
        <v>24183.200000000001</v>
      </c>
      <c r="W40" s="76">
        <v>26337</v>
      </c>
      <c r="X40" s="76">
        <v>29939.7</v>
      </c>
      <c r="Y40" s="30">
        <f t="shared" si="0"/>
        <v>3656.0999999999995</v>
      </c>
      <c r="Z40" s="31">
        <f t="shared" si="1"/>
        <v>8.2768865187717779E-3</v>
      </c>
      <c r="AA40" s="30">
        <f t="shared" si="2"/>
        <v>1133.651459548041</v>
      </c>
      <c r="AB40" s="30">
        <f t="shared" si="3"/>
        <v>4789.7514595480407</v>
      </c>
      <c r="AC40" s="30">
        <f t="shared" si="4"/>
        <v>1455.5</v>
      </c>
      <c r="AD40" s="31">
        <f t="shared" si="5"/>
        <v>4.0950809426299568E-3</v>
      </c>
      <c r="AE40" s="30">
        <f t="shared" si="6"/>
        <v>28.421622626656724</v>
      </c>
      <c r="AF40" s="30">
        <f t="shared" si="7"/>
        <v>1483.9216226266567</v>
      </c>
      <c r="AG40" s="30">
        <f t="shared" si="8"/>
        <v>563.10000000000036</v>
      </c>
      <c r="AH40" s="31">
        <f t="shared" si="9"/>
        <v>1.9408098826273585E-3</v>
      </c>
      <c r="AI40" s="30">
        <f t="shared" si="10"/>
        <v>182.61155877226173</v>
      </c>
      <c r="AJ40" s="30">
        <f t="shared" si="11"/>
        <v>745.71155877226215</v>
      </c>
      <c r="AK40" s="30">
        <f t="shared" si="12"/>
        <v>1626.2999999999993</v>
      </c>
      <c r="AL40" s="31">
        <f t="shared" si="13"/>
        <v>3.9543331058430791E-3</v>
      </c>
      <c r="AM40" s="30">
        <f t="shared" si="14"/>
        <v>163.8107796827392</v>
      </c>
      <c r="AN40" s="30">
        <f t="shared" si="15"/>
        <v>1790.1107796827384</v>
      </c>
      <c r="AO40" s="30">
        <f t="shared" si="16"/>
        <v>1355.9000000000015</v>
      </c>
      <c r="AP40" s="31">
        <f t="shared" si="17"/>
        <v>3.7438281643893735E-3</v>
      </c>
      <c r="AQ40" s="30">
        <f t="shared" si="18"/>
        <v>326.19076277565085</v>
      </c>
      <c r="AR40" s="30">
        <f t="shared" si="19"/>
        <v>1682.0907627756524</v>
      </c>
      <c r="AS40" s="92">
        <f t="shared" si="20"/>
        <v>3147.0999999999985</v>
      </c>
      <c r="AT40" s="93">
        <f t="shared" si="21"/>
        <v>6.6438034483811926E-3</v>
      </c>
      <c r="AU40" s="94">
        <f t="shared" si="22"/>
        <v>787.1145814037535</v>
      </c>
      <c r="AV40" s="94">
        <f t="shared" si="23"/>
        <v>3934.2145814037522</v>
      </c>
      <c r="AW40" s="103">
        <f t="shared" si="24"/>
        <v>3003.2999999999993</v>
      </c>
      <c r="AX40" s="93">
        <f t="shared" si="25"/>
        <v>6.4745919210208855E-3</v>
      </c>
      <c r="AY40" s="103">
        <f t="shared" si="26"/>
        <v>669.049690051521</v>
      </c>
      <c r="AZ40" s="103">
        <f t="shared" si="27"/>
        <v>3672.3496900515202</v>
      </c>
      <c r="BA40" s="103">
        <f t="shared" si="28"/>
        <v>979.20000000000073</v>
      </c>
      <c r="BB40" s="90">
        <f t="shared" si="30"/>
        <v>2.7875596836541097E-3</v>
      </c>
      <c r="BC40" s="103">
        <f t="shared" si="31"/>
        <v>240.95668693065795</v>
      </c>
      <c r="BD40" s="103">
        <f t="shared" si="29"/>
        <v>1220.1566869306587</v>
      </c>
      <c r="BE40" s="103">
        <f t="shared" si="32"/>
        <v>1247.5</v>
      </c>
      <c r="BF40" s="93">
        <f t="shared" si="33"/>
        <v>3.2357388667692884E-3</v>
      </c>
      <c r="BG40" s="103">
        <f t="shared" si="34"/>
        <v>251.43661559767224</v>
      </c>
      <c r="BH40" s="103">
        <f t="shared" si="35"/>
        <v>1498.9366155976722</v>
      </c>
      <c r="BI40" s="103">
        <f t="shared" si="36"/>
        <v>2819.9000000000015</v>
      </c>
      <c r="BJ40" s="90">
        <f t="shared" si="37"/>
        <v>5.8546257741018889E-3</v>
      </c>
      <c r="BK40" s="102">
        <f t="shared" si="38"/>
        <v>659.99003148800136</v>
      </c>
      <c r="BL40" s="102">
        <f t="shared" si="39"/>
        <v>3479.8900314880029</v>
      </c>
      <c r="BM40" s="94">
        <f t="shared" si="40"/>
        <v>2153.7999999999993</v>
      </c>
      <c r="BN40" s="90">
        <f t="shared" si="41"/>
        <v>5.5572996477753619E-3</v>
      </c>
      <c r="BO40" s="94">
        <f t="shared" si="42"/>
        <v>545.49158491744947</v>
      </c>
      <c r="BP40" s="94">
        <f t="shared" si="43"/>
        <v>2699.2915849174487</v>
      </c>
      <c r="BQ40" s="94">
        <f t="shared" si="44"/>
        <v>3602.7000000000007</v>
      </c>
      <c r="BR40" s="90">
        <f t="shared" si="45"/>
        <v>6.843813024528256E-3</v>
      </c>
      <c r="BS40" s="94">
        <f t="shared" si="46"/>
        <v>778.40797052990956</v>
      </c>
      <c r="BT40" s="94">
        <f t="shared" si="47"/>
        <v>4381.1079705299107</v>
      </c>
    </row>
    <row r="41" spans="1:72" ht="13.5" hidden="1">
      <c r="A41" s="16">
        <v>38</v>
      </c>
      <c r="B41" s="16" t="s">
        <v>49</v>
      </c>
      <c r="C41" s="17" t="s">
        <v>50</v>
      </c>
      <c r="D41" s="18" t="s">
        <v>121</v>
      </c>
      <c r="E41" s="20" t="s">
        <v>49</v>
      </c>
      <c r="F41" s="58" t="s">
        <v>130</v>
      </c>
      <c r="G41" s="57" t="s">
        <v>131</v>
      </c>
      <c r="H41" s="59">
        <v>610.5</v>
      </c>
      <c r="I41" s="59">
        <v>6649.5</v>
      </c>
      <c r="J41" s="59">
        <v>6902.8</v>
      </c>
      <c r="K41" s="59">
        <v>6039</v>
      </c>
      <c r="L41" s="59">
        <v>253.3</v>
      </c>
      <c r="M41" s="59">
        <v>6965.6</v>
      </c>
      <c r="N41" s="59">
        <v>7124.2</v>
      </c>
      <c r="O41" s="59">
        <v>7249.3</v>
      </c>
      <c r="P41" s="59">
        <v>7718.2</v>
      </c>
      <c r="Q41" s="59">
        <v>8064.8</v>
      </c>
      <c r="R41" s="59">
        <v>8508.4</v>
      </c>
      <c r="S41" s="59">
        <v>9002.5</v>
      </c>
      <c r="T41" s="75">
        <v>9332.4</v>
      </c>
      <c r="U41" s="65">
        <v>9832.7999999999993</v>
      </c>
      <c r="V41" s="65">
        <v>10625.6</v>
      </c>
      <c r="W41" s="76">
        <v>11284.1</v>
      </c>
      <c r="X41" s="76">
        <v>12291.1</v>
      </c>
      <c r="Y41" s="30">
        <f t="shared" si="0"/>
        <v>316.10000000000036</v>
      </c>
      <c r="Z41" s="31">
        <f t="shared" si="1"/>
        <v>7.1560510614692232E-4</v>
      </c>
      <c r="AA41" s="30">
        <f t="shared" si="2"/>
        <v>98.013518876162095</v>
      </c>
      <c r="AB41" s="30">
        <f t="shared" si="3"/>
        <v>414.11351887616246</v>
      </c>
      <c r="AC41" s="30">
        <f t="shared" si="4"/>
        <v>158.59999999999945</v>
      </c>
      <c r="AD41" s="31">
        <f t="shared" si="5"/>
        <v>4.4622455341883133E-4</v>
      </c>
      <c r="AE41" s="30">
        <f t="shared" si="6"/>
        <v>3.0969902772846045</v>
      </c>
      <c r="AF41" s="30">
        <f t="shared" si="7"/>
        <v>161.69699027728407</v>
      </c>
      <c r="AG41" s="30">
        <f t="shared" si="8"/>
        <v>125.10000000000036</v>
      </c>
      <c r="AH41" s="31">
        <f t="shared" si="9"/>
        <v>4.3117619661993091E-4</v>
      </c>
      <c r="AI41" s="30">
        <f t="shared" si="10"/>
        <v>40.569536498685835</v>
      </c>
      <c r="AJ41" s="30">
        <f t="shared" si="11"/>
        <v>165.6695364986862</v>
      </c>
      <c r="AK41" s="30">
        <f t="shared" si="12"/>
        <v>468.89999999999964</v>
      </c>
      <c r="AL41" s="31">
        <f t="shared" si="13"/>
        <v>1.140125925923765E-3</v>
      </c>
      <c r="AM41" s="30">
        <f t="shared" si="14"/>
        <v>47.230446161985107</v>
      </c>
      <c r="AN41" s="30">
        <f t="shared" si="15"/>
        <v>516.13044616198476</v>
      </c>
      <c r="AO41" s="30">
        <f t="shared" si="16"/>
        <v>346.60000000000036</v>
      </c>
      <c r="AP41" s="31">
        <f t="shared" si="17"/>
        <v>9.5701072481551501E-4</v>
      </c>
      <c r="AQ41" s="30">
        <f t="shared" si="18"/>
        <v>83.38204762743608</v>
      </c>
      <c r="AR41" s="30">
        <f t="shared" si="19"/>
        <v>429.98204762743643</v>
      </c>
      <c r="AS41" s="92">
        <f t="shared" si="20"/>
        <v>443.59999999999945</v>
      </c>
      <c r="AT41" s="93">
        <f t="shared" si="21"/>
        <v>9.3647841177652274E-4</v>
      </c>
      <c r="AU41" s="94">
        <f t="shared" si="22"/>
        <v>110.94786575282157</v>
      </c>
      <c r="AV41" s="94">
        <f t="shared" si="23"/>
        <v>554.54786575282105</v>
      </c>
      <c r="AW41" s="103">
        <f t="shared" si="24"/>
        <v>494.10000000000036</v>
      </c>
      <c r="AX41" s="93">
        <f t="shared" si="25"/>
        <v>1.065193576458037E-3</v>
      </c>
      <c r="AY41" s="103">
        <f t="shared" si="26"/>
        <v>110.07140540553952</v>
      </c>
      <c r="AZ41" s="103">
        <f t="shared" si="27"/>
        <v>604.17140540553987</v>
      </c>
      <c r="BA41" s="103">
        <f t="shared" si="28"/>
        <v>329.89999999999964</v>
      </c>
      <c r="BB41" s="90">
        <f t="shared" si="30"/>
        <v>9.3915026515266451E-4</v>
      </c>
      <c r="BC41" s="103">
        <f t="shared" si="31"/>
        <v>81.180158311298925</v>
      </c>
      <c r="BD41" s="103">
        <f t="shared" si="29"/>
        <v>411.08015831129853</v>
      </c>
      <c r="BE41" s="103">
        <f t="shared" si="32"/>
        <v>500.39999999999964</v>
      </c>
      <c r="BF41" s="93">
        <f t="shared" si="33"/>
        <v>1.2979268368187181E-3</v>
      </c>
      <c r="BG41" s="103">
        <f t="shared" si="34"/>
        <v>100.85681959525058</v>
      </c>
      <c r="BH41" s="103">
        <f t="shared" si="35"/>
        <v>601.25681959525025</v>
      </c>
      <c r="BI41" s="103">
        <f t="shared" si="36"/>
        <v>792.80000000000109</v>
      </c>
      <c r="BJ41" s="90">
        <f t="shared" si="37"/>
        <v>1.6459971324188733E-3</v>
      </c>
      <c r="BK41" s="102">
        <f t="shared" si="38"/>
        <v>185.55271355852616</v>
      </c>
      <c r="BL41" s="102">
        <f t="shared" si="39"/>
        <v>978.35271355852728</v>
      </c>
      <c r="BM41" s="94">
        <f t="shared" si="40"/>
        <v>658.5</v>
      </c>
      <c r="BN41" s="90">
        <f t="shared" si="41"/>
        <v>1.6990815387037223E-3</v>
      </c>
      <c r="BO41" s="94">
        <f t="shared" si="42"/>
        <v>166.77788497917197</v>
      </c>
      <c r="BP41" s="94">
        <f t="shared" si="43"/>
        <v>825.27788497917197</v>
      </c>
      <c r="BQ41" s="94">
        <f t="shared" si="44"/>
        <v>1007</v>
      </c>
      <c r="BR41" s="90">
        <f t="shared" si="45"/>
        <v>1.9129318887778479E-3</v>
      </c>
      <c r="BS41" s="94">
        <f t="shared" si="46"/>
        <v>217.57482619247196</v>
      </c>
      <c r="BT41" s="94">
        <f t="shared" si="47"/>
        <v>1224.5748261924718</v>
      </c>
    </row>
    <row r="42" spans="1:72" ht="13.5" hidden="1">
      <c r="A42" s="11">
        <v>39</v>
      </c>
      <c r="B42" s="16" t="s">
        <v>49</v>
      </c>
      <c r="C42" s="17" t="s">
        <v>50</v>
      </c>
      <c r="D42" s="18" t="s">
        <v>121</v>
      </c>
      <c r="E42" s="20" t="s">
        <v>49</v>
      </c>
      <c r="F42" s="58" t="s">
        <v>132</v>
      </c>
      <c r="G42" s="57" t="s">
        <v>133</v>
      </c>
      <c r="H42" s="59">
        <v>216.6</v>
      </c>
      <c r="I42" s="59">
        <v>8296.6</v>
      </c>
      <c r="J42" s="59">
        <v>8863.6</v>
      </c>
      <c r="K42" s="59">
        <v>8080</v>
      </c>
      <c r="L42" s="59">
        <v>567</v>
      </c>
      <c r="M42" s="59">
        <v>9017.9</v>
      </c>
      <c r="N42" s="59">
        <v>9460.1</v>
      </c>
      <c r="O42" s="59">
        <v>9582.7000000000007</v>
      </c>
      <c r="P42" s="59">
        <v>9870.7000000000007</v>
      </c>
      <c r="Q42" s="59">
        <v>10097.9</v>
      </c>
      <c r="R42" s="59">
        <v>10288.200000000001</v>
      </c>
      <c r="S42" s="59">
        <v>10578.9</v>
      </c>
      <c r="T42" s="75">
        <v>10666.2</v>
      </c>
      <c r="U42" s="65">
        <v>10897.8</v>
      </c>
      <c r="V42" s="65">
        <v>11419.6</v>
      </c>
      <c r="W42" s="76">
        <v>11693</v>
      </c>
      <c r="X42" s="76">
        <v>12209.8</v>
      </c>
      <c r="Y42" s="30">
        <f t="shared" si="0"/>
        <v>721.29999999999927</v>
      </c>
      <c r="Z42" s="31">
        <f t="shared" si="1"/>
        <v>1.6329198451875164E-3</v>
      </c>
      <c r="AA42" s="30">
        <f t="shared" si="2"/>
        <v>223.65438521156457</v>
      </c>
      <c r="AB42" s="30">
        <f t="shared" si="3"/>
        <v>944.95438521156382</v>
      </c>
      <c r="AC42" s="30">
        <f t="shared" si="4"/>
        <v>442.20000000000073</v>
      </c>
      <c r="AD42" s="31">
        <f t="shared" si="5"/>
        <v>1.244139328636874E-3</v>
      </c>
      <c r="AE42" s="30">
        <f t="shared" si="6"/>
        <v>8.6348619206510655</v>
      </c>
      <c r="AF42" s="30">
        <f t="shared" si="7"/>
        <v>450.8348619206518</v>
      </c>
      <c r="AG42" s="30">
        <f t="shared" si="8"/>
        <v>122.60000000000036</v>
      </c>
      <c r="AH42" s="31">
        <f t="shared" si="9"/>
        <v>4.2255956599203463E-4</v>
      </c>
      <c r="AI42" s="30">
        <f t="shared" si="10"/>
        <v>39.758794362421135</v>
      </c>
      <c r="AJ42" s="30">
        <f t="shared" si="11"/>
        <v>162.35879436242149</v>
      </c>
      <c r="AK42" s="30">
        <f t="shared" si="12"/>
        <v>288</v>
      </c>
      <c r="AL42" s="31">
        <f t="shared" si="13"/>
        <v>7.0026928271709236E-4</v>
      </c>
      <c r="AM42" s="30">
        <f t="shared" si="14"/>
        <v>29.009103208896825</v>
      </c>
      <c r="AN42" s="30">
        <f t="shared" si="15"/>
        <v>317.00910320889682</v>
      </c>
      <c r="AO42" s="30">
        <f t="shared" si="16"/>
        <v>227.19999999999891</v>
      </c>
      <c r="AP42" s="31">
        <f t="shared" si="17"/>
        <v>6.2733074633030501E-4</v>
      </c>
      <c r="AQ42" s="30">
        <f t="shared" si="18"/>
        <v>54.657822333968156</v>
      </c>
      <c r="AR42" s="30">
        <f t="shared" si="19"/>
        <v>281.85782233396708</v>
      </c>
      <c r="AS42" s="92">
        <f t="shared" si="20"/>
        <v>190.30000000000109</v>
      </c>
      <c r="AT42" s="93">
        <f t="shared" si="21"/>
        <v>4.0173994986716303E-4</v>
      </c>
      <c r="AU42" s="94">
        <f t="shared" si="22"/>
        <v>47.595533933187767</v>
      </c>
      <c r="AV42" s="94">
        <f t="shared" si="23"/>
        <v>237.89553393318886</v>
      </c>
      <c r="AW42" s="103">
        <f t="shared" si="24"/>
        <v>290.69999999999891</v>
      </c>
      <c r="AX42" s="93">
        <f t="shared" si="25"/>
        <v>6.2669858869935236E-4</v>
      </c>
      <c r="AY42" s="103">
        <f t="shared" si="26"/>
        <v>64.759679318741547</v>
      </c>
      <c r="AZ42" s="103">
        <f t="shared" si="27"/>
        <v>355.45967931874043</v>
      </c>
      <c r="BA42" s="103">
        <f t="shared" si="28"/>
        <v>87.300000000001091</v>
      </c>
      <c r="BB42" s="90">
        <f t="shared" si="30"/>
        <v>2.4852324385519472E-4</v>
      </c>
      <c r="BC42" s="103">
        <f t="shared" si="31"/>
        <v>21.482351684075457</v>
      </c>
      <c r="BD42" s="103">
        <f t="shared" si="29"/>
        <v>108.78235168407654</v>
      </c>
      <c r="BE42" s="103">
        <f t="shared" si="32"/>
        <v>231.59999999999854</v>
      </c>
      <c r="BF42" s="93">
        <f t="shared" si="33"/>
        <v>6.0071913550602198E-4</v>
      </c>
      <c r="BG42" s="103">
        <f t="shared" si="34"/>
        <v>46.679535208353123</v>
      </c>
      <c r="BH42" s="103">
        <f t="shared" si="35"/>
        <v>278.27953520835166</v>
      </c>
      <c r="BI42" s="103">
        <f t="shared" si="36"/>
        <v>521.80000000000109</v>
      </c>
      <c r="BJ42" s="90">
        <f t="shared" si="37"/>
        <v>1.0833517957822513E-3</v>
      </c>
      <c r="BK42" s="102">
        <f t="shared" si="38"/>
        <v>122.12589043244076</v>
      </c>
      <c r="BL42" s="102">
        <f t="shared" si="39"/>
        <v>643.92589043244186</v>
      </c>
      <c r="BM42" s="94">
        <f t="shared" si="40"/>
        <v>273.39999999999964</v>
      </c>
      <c r="BN42" s="90">
        <f t="shared" si="41"/>
        <v>7.0543491675261513E-4</v>
      </c>
      <c r="BO42" s="94">
        <f t="shared" si="42"/>
        <v>69.243847765080574</v>
      </c>
      <c r="BP42" s="94">
        <f t="shared" si="43"/>
        <v>342.64384776508018</v>
      </c>
      <c r="BQ42" s="94">
        <f t="shared" si="44"/>
        <v>516.79999999999927</v>
      </c>
      <c r="BR42" s="90">
        <f t="shared" si="45"/>
        <v>9.8173108254259213E-4</v>
      </c>
      <c r="BS42" s="94">
        <f t="shared" si="46"/>
        <v>111.66104287613639</v>
      </c>
      <c r="BT42" s="94">
        <f t="shared" si="47"/>
        <v>628.46104287613571</v>
      </c>
    </row>
    <row r="43" spans="1:72" ht="13.5" hidden="1">
      <c r="A43" s="16">
        <v>40</v>
      </c>
      <c r="B43" s="16" t="s">
        <v>49</v>
      </c>
      <c r="C43" s="17" t="s">
        <v>50</v>
      </c>
      <c r="D43" s="18" t="s">
        <v>121</v>
      </c>
      <c r="E43" s="20" t="s">
        <v>49</v>
      </c>
      <c r="F43" s="58" t="s">
        <v>134</v>
      </c>
      <c r="G43" s="57" t="s">
        <v>135</v>
      </c>
      <c r="H43" s="59" t="s">
        <v>127</v>
      </c>
      <c r="I43" s="59">
        <v>20577.599999999999</v>
      </c>
      <c r="J43" s="59">
        <v>21866.1</v>
      </c>
      <c r="K43" s="59">
        <v>20577.599999999999</v>
      </c>
      <c r="L43" s="59">
        <v>1288.5</v>
      </c>
      <c r="M43" s="59">
        <v>22254.9</v>
      </c>
      <c r="N43" s="59">
        <v>23514.6</v>
      </c>
      <c r="O43" s="59">
        <v>24469.5</v>
      </c>
      <c r="P43" s="59">
        <v>25323.5</v>
      </c>
      <c r="Q43" s="59">
        <v>26004.400000000001</v>
      </c>
      <c r="R43" s="59">
        <v>26973.9</v>
      </c>
      <c r="S43" s="59">
        <v>28054.1</v>
      </c>
      <c r="T43" s="75">
        <v>28822.5</v>
      </c>
      <c r="U43" s="65">
        <v>29975.8</v>
      </c>
      <c r="V43" s="65">
        <v>31720.1</v>
      </c>
      <c r="W43" s="76">
        <v>33140.300000000003</v>
      </c>
      <c r="X43" s="76">
        <v>35121.800000000003</v>
      </c>
      <c r="Y43" s="30">
        <f t="shared" si="0"/>
        <v>1677.3000000000029</v>
      </c>
      <c r="Z43" s="31">
        <f t="shared" si="1"/>
        <v>3.7971668602981125E-3</v>
      </c>
      <c r="AA43" s="30">
        <f t="shared" si="2"/>
        <v>520.08249038591191</v>
      </c>
      <c r="AB43" s="30">
        <f t="shared" si="3"/>
        <v>2197.3824903859149</v>
      </c>
      <c r="AC43" s="30">
        <f t="shared" si="4"/>
        <v>1259.6999999999971</v>
      </c>
      <c r="AD43" s="31">
        <f t="shared" si="5"/>
        <v>3.5441933792036725E-3</v>
      </c>
      <c r="AE43" s="30">
        <f t="shared" si="6"/>
        <v>24.598226054826107</v>
      </c>
      <c r="AF43" s="30">
        <f t="shared" si="7"/>
        <v>1284.2982260548231</v>
      </c>
      <c r="AG43" s="30">
        <f t="shared" si="8"/>
        <v>954.90000000000146</v>
      </c>
      <c r="AH43" s="31">
        <f t="shared" si="9"/>
        <v>3.291208234631267E-3</v>
      </c>
      <c r="AI43" s="30">
        <f t="shared" si="10"/>
        <v>309.6710663676663</v>
      </c>
      <c r="AJ43" s="30">
        <f t="shared" si="11"/>
        <v>1264.5710663676678</v>
      </c>
      <c r="AK43" s="30">
        <f t="shared" si="12"/>
        <v>854</v>
      </c>
      <c r="AL43" s="31">
        <f t="shared" si="13"/>
        <v>2.0764929425013778E-3</v>
      </c>
      <c r="AM43" s="30">
        <f t="shared" si="14"/>
        <v>86.020049098603778</v>
      </c>
      <c r="AN43" s="30">
        <f t="shared" si="15"/>
        <v>940.02004909860375</v>
      </c>
      <c r="AO43" s="30">
        <f t="shared" si="16"/>
        <v>680.90000000000146</v>
      </c>
      <c r="AP43" s="31">
        <f t="shared" si="17"/>
        <v>1.8800594417971289E-3</v>
      </c>
      <c r="AQ43" s="30">
        <f t="shared" si="18"/>
        <v>163.80506702112316</v>
      </c>
      <c r="AR43" s="30">
        <f t="shared" si="19"/>
        <v>844.70506702112459</v>
      </c>
      <c r="AS43" s="92">
        <f t="shared" si="20"/>
        <v>969.5</v>
      </c>
      <c r="AT43" s="93">
        <f t="shared" si="21"/>
        <v>2.0466993242050043E-3</v>
      </c>
      <c r="AU43" s="94">
        <f t="shared" si="22"/>
        <v>242.47961191920797</v>
      </c>
      <c r="AV43" s="94">
        <f t="shared" si="23"/>
        <v>1211.9796119192079</v>
      </c>
      <c r="AW43" s="103">
        <f t="shared" si="24"/>
        <v>1080.1999999999971</v>
      </c>
      <c r="AX43" s="93">
        <f t="shared" si="25"/>
        <v>2.328723135579777E-3</v>
      </c>
      <c r="AY43" s="103">
        <f t="shared" si="26"/>
        <v>240.63779016203887</v>
      </c>
      <c r="AZ43" s="103">
        <f t="shared" si="27"/>
        <v>1320.8377901620361</v>
      </c>
      <c r="BA43" s="103">
        <f t="shared" si="28"/>
        <v>768.40000000000146</v>
      </c>
      <c r="BB43" s="90">
        <f t="shared" si="30"/>
        <v>2.1874600295341304E-3</v>
      </c>
      <c r="BC43" s="103">
        <f t="shared" si="31"/>
        <v>189.08406682753042</v>
      </c>
      <c r="BD43" s="103">
        <f t="shared" si="29"/>
        <v>957.48406682753193</v>
      </c>
      <c r="BE43" s="103">
        <f t="shared" si="32"/>
        <v>1153.2999999999993</v>
      </c>
      <c r="BF43" s="93">
        <f t="shared" si="33"/>
        <v>2.9914049178717578E-3</v>
      </c>
      <c r="BG43" s="103">
        <f t="shared" si="34"/>
        <v>232.45037977458531</v>
      </c>
      <c r="BH43" s="103">
        <f t="shared" si="35"/>
        <v>1385.7503797745846</v>
      </c>
      <c r="BI43" s="103">
        <f t="shared" si="36"/>
        <v>1744.2999999999993</v>
      </c>
      <c r="BJ43" s="90">
        <f t="shared" si="37"/>
        <v>3.6214843568090765E-3</v>
      </c>
      <c r="BK43" s="102">
        <f t="shared" si="38"/>
        <v>408.24873645325005</v>
      </c>
      <c r="BL43" s="102">
        <f t="shared" si="39"/>
        <v>2152.5487364532491</v>
      </c>
      <c r="BM43" s="94">
        <f t="shared" si="40"/>
        <v>1420.2000000000044</v>
      </c>
      <c r="BN43" s="90">
        <f t="shared" si="41"/>
        <v>3.6644428265254878E-3</v>
      </c>
      <c r="BO43" s="94">
        <f t="shared" si="42"/>
        <v>359.6931696999556</v>
      </c>
      <c r="BP43" s="94">
        <f t="shared" si="43"/>
        <v>1779.89316969996</v>
      </c>
      <c r="BQ43" s="94">
        <f t="shared" si="44"/>
        <v>1981.5</v>
      </c>
      <c r="BR43" s="90">
        <f t="shared" si="45"/>
        <v>3.7641256580072547E-3</v>
      </c>
      <c r="BS43" s="94">
        <f t="shared" si="46"/>
        <v>428.12762472729213</v>
      </c>
      <c r="BT43" s="94">
        <f t="shared" si="47"/>
        <v>2409.6276247272922</v>
      </c>
    </row>
    <row r="44" spans="1:72" ht="13.5" hidden="1">
      <c r="A44" s="11">
        <v>41</v>
      </c>
      <c r="B44" s="16" t="s">
        <v>49</v>
      </c>
      <c r="C44" s="17" t="s">
        <v>50</v>
      </c>
      <c r="D44" s="18" t="s">
        <v>121</v>
      </c>
      <c r="E44" s="20" t="s">
        <v>49</v>
      </c>
      <c r="F44" s="58" t="s">
        <v>136</v>
      </c>
      <c r="G44" s="58" t="s">
        <v>137</v>
      </c>
      <c r="H44" s="59">
        <v>442.4</v>
      </c>
      <c r="I44" s="59">
        <v>498.1</v>
      </c>
      <c r="J44" s="59">
        <v>532.6</v>
      </c>
      <c r="K44" s="59">
        <v>55.7</v>
      </c>
      <c r="L44" s="59">
        <v>34.5</v>
      </c>
      <c r="M44" s="59">
        <v>544.20000000000005</v>
      </c>
      <c r="N44" s="59">
        <v>605.6</v>
      </c>
      <c r="O44" s="59">
        <v>652</v>
      </c>
      <c r="P44" s="59">
        <v>711.3</v>
      </c>
      <c r="Q44" s="59">
        <v>759.7</v>
      </c>
      <c r="R44" s="59">
        <v>818.8</v>
      </c>
      <c r="S44" s="59">
        <v>873.8</v>
      </c>
      <c r="T44" s="75">
        <v>926.7</v>
      </c>
      <c r="U44" s="65">
        <v>986.2</v>
      </c>
      <c r="V44" s="65">
        <v>1044.0999999999999</v>
      </c>
      <c r="W44" s="76">
        <v>1096.7</v>
      </c>
      <c r="X44" s="76">
        <v>1157.5999999999999</v>
      </c>
      <c r="Y44" s="30">
        <f t="shared" si="0"/>
        <v>46.100000000000023</v>
      </c>
      <c r="Z44" s="31">
        <f t="shared" si="1"/>
        <v>1.0436379434790603E-4</v>
      </c>
      <c r="AA44" s="30">
        <f t="shared" si="2"/>
        <v>14.294284151189716</v>
      </c>
      <c r="AB44" s="30">
        <f t="shared" si="3"/>
        <v>60.394284151189737</v>
      </c>
      <c r="AC44" s="30">
        <f t="shared" si="4"/>
        <v>61.399999999999977</v>
      </c>
      <c r="AD44" s="31">
        <f t="shared" si="5"/>
        <v>1.7275023694777002E-4</v>
      </c>
      <c r="AE44" s="30">
        <f t="shared" si="6"/>
        <v>1.1989609270193902</v>
      </c>
      <c r="AF44" s="30">
        <f t="shared" si="7"/>
        <v>62.59896092701937</v>
      </c>
      <c r="AG44" s="30">
        <f t="shared" si="8"/>
        <v>46.399999999999977</v>
      </c>
      <c r="AH44" s="31">
        <f t="shared" si="9"/>
        <v>1.599246644537548E-4</v>
      </c>
      <c r="AI44" s="30">
        <f t="shared" si="10"/>
        <v>15.047374049072873</v>
      </c>
      <c r="AJ44" s="30">
        <f t="shared" si="11"/>
        <v>61.447374049072849</v>
      </c>
      <c r="AK44" s="30">
        <f t="shared" si="12"/>
        <v>59.299999999999955</v>
      </c>
      <c r="AL44" s="31">
        <f t="shared" si="13"/>
        <v>1.4418739050390118E-4</v>
      </c>
      <c r="AM44" s="30">
        <f t="shared" si="14"/>
        <v>5.9730549315540982</v>
      </c>
      <c r="AN44" s="30">
        <f t="shared" si="15"/>
        <v>65.273054931554057</v>
      </c>
      <c r="AO44" s="30">
        <f t="shared" si="16"/>
        <v>48.400000000000091</v>
      </c>
      <c r="AP44" s="31">
        <f t="shared" si="17"/>
        <v>1.3363912025698488E-4</v>
      </c>
      <c r="AQ44" s="30">
        <f t="shared" si="18"/>
        <v>11.64365581410245</v>
      </c>
      <c r="AR44" s="30">
        <f t="shared" si="19"/>
        <v>60.043655814102543</v>
      </c>
      <c r="AS44" s="92">
        <f t="shared" si="20"/>
        <v>59.099999999999909</v>
      </c>
      <c r="AT44" s="93">
        <f t="shared" si="21"/>
        <v>1.2476527082054211E-4</v>
      </c>
      <c r="AU44" s="94">
        <f t="shared" si="22"/>
        <v>14.781377064904765</v>
      </c>
      <c r="AV44" s="94">
        <f t="shared" si="23"/>
        <v>73.881377064904669</v>
      </c>
      <c r="AW44" s="103">
        <f t="shared" si="24"/>
        <v>55</v>
      </c>
      <c r="AX44" s="93">
        <f t="shared" si="25"/>
        <v>1.1857042441852256E-4</v>
      </c>
      <c r="AY44" s="103">
        <f t="shared" si="26"/>
        <v>12.252433307639485</v>
      </c>
      <c r="AZ44" s="103">
        <f t="shared" si="27"/>
        <v>67.252433307639478</v>
      </c>
      <c r="BA44" s="103">
        <f t="shared" si="28"/>
        <v>52.900000000000091</v>
      </c>
      <c r="BB44" s="90">
        <f t="shared" si="30"/>
        <v>1.5059426804054591E-4</v>
      </c>
      <c r="BC44" s="103">
        <f t="shared" si="31"/>
        <v>13.017370035367462</v>
      </c>
      <c r="BD44" s="103">
        <f t="shared" si="29"/>
        <v>65.917370035367554</v>
      </c>
      <c r="BE44" s="103">
        <f t="shared" si="32"/>
        <v>59.5</v>
      </c>
      <c r="BF44" s="93">
        <f t="shared" si="33"/>
        <v>1.5432982971765342E-4</v>
      </c>
      <c r="BG44" s="103">
        <f t="shared" si="34"/>
        <v>11.992367637724646</v>
      </c>
      <c r="BH44" s="103">
        <f t="shared" si="35"/>
        <v>71.492367637724641</v>
      </c>
      <c r="BI44" s="103">
        <f t="shared" si="36"/>
        <v>57.899999999999864</v>
      </c>
      <c r="BJ44" s="90">
        <f t="shared" si="37"/>
        <v>1.2021094092715996E-4</v>
      </c>
      <c r="BK44" s="102">
        <f t="shared" si="38"/>
        <v>13.551339701108255</v>
      </c>
      <c r="BL44" s="102">
        <f t="shared" si="39"/>
        <v>71.451339701108111</v>
      </c>
      <c r="BM44" s="94">
        <f t="shared" si="40"/>
        <v>52.600000000000136</v>
      </c>
      <c r="BN44" s="90">
        <f t="shared" si="41"/>
        <v>1.357201046861291E-4</v>
      </c>
      <c r="BO44" s="94">
        <f t="shared" si="42"/>
        <v>13.321969248146496</v>
      </c>
      <c r="BP44" s="94">
        <f t="shared" si="43"/>
        <v>65.921969248146638</v>
      </c>
      <c r="BQ44" s="94">
        <f t="shared" si="44"/>
        <v>60.899999999999864</v>
      </c>
      <c r="BR44" s="90">
        <f t="shared" si="45"/>
        <v>1.156877378615399E-4</v>
      </c>
      <c r="BS44" s="94">
        <f t="shared" si="46"/>
        <v>13.158199518492069</v>
      </c>
      <c r="BT44" s="94">
        <f t="shared" si="47"/>
        <v>74.058199518491932</v>
      </c>
    </row>
    <row r="45" spans="1:72" ht="13.5" hidden="1">
      <c r="A45" s="16">
        <v>42</v>
      </c>
      <c r="B45" s="16" t="s">
        <v>49</v>
      </c>
      <c r="C45" s="17" t="s">
        <v>50</v>
      </c>
      <c r="D45" s="119" t="s">
        <v>138</v>
      </c>
      <c r="E45" s="20" t="s">
        <v>49</v>
      </c>
      <c r="F45" s="58" t="s">
        <v>139</v>
      </c>
      <c r="G45" s="58" t="s">
        <v>140</v>
      </c>
      <c r="H45" s="59">
        <v>79.5</v>
      </c>
      <c r="I45" s="59">
        <v>474.8</v>
      </c>
      <c r="J45" s="59">
        <v>496.1</v>
      </c>
      <c r="K45" s="59">
        <v>395.3</v>
      </c>
      <c r="L45" s="59">
        <v>21.3</v>
      </c>
      <c r="M45" s="59">
        <v>503.2</v>
      </c>
      <c r="N45" s="59">
        <v>553.1</v>
      </c>
      <c r="O45" s="59">
        <v>590.9</v>
      </c>
      <c r="P45" s="59">
        <v>638.5</v>
      </c>
      <c r="Q45" s="59">
        <v>678.9</v>
      </c>
      <c r="R45" s="59">
        <v>725</v>
      </c>
      <c r="S45" s="59">
        <v>768.6</v>
      </c>
      <c r="T45" s="75">
        <v>809.9</v>
      </c>
      <c r="U45" s="65">
        <v>854.5</v>
      </c>
      <c r="V45" s="65">
        <v>899.6</v>
      </c>
      <c r="W45" s="76">
        <v>940.3</v>
      </c>
      <c r="X45" s="76">
        <v>988.3</v>
      </c>
      <c r="Y45" s="30">
        <f t="shared" si="0"/>
        <v>28.399999999999977</v>
      </c>
      <c r="Z45" s="31">
        <f t="shared" si="1"/>
        <v>6.4293530574414904E-5</v>
      </c>
      <c r="AA45" s="30">
        <f t="shared" si="2"/>
        <v>8.8060232081081864</v>
      </c>
      <c r="AB45" s="30">
        <f t="shared" si="3"/>
        <v>37.206023208108164</v>
      </c>
      <c r="AC45" s="30">
        <f t="shared" si="4"/>
        <v>49.900000000000034</v>
      </c>
      <c r="AD45" s="31">
        <f t="shared" si="5"/>
        <v>1.4039473654224322E-4</v>
      </c>
      <c r="AE45" s="30">
        <f t="shared" si="6"/>
        <v>0.97439984133986379</v>
      </c>
      <c r="AF45" s="30">
        <f t="shared" si="7"/>
        <v>50.874399841339901</v>
      </c>
      <c r="AG45" s="30">
        <f t="shared" si="8"/>
        <v>37.799999999999955</v>
      </c>
      <c r="AH45" s="31">
        <f t="shared" si="9"/>
        <v>1.3028345509379154E-4</v>
      </c>
      <c r="AI45" s="30">
        <f t="shared" si="10"/>
        <v>12.258421100322288</v>
      </c>
      <c r="AJ45" s="30">
        <f t="shared" si="11"/>
        <v>50.058421100322242</v>
      </c>
      <c r="AK45" s="30">
        <f t="shared" si="12"/>
        <v>47.600000000000023</v>
      </c>
      <c r="AL45" s="31">
        <f t="shared" si="13"/>
        <v>1.1573895089351948E-4</v>
      </c>
      <c r="AM45" s="30">
        <f t="shared" si="14"/>
        <v>4.7945601136926719</v>
      </c>
      <c r="AN45" s="30">
        <f t="shared" si="15"/>
        <v>52.394560113692691</v>
      </c>
      <c r="AO45" s="30">
        <f t="shared" si="16"/>
        <v>40.399999999999977</v>
      </c>
      <c r="AP45" s="31">
        <f t="shared" si="17"/>
        <v>1.1155000947070612E-4</v>
      </c>
      <c r="AQ45" s="30">
        <f t="shared" si="18"/>
        <v>9.7190846051598729</v>
      </c>
      <c r="AR45" s="30">
        <f t="shared" si="19"/>
        <v>50.119084605159848</v>
      </c>
      <c r="AS45" s="92">
        <f t="shared" si="20"/>
        <v>46.100000000000023</v>
      </c>
      <c r="AT45" s="93">
        <f t="shared" si="21"/>
        <v>9.7321133415008505E-5</v>
      </c>
      <c r="AU45" s="94">
        <f t="shared" si="22"/>
        <v>11.529974326431658</v>
      </c>
      <c r="AV45" s="94">
        <f t="shared" si="23"/>
        <v>57.629974326431679</v>
      </c>
      <c r="AW45" s="103">
        <f t="shared" si="24"/>
        <v>43.600000000000023</v>
      </c>
      <c r="AX45" s="93">
        <f t="shared" si="25"/>
        <v>9.3994009175410657E-5</v>
      </c>
      <c r="AY45" s="103">
        <f t="shared" si="26"/>
        <v>9.7128380402378518</v>
      </c>
      <c r="AZ45" s="103">
        <f t="shared" si="27"/>
        <v>53.312838040237878</v>
      </c>
      <c r="BA45" s="103">
        <f t="shared" si="28"/>
        <v>41.299999999999955</v>
      </c>
      <c r="BB45" s="90">
        <f t="shared" si="30"/>
        <v>1.1757170642863003E-4</v>
      </c>
      <c r="BC45" s="103">
        <f t="shared" si="31"/>
        <v>10.162899479407839</v>
      </c>
      <c r="BD45" s="103">
        <f t="shared" si="29"/>
        <v>51.462899479407795</v>
      </c>
      <c r="BE45" s="103">
        <f t="shared" si="32"/>
        <v>44.600000000000023</v>
      </c>
      <c r="BF45" s="93">
        <f t="shared" si="33"/>
        <v>1.1568252782197221E-4</v>
      </c>
      <c r="BG45" s="103">
        <f t="shared" si="34"/>
        <v>8.9892369183616729</v>
      </c>
      <c r="BH45" s="103">
        <f t="shared" si="35"/>
        <v>53.589236918361692</v>
      </c>
      <c r="BI45" s="103">
        <f t="shared" si="36"/>
        <v>45.100000000000023</v>
      </c>
      <c r="BJ45" s="90">
        <f t="shared" si="37"/>
        <v>9.3635810635836432E-5</v>
      </c>
      <c r="BK45" s="102">
        <f t="shared" si="38"/>
        <v>10.555534033160345</v>
      </c>
      <c r="BL45" s="102">
        <f t="shared" si="39"/>
        <v>55.655534033160365</v>
      </c>
      <c r="BM45" s="94">
        <f t="shared" si="40"/>
        <v>40.699999999999932</v>
      </c>
      <c r="BN45" s="90">
        <f t="shared" si="41"/>
        <v>1.0501536617348729E-4</v>
      </c>
      <c r="BO45" s="94">
        <f t="shared" si="42"/>
        <v>10.308063657786315</v>
      </c>
      <c r="BP45" s="94">
        <f t="shared" si="43"/>
        <v>51.008063657786245</v>
      </c>
      <c r="BQ45" s="94">
        <f t="shared" si="44"/>
        <v>48</v>
      </c>
      <c r="BR45" s="90">
        <f t="shared" si="45"/>
        <v>9.1182453486928194E-5</v>
      </c>
      <c r="BS45" s="94">
        <f t="shared" si="46"/>
        <v>10.370994694378007</v>
      </c>
      <c r="BT45" s="94">
        <f t="shared" si="47"/>
        <v>58.370994694378005</v>
      </c>
    </row>
    <row r="46" spans="1:72" ht="13.5" hidden="1">
      <c r="A46" s="11">
        <v>43</v>
      </c>
      <c r="B46" s="16" t="s">
        <v>39</v>
      </c>
      <c r="C46" s="17" t="s">
        <v>40</v>
      </c>
      <c r="D46" s="18" t="s">
        <v>121</v>
      </c>
      <c r="E46" s="18" t="s">
        <v>124</v>
      </c>
      <c r="F46" s="60" t="s">
        <v>141</v>
      </c>
      <c r="G46" s="55" t="s">
        <v>142</v>
      </c>
      <c r="H46" s="59" t="s">
        <v>127</v>
      </c>
      <c r="I46" s="59">
        <v>290.89999999999998</v>
      </c>
      <c r="J46" s="59">
        <v>599</v>
      </c>
      <c r="K46" s="59">
        <v>290.89999999999998</v>
      </c>
      <c r="L46" s="59">
        <v>308.10000000000002</v>
      </c>
      <c r="M46" s="59">
        <v>704.7</v>
      </c>
      <c r="N46" s="59">
        <v>782.8</v>
      </c>
      <c r="O46" s="59">
        <v>810.4</v>
      </c>
      <c r="P46" s="59">
        <v>973.3</v>
      </c>
      <c r="Q46" s="59">
        <v>1056.7</v>
      </c>
      <c r="R46" s="59">
        <v>1430.4</v>
      </c>
      <c r="S46" s="59">
        <v>1800.7</v>
      </c>
      <c r="T46" s="75">
        <v>1940.9</v>
      </c>
      <c r="U46" s="65">
        <v>2094.9</v>
      </c>
      <c r="V46" s="65">
        <v>2495.3000000000002</v>
      </c>
      <c r="W46" s="76">
        <v>2751.1</v>
      </c>
      <c r="X46" s="76">
        <v>3143.4</v>
      </c>
      <c r="Y46" s="30">
        <f t="shared" si="0"/>
        <v>413.80000000000007</v>
      </c>
      <c r="Z46" s="31">
        <f t="shared" si="1"/>
        <v>9.3678390674975054E-4</v>
      </c>
      <c r="AA46" s="30">
        <f t="shared" si="2"/>
        <v>128.30747899701308</v>
      </c>
      <c r="AB46" s="30">
        <f t="shared" si="3"/>
        <v>542.10747899701312</v>
      </c>
      <c r="AC46" s="30">
        <f t="shared" si="4"/>
        <v>78.099999999999909</v>
      </c>
      <c r="AD46" s="31">
        <f t="shared" si="5"/>
        <v>2.1973605058014378E-4</v>
      </c>
      <c r="AE46" s="30">
        <f t="shared" si="6"/>
        <v>1.5250626775279201</v>
      </c>
      <c r="AF46" s="30">
        <f t="shared" si="7"/>
        <v>79.625062677527836</v>
      </c>
      <c r="AG46" s="30">
        <f t="shared" si="8"/>
        <v>27.600000000000023</v>
      </c>
      <c r="AH46" s="31">
        <f t="shared" si="9"/>
        <v>9.5127602131974976E-5</v>
      </c>
      <c r="AI46" s="30">
        <f t="shared" si="10"/>
        <v>8.9505931843623259</v>
      </c>
      <c r="AJ46" s="30">
        <f t="shared" si="11"/>
        <v>36.550593184362349</v>
      </c>
      <c r="AK46" s="30">
        <f t="shared" si="12"/>
        <v>162.89999999999998</v>
      </c>
      <c r="AL46" s="31">
        <f t="shared" si="13"/>
        <v>3.9608981303685531E-4</v>
      </c>
      <c r="AM46" s="30">
        <f t="shared" si="14"/>
        <v>16.408274002532266</v>
      </c>
      <c r="AN46" s="30">
        <f t="shared" si="15"/>
        <v>179.30827400253224</v>
      </c>
      <c r="AO46" s="30">
        <f t="shared" si="16"/>
        <v>83.400000000000091</v>
      </c>
      <c r="AP46" s="31">
        <f t="shared" si="17"/>
        <v>2.3027897994695311E-4</v>
      </c>
      <c r="AQ46" s="30">
        <f t="shared" si="18"/>
        <v>20.063654853226108</v>
      </c>
      <c r="AR46" s="30">
        <f t="shared" si="19"/>
        <v>103.4636548532262</v>
      </c>
      <c r="AS46" s="92">
        <f t="shared" si="20"/>
        <v>373.70000000000005</v>
      </c>
      <c r="AT46" s="93">
        <f t="shared" si="21"/>
        <v>7.8891339603446122E-4</v>
      </c>
      <c r="AU46" s="94">
        <f t="shared" si="22"/>
        <v>93.465323335954636</v>
      </c>
      <c r="AV46" s="94">
        <f t="shared" si="23"/>
        <v>467.16532333595467</v>
      </c>
      <c r="AW46" s="103">
        <f t="shared" si="24"/>
        <v>370.29999999999995</v>
      </c>
      <c r="AX46" s="93">
        <f t="shared" si="25"/>
        <v>7.9830233022143448E-4</v>
      </c>
      <c r="AY46" s="103">
        <f t="shared" si="26"/>
        <v>82.492291887616375</v>
      </c>
      <c r="AZ46" s="103">
        <f t="shared" si="27"/>
        <v>452.79229188761633</v>
      </c>
      <c r="BA46" s="103">
        <f t="shared" si="28"/>
        <v>140.20000000000005</v>
      </c>
      <c r="BB46" s="90">
        <f t="shared" si="30"/>
        <v>3.9911751189573738E-4</v>
      </c>
      <c r="BC46" s="103">
        <f t="shared" si="31"/>
        <v>34.49972171944264</v>
      </c>
      <c r="BD46" s="103">
        <f t="shared" si="29"/>
        <v>174.69972171944269</v>
      </c>
      <c r="BE46" s="103">
        <f t="shared" si="32"/>
        <v>154</v>
      </c>
      <c r="BF46" s="93">
        <f t="shared" si="33"/>
        <v>3.9944191221039712E-4</v>
      </c>
      <c r="BG46" s="103">
        <f t="shared" si="34"/>
        <v>31.039069179993206</v>
      </c>
      <c r="BH46" s="103">
        <f t="shared" si="35"/>
        <v>185.03906917999319</v>
      </c>
      <c r="BI46" s="103">
        <f t="shared" si="36"/>
        <v>400.40000000000009</v>
      </c>
      <c r="BJ46" s="90">
        <f t="shared" si="37"/>
        <v>8.3130329442547449E-4</v>
      </c>
      <c r="BK46" s="102">
        <f t="shared" si="38"/>
        <v>93.712546050496712</v>
      </c>
      <c r="BL46" s="102">
        <f t="shared" si="39"/>
        <v>494.1125460504968</v>
      </c>
      <c r="BM46" s="94">
        <f t="shared" si="40"/>
        <v>255.79999999999973</v>
      </c>
      <c r="BN46" s="90">
        <f t="shared" si="41"/>
        <v>6.6002286651543158E-4</v>
      </c>
      <c r="BO46" s="94">
        <f t="shared" si="42"/>
        <v>64.786306723875697</v>
      </c>
      <c r="BP46" s="94">
        <f t="shared" si="43"/>
        <v>320.5863067238754</v>
      </c>
      <c r="BQ46" s="94">
        <f t="shared" si="44"/>
        <v>392.30000000000018</v>
      </c>
      <c r="BR46" s="90">
        <f t="shared" si="45"/>
        <v>7.4522659381087394E-4</v>
      </c>
      <c r="BS46" s="94">
        <f t="shared" si="46"/>
        <v>84.761275387593642</v>
      </c>
      <c r="BT46" s="94">
        <f t="shared" si="47"/>
        <v>477.06127538759381</v>
      </c>
    </row>
    <row r="47" spans="1:72" ht="13.5" hidden="1">
      <c r="A47" s="16">
        <v>44</v>
      </c>
      <c r="B47" s="16" t="s">
        <v>39</v>
      </c>
      <c r="C47" s="17" t="s">
        <v>40</v>
      </c>
      <c r="D47" s="18" t="s">
        <v>121</v>
      </c>
      <c r="E47" s="18" t="s">
        <v>124</v>
      </c>
      <c r="F47" s="60" t="s">
        <v>43</v>
      </c>
      <c r="G47" s="55" t="s">
        <v>44</v>
      </c>
      <c r="H47" s="59">
        <v>478.3</v>
      </c>
      <c r="I47" s="59">
        <v>1280.2</v>
      </c>
      <c r="J47" s="59">
        <v>1391.8</v>
      </c>
      <c r="K47" s="59">
        <v>801.9</v>
      </c>
      <c r="L47" s="59">
        <v>111.6</v>
      </c>
      <c r="M47" s="59">
        <v>1427</v>
      </c>
      <c r="N47" s="59">
        <v>1549.4</v>
      </c>
      <c r="O47" s="59">
        <v>1626.7</v>
      </c>
      <c r="P47" s="59">
        <v>1726.2</v>
      </c>
      <c r="Q47" s="59">
        <v>1836.5</v>
      </c>
      <c r="R47" s="59">
        <v>1969.1</v>
      </c>
      <c r="S47" s="59">
        <v>2074.1</v>
      </c>
      <c r="T47" s="75">
        <v>2198.4</v>
      </c>
      <c r="U47" s="65">
        <v>2299.4</v>
      </c>
      <c r="V47" s="65">
        <v>2418</v>
      </c>
      <c r="W47" s="76">
        <v>2504.1999999999998</v>
      </c>
      <c r="X47" s="76">
        <v>2584.4</v>
      </c>
      <c r="Y47" s="30">
        <f t="shared" si="0"/>
        <v>146.79999999999995</v>
      </c>
      <c r="Z47" s="31">
        <f t="shared" si="1"/>
        <v>3.3233416508183497E-4</v>
      </c>
      <c r="AA47" s="30">
        <f t="shared" si="2"/>
        <v>45.518457991207129</v>
      </c>
      <c r="AB47" s="30">
        <f t="shared" si="3"/>
        <v>192.31845799120708</v>
      </c>
      <c r="AC47" s="30">
        <f t="shared" si="4"/>
        <v>122.40000000000009</v>
      </c>
      <c r="AD47" s="31">
        <f t="shared" si="5"/>
        <v>3.44375065185783E-4</v>
      </c>
      <c r="AE47" s="30">
        <f t="shared" si="6"/>
        <v>2.3901110336673215</v>
      </c>
      <c r="AF47" s="30">
        <f t="shared" si="7"/>
        <v>124.79011103366742</v>
      </c>
      <c r="AG47" s="30">
        <f t="shared" si="8"/>
        <v>77.299999999999955</v>
      </c>
      <c r="AH47" s="31">
        <f t="shared" si="9"/>
        <v>2.664262190145527E-4</v>
      </c>
      <c r="AI47" s="30">
        <f t="shared" si="10"/>
        <v>25.06814685330459</v>
      </c>
      <c r="AJ47" s="30">
        <f t="shared" si="11"/>
        <v>102.36814685330455</v>
      </c>
      <c r="AK47" s="30">
        <f t="shared" si="12"/>
        <v>99.5</v>
      </c>
      <c r="AL47" s="31">
        <f t="shared" si="13"/>
        <v>2.4193331121649545E-4</v>
      </c>
      <c r="AM47" s="30">
        <f t="shared" si="14"/>
        <v>10.022242254462618</v>
      </c>
      <c r="AN47" s="30">
        <f t="shared" si="15"/>
        <v>109.52224225446261</v>
      </c>
      <c r="AO47" s="30">
        <f t="shared" si="16"/>
        <v>110.29999999999995</v>
      </c>
      <c r="AP47" s="31">
        <f t="shared" si="17"/>
        <v>3.0455361496581405E-4</v>
      </c>
      <c r="AQ47" s="30">
        <f t="shared" si="18"/>
        <v>26.535025543295401</v>
      </c>
      <c r="AR47" s="30">
        <f t="shared" si="19"/>
        <v>136.83502554329536</v>
      </c>
      <c r="AS47" s="92">
        <f t="shared" si="20"/>
        <v>132.59999999999991</v>
      </c>
      <c r="AT47" s="93">
        <f t="shared" si="21"/>
        <v>2.7993020153644493E-4</v>
      </c>
      <c r="AU47" s="94">
        <f t="shared" si="22"/>
        <v>33.164307932425942</v>
      </c>
      <c r="AV47" s="94">
        <f t="shared" si="23"/>
        <v>165.76430793242585</v>
      </c>
      <c r="AW47" s="103">
        <f t="shared" si="24"/>
        <v>105</v>
      </c>
      <c r="AX47" s="93">
        <f t="shared" si="25"/>
        <v>2.2636171934445215E-4</v>
      </c>
      <c r="AY47" s="103">
        <f t="shared" si="26"/>
        <v>23.391009041857199</v>
      </c>
      <c r="AZ47" s="103">
        <f t="shared" si="27"/>
        <v>128.39100904185719</v>
      </c>
      <c r="BA47" s="103">
        <f t="shared" si="28"/>
        <v>124.30000000000018</v>
      </c>
      <c r="BB47" s="90">
        <f t="shared" si="30"/>
        <v>3.5385382830699152E-4</v>
      </c>
      <c r="BC47" s="103">
        <f t="shared" si="31"/>
        <v>30.587128457394613</v>
      </c>
      <c r="BD47" s="103">
        <f t="shared" si="29"/>
        <v>154.88712845739479</v>
      </c>
      <c r="BE47" s="103">
        <f t="shared" si="32"/>
        <v>101</v>
      </c>
      <c r="BF47" s="93">
        <f t="shared" si="33"/>
        <v>2.6197164372240329E-4</v>
      </c>
      <c r="BG47" s="103">
        <f t="shared" si="34"/>
        <v>20.356792124540998</v>
      </c>
      <c r="BH47" s="103">
        <f t="shared" si="35"/>
        <v>121.356792124541</v>
      </c>
      <c r="BI47" s="103">
        <f t="shared" si="36"/>
        <v>118.59999999999991</v>
      </c>
      <c r="BJ47" s="90">
        <f t="shared" si="37"/>
        <v>2.4623519160554738E-4</v>
      </c>
      <c r="BK47" s="102">
        <f t="shared" si="38"/>
        <v>27.758011892080166</v>
      </c>
      <c r="BL47" s="102">
        <f t="shared" si="39"/>
        <v>146.35801189208007</v>
      </c>
      <c r="BM47" s="94">
        <f t="shared" si="40"/>
        <v>86.199999999999818</v>
      </c>
      <c r="BN47" s="90">
        <f t="shared" si="41"/>
        <v>2.2241583695711549E-4</v>
      </c>
      <c r="BO47" s="94">
        <f t="shared" si="42"/>
        <v>21.831820326810316</v>
      </c>
      <c r="BP47" s="94">
        <f t="shared" si="43"/>
        <v>108.03182032681013</v>
      </c>
      <c r="BQ47" s="94">
        <f t="shared" si="44"/>
        <v>80.200000000000273</v>
      </c>
      <c r="BR47" s="90">
        <f t="shared" si="45"/>
        <v>1.5235068270107638E-4</v>
      </c>
      <c r="BS47" s="94">
        <f t="shared" si="46"/>
        <v>17.328203635189979</v>
      </c>
      <c r="BT47" s="94">
        <f t="shared" si="47"/>
        <v>97.528203635190252</v>
      </c>
    </row>
    <row r="48" spans="1:72" ht="13.5" hidden="1">
      <c r="A48" s="11">
        <v>45</v>
      </c>
      <c r="B48" s="16" t="s">
        <v>39</v>
      </c>
      <c r="C48" s="17" t="s">
        <v>40</v>
      </c>
      <c r="D48" s="18" t="s">
        <v>121</v>
      </c>
      <c r="E48" s="18" t="s">
        <v>124</v>
      </c>
      <c r="F48" s="60" t="s">
        <v>143</v>
      </c>
      <c r="G48" s="55" t="s">
        <v>46</v>
      </c>
      <c r="H48" s="59">
        <v>409.7</v>
      </c>
      <c r="I48" s="59">
        <v>9044.1</v>
      </c>
      <c r="J48" s="59">
        <v>11826</v>
      </c>
      <c r="K48" s="59">
        <v>8634.4</v>
      </c>
      <c r="L48" s="59">
        <v>2781.9</v>
      </c>
      <c r="M48" s="59">
        <v>12673.1</v>
      </c>
      <c r="N48" s="59">
        <v>15350.5</v>
      </c>
      <c r="O48" s="59">
        <v>15842.6</v>
      </c>
      <c r="P48" s="59">
        <v>18110.5</v>
      </c>
      <c r="Q48" s="59">
        <v>20319.5</v>
      </c>
      <c r="R48" s="59">
        <v>24446.7</v>
      </c>
      <c r="S48" s="59">
        <v>28914.2</v>
      </c>
      <c r="T48" s="75">
        <v>30800.799999999999</v>
      </c>
      <c r="U48" s="65">
        <v>32302.3</v>
      </c>
      <c r="V48" s="65">
        <v>36776.400000000001</v>
      </c>
      <c r="W48" s="76">
        <v>40857.599999999999</v>
      </c>
      <c r="X48" s="76">
        <v>43858.400000000001</v>
      </c>
      <c r="Y48" s="30">
        <f t="shared" si="0"/>
        <v>3629</v>
      </c>
      <c r="Z48" s="31">
        <f t="shared" si="1"/>
        <v>8.2155360019208409E-3</v>
      </c>
      <c r="AA48" s="30">
        <f t="shared" si="2"/>
        <v>1125.2485289515716</v>
      </c>
      <c r="AB48" s="30">
        <f t="shared" si="3"/>
        <v>4754.2485289515716</v>
      </c>
      <c r="AC48" s="30">
        <f t="shared" si="4"/>
        <v>2677.3999999999996</v>
      </c>
      <c r="AD48" s="31">
        <f t="shared" si="5"/>
        <v>7.5329231987615571E-3</v>
      </c>
      <c r="AE48" s="30">
        <f t="shared" si="6"/>
        <v>52.281726156379747</v>
      </c>
      <c r="AF48" s="30">
        <f t="shared" si="7"/>
        <v>2729.6817261563792</v>
      </c>
      <c r="AG48" s="30">
        <f t="shared" si="8"/>
        <v>492.10000000000036</v>
      </c>
      <c r="AH48" s="31">
        <f t="shared" si="9"/>
        <v>1.6960975727951042E-3</v>
      </c>
      <c r="AI48" s="30">
        <f t="shared" si="10"/>
        <v>159.58648210234418</v>
      </c>
      <c r="AJ48" s="30">
        <f t="shared" si="11"/>
        <v>651.6864821023446</v>
      </c>
      <c r="AK48" s="30">
        <f t="shared" si="12"/>
        <v>2267.8999999999996</v>
      </c>
      <c r="AL48" s="31">
        <f t="shared" si="13"/>
        <v>5.5143774523406025E-3</v>
      </c>
      <c r="AM48" s="30">
        <f t="shared" si="14"/>
        <v>228.43661516478161</v>
      </c>
      <c r="AN48" s="30">
        <f t="shared" si="15"/>
        <v>2496.3366151647811</v>
      </c>
      <c r="AO48" s="30">
        <f t="shared" si="16"/>
        <v>2209</v>
      </c>
      <c r="AP48" s="31">
        <f t="shared" si="17"/>
        <v>6.0993557158611376E-3</v>
      </c>
      <c r="AQ48" s="30">
        <f t="shared" si="18"/>
        <v>531.42222506926169</v>
      </c>
      <c r="AR48" s="30">
        <f t="shared" si="19"/>
        <v>2740.4222250692619</v>
      </c>
      <c r="AS48" s="92">
        <f t="shared" si="20"/>
        <v>4127.2000000000007</v>
      </c>
      <c r="AT48" s="93">
        <f t="shared" si="21"/>
        <v>8.7128803000091747E-3</v>
      </c>
      <c r="AU48" s="94">
        <f t="shared" si="22"/>
        <v>1032.2453370943324</v>
      </c>
      <c r="AV48" s="94">
        <f t="shared" si="23"/>
        <v>5159.4453370943329</v>
      </c>
      <c r="AW48" s="103">
        <f t="shared" si="24"/>
        <v>4467.5</v>
      </c>
      <c r="AX48" s="93">
        <f t="shared" si="25"/>
        <v>9.6311522016318089E-3</v>
      </c>
      <c r="AY48" s="103">
        <f t="shared" si="26"/>
        <v>995.23174185235268</v>
      </c>
      <c r="AZ48" s="103">
        <f t="shared" si="27"/>
        <v>5462.7317418523526</v>
      </c>
      <c r="BA48" s="103">
        <f t="shared" si="28"/>
        <v>1886.5999999999985</v>
      </c>
      <c r="BB48" s="90">
        <f t="shared" si="30"/>
        <v>5.3707210980206655E-3</v>
      </c>
      <c r="BC48" s="103">
        <f t="shared" si="31"/>
        <v>464.24518542011702</v>
      </c>
      <c r="BD48" s="103">
        <f t="shared" si="29"/>
        <v>2350.8451854201157</v>
      </c>
      <c r="BE48" s="103">
        <f t="shared" si="32"/>
        <v>1501.5</v>
      </c>
      <c r="BF48" s="93">
        <f t="shared" si="33"/>
        <v>3.8945586440513719E-3</v>
      </c>
      <c r="BG48" s="103">
        <f t="shared" si="34"/>
        <v>302.63092450493372</v>
      </c>
      <c r="BH48" s="103">
        <f t="shared" si="35"/>
        <v>1804.1309245049338</v>
      </c>
      <c r="BI48" s="103">
        <f t="shared" si="36"/>
        <v>4474.1000000000022</v>
      </c>
      <c r="BJ48" s="90">
        <f t="shared" si="37"/>
        <v>9.2890461278446954E-3</v>
      </c>
      <c r="BK48" s="102">
        <f t="shared" si="38"/>
        <v>1047.1511046067119</v>
      </c>
      <c r="BL48" s="102">
        <f t="shared" si="39"/>
        <v>5521.2511046067139</v>
      </c>
      <c r="BM48" s="94">
        <f t="shared" si="40"/>
        <v>4081.1999999999971</v>
      </c>
      <c r="BN48" s="90">
        <f t="shared" si="41"/>
        <v>1.0530435194772401E-2</v>
      </c>
      <c r="BO48" s="94">
        <f t="shared" si="42"/>
        <v>1033.6429828048535</v>
      </c>
      <c r="BP48" s="94">
        <f t="shared" si="43"/>
        <v>5114.8429828048502</v>
      </c>
      <c r="BQ48" s="94">
        <f t="shared" si="44"/>
        <v>3000.8000000000029</v>
      </c>
      <c r="BR48" s="90">
        <f t="shared" si="45"/>
        <v>5.7004230504911334E-3</v>
      </c>
      <c r="BS48" s="94">
        <f t="shared" si="46"/>
        <v>648.36001831019917</v>
      </c>
      <c r="BT48" s="94">
        <f t="shared" si="47"/>
        <v>3649.1600183102018</v>
      </c>
    </row>
    <row r="49" spans="1:72" ht="13.5" hidden="1">
      <c r="A49" s="16">
        <v>46</v>
      </c>
      <c r="B49" s="16" t="s">
        <v>39</v>
      </c>
      <c r="C49" s="17" t="s">
        <v>40</v>
      </c>
      <c r="D49" s="18" t="s">
        <v>121</v>
      </c>
      <c r="E49" s="18" t="s">
        <v>124</v>
      </c>
      <c r="F49" s="60" t="s">
        <v>144</v>
      </c>
      <c r="G49" s="55" t="s">
        <v>145</v>
      </c>
      <c r="H49" s="59">
        <v>5515</v>
      </c>
      <c r="I49" s="59">
        <v>104997.3</v>
      </c>
      <c r="J49" s="59">
        <v>113287.7</v>
      </c>
      <c r="K49" s="59">
        <v>99482.3</v>
      </c>
      <c r="L49" s="59">
        <v>8290.4</v>
      </c>
      <c r="M49" s="59">
        <v>115759.8</v>
      </c>
      <c r="N49" s="59">
        <v>129491.8</v>
      </c>
      <c r="O49" s="59">
        <v>139776.9</v>
      </c>
      <c r="P49" s="59">
        <v>154252.1</v>
      </c>
      <c r="Q49" s="59">
        <v>165998.20000000001</v>
      </c>
      <c r="R49" s="59">
        <v>181111.9</v>
      </c>
      <c r="S49" s="59">
        <v>196265.5</v>
      </c>
      <c r="T49" s="75">
        <v>208812.5</v>
      </c>
      <c r="U49" s="65">
        <v>222403.20000000001</v>
      </c>
      <c r="V49" s="65">
        <v>235842.1</v>
      </c>
      <c r="W49" s="76">
        <v>248994</v>
      </c>
      <c r="X49" s="76">
        <v>265353.59999999998</v>
      </c>
      <c r="Y49" s="30">
        <f t="shared" si="0"/>
        <v>10762.5</v>
      </c>
      <c r="Z49" s="31">
        <f t="shared" si="1"/>
        <v>2.4364757845321865E-2</v>
      </c>
      <c r="AA49" s="30">
        <f t="shared" si="2"/>
        <v>3337.1417175093111</v>
      </c>
      <c r="AB49" s="30">
        <f t="shared" si="3"/>
        <v>14099.641717509312</v>
      </c>
      <c r="AC49" s="30">
        <f t="shared" si="4"/>
        <v>13732</v>
      </c>
      <c r="AD49" s="31">
        <f t="shared" si="5"/>
        <v>3.8635281005973597E-2</v>
      </c>
      <c r="AE49" s="30">
        <f t="shared" si="6"/>
        <v>268.14546335228454</v>
      </c>
      <c r="AF49" s="30">
        <f t="shared" si="7"/>
        <v>14000.145463352284</v>
      </c>
      <c r="AG49" s="30">
        <f t="shared" si="8"/>
        <v>10285.099999999991</v>
      </c>
      <c r="AH49" s="31">
        <f t="shared" si="9"/>
        <v>3.5449163068390369E-2</v>
      </c>
      <c r="AI49" s="30">
        <f t="shared" si="10"/>
        <v>3335.4255782784344</v>
      </c>
      <c r="AJ49" s="30">
        <f t="shared" si="11"/>
        <v>13620.525578278426</v>
      </c>
      <c r="AK49" s="30">
        <f t="shared" si="12"/>
        <v>14475.200000000012</v>
      </c>
      <c r="AL49" s="31">
        <f t="shared" si="13"/>
        <v>3.5196312226341883E-2</v>
      </c>
      <c r="AM49" s="30">
        <f t="shared" si="14"/>
        <v>1458.0297596160542</v>
      </c>
      <c r="AN49" s="30">
        <f t="shared" si="15"/>
        <v>15933.229759616066</v>
      </c>
      <c r="AO49" s="30">
        <f t="shared" si="16"/>
        <v>11746.100000000006</v>
      </c>
      <c r="AP49" s="31">
        <f t="shared" si="17"/>
        <v>3.2432613025838185E-2</v>
      </c>
      <c r="AQ49" s="30">
        <f t="shared" si="18"/>
        <v>2825.7757346700128</v>
      </c>
      <c r="AR49" s="30">
        <f t="shared" si="19"/>
        <v>14571.875734670019</v>
      </c>
      <c r="AS49" s="92">
        <f t="shared" si="20"/>
        <v>15113.699999999983</v>
      </c>
      <c r="AT49" s="93">
        <f t="shared" si="21"/>
        <v>3.1906343038924333E-2</v>
      </c>
      <c r="AU49" s="94">
        <f t="shared" si="22"/>
        <v>3780.0558129585656</v>
      </c>
      <c r="AV49" s="94">
        <f t="shared" si="23"/>
        <v>18893.755812958549</v>
      </c>
      <c r="AW49" s="103">
        <f t="shared" si="24"/>
        <v>15153.600000000006</v>
      </c>
      <c r="AX49" s="93">
        <f t="shared" si="25"/>
        <v>3.2668523335791351E-2</v>
      </c>
      <c r="AY49" s="103">
        <f t="shared" si="26"/>
        <v>3375.7904249208323</v>
      </c>
      <c r="AZ49" s="103">
        <f t="shared" si="27"/>
        <v>18529.390424920839</v>
      </c>
      <c r="BA49" s="103">
        <f t="shared" si="28"/>
        <v>12547</v>
      </c>
      <c r="BB49" s="90">
        <f t="shared" si="30"/>
        <v>3.5718455219371004E-2</v>
      </c>
      <c r="BC49" s="103">
        <f t="shared" si="31"/>
        <v>3087.5036263469801</v>
      </c>
      <c r="BD49" s="103">
        <f t="shared" si="29"/>
        <v>15634.503626346981</v>
      </c>
      <c r="BE49" s="103">
        <f t="shared" si="32"/>
        <v>13590.700000000012</v>
      </c>
      <c r="BF49" s="93">
        <f t="shared" si="33"/>
        <v>3.5251267508297719E-2</v>
      </c>
      <c r="BG49" s="103">
        <f t="shared" si="34"/>
        <v>2739.2381656138573</v>
      </c>
      <c r="BH49" s="103">
        <f t="shared" si="35"/>
        <v>16329.938165613868</v>
      </c>
      <c r="BI49" s="103">
        <f t="shared" si="36"/>
        <v>13438.899999999994</v>
      </c>
      <c r="BJ49" s="90">
        <f t="shared" si="37"/>
        <v>2.7901603005630625E-2</v>
      </c>
      <c r="BK49" s="102">
        <f t="shared" si="38"/>
        <v>3145.3384992957531</v>
      </c>
      <c r="BL49" s="102">
        <f t="shared" si="39"/>
        <v>16584.238499295749</v>
      </c>
      <c r="BM49" s="94">
        <f t="shared" si="40"/>
        <v>13151.899999999994</v>
      </c>
      <c r="BN49" s="90">
        <f t="shared" si="41"/>
        <v>3.3934928608773687E-2</v>
      </c>
      <c r="BO49" s="94">
        <f t="shared" si="42"/>
        <v>3330.9735238535623</v>
      </c>
      <c r="BP49" s="94">
        <f t="shared" si="43"/>
        <v>16482.873523853556</v>
      </c>
      <c r="BQ49" s="94">
        <f t="shared" si="44"/>
        <v>16359.599999999977</v>
      </c>
      <c r="BR49" s="90">
        <f t="shared" si="45"/>
        <v>3.107725970968226E-2</v>
      </c>
      <c r="BS49" s="94">
        <f t="shared" si="46"/>
        <v>3534.6942667113799</v>
      </c>
      <c r="BT49" s="94">
        <f t="shared" si="47"/>
        <v>19894.294266711357</v>
      </c>
    </row>
    <row r="50" spans="1:72" ht="13.5" hidden="1">
      <c r="A50" s="11">
        <v>47</v>
      </c>
      <c r="B50" s="16" t="s">
        <v>49</v>
      </c>
      <c r="C50" s="17" t="s">
        <v>50</v>
      </c>
      <c r="D50" s="119" t="s">
        <v>138</v>
      </c>
      <c r="E50" s="20" t="s">
        <v>49</v>
      </c>
      <c r="F50" s="58" t="s">
        <v>61</v>
      </c>
      <c r="G50" s="57" t="s">
        <v>62</v>
      </c>
      <c r="H50" s="59">
        <v>400.5</v>
      </c>
      <c r="I50" s="59">
        <v>9257.7000000000007</v>
      </c>
      <c r="J50" s="59">
        <v>13823.3</v>
      </c>
      <c r="K50" s="59">
        <v>8857.2000000000007</v>
      </c>
      <c r="L50" s="59">
        <v>4565.6000000000004</v>
      </c>
      <c r="M50" s="59">
        <v>15252.3</v>
      </c>
      <c r="N50" s="59">
        <v>16655.8</v>
      </c>
      <c r="O50" s="59">
        <v>17301.8</v>
      </c>
      <c r="P50" s="59">
        <v>20671.5</v>
      </c>
      <c r="Q50" s="59">
        <v>22560</v>
      </c>
      <c r="R50" s="59">
        <v>28972.1</v>
      </c>
      <c r="S50" s="59">
        <v>35373.699999999997</v>
      </c>
      <c r="T50" s="75">
        <v>37493.199999999997</v>
      </c>
      <c r="U50" s="65">
        <v>39840.199999999997</v>
      </c>
      <c r="V50" s="65">
        <v>45582.8</v>
      </c>
      <c r="W50" s="76">
        <v>49350.5</v>
      </c>
      <c r="X50" s="76">
        <v>55946.9</v>
      </c>
      <c r="Y50" s="30">
        <f t="shared" si="0"/>
        <v>5994.5999999999985</v>
      </c>
      <c r="Z50" s="31">
        <f t="shared" si="1"/>
        <v>1.3570915435964359E-2</v>
      </c>
      <c r="AA50" s="30">
        <f t="shared" si="2"/>
        <v>1858.7530536382169</v>
      </c>
      <c r="AB50" s="30">
        <f t="shared" si="3"/>
        <v>7853.353053638215</v>
      </c>
      <c r="AC50" s="30">
        <f t="shared" si="4"/>
        <v>1403.5</v>
      </c>
      <c r="AD50" s="31">
        <f t="shared" si="5"/>
        <v>3.9487778103614877E-3</v>
      </c>
      <c r="AE50" s="30">
        <f t="shared" si="6"/>
        <v>27.406215978366692</v>
      </c>
      <c r="AF50" s="30">
        <f t="shared" si="7"/>
        <v>1430.9062159783666</v>
      </c>
      <c r="AG50" s="30">
        <f t="shared" si="8"/>
        <v>646</v>
      </c>
      <c r="AH50" s="31">
        <f t="shared" si="9"/>
        <v>2.2265373542483978E-3</v>
      </c>
      <c r="AI50" s="30">
        <f t="shared" si="10"/>
        <v>209.49576801079917</v>
      </c>
      <c r="AJ50" s="30">
        <f t="shared" si="11"/>
        <v>855.49576801079911</v>
      </c>
      <c r="AK50" s="30">
        <f t="shared" si="12"/>
        <v>3369.7000000000007</v>
      </c>
      <c r="AL50" s="31">
        <f t="shared" si="13"/>
        <v>8.1933937568464815E-3</v>
      </c>
      <c r="AM50" s="30">
        <f t="shared" si="14"/>
        <v>339.41658014937383</v>
      </c>
      <c r="AN50" s="30">
        <f t="shared" si="15"/>
        <v>3709.1165801493744</v>
      </c>
      <c r="AO50" s="30">
        <f t="shared" si="16"/>
        <v>1888.5</v>
      </c>
      <c r="AP50" s="31">
        <f t="shared" si="17"/>
        <v>5.214410714985857E-3</v>
      </c>
      <c r="AQ50" s="30">
        <f t="shared" si="18"/>
        <v>454.31909101100075</v>
      </c>
      <c r="AR50" s="30">
        <f t="shared" si="19"/>
        <v>2342.8190910110006</v>
      </c>
      <c r="AS50" s="92">
        <f t="shared" si="20"/>
        <v>6412.0999999999985</v>
      </c>
      <c r="AT50" s="93">
        <f t="shared" si="21"/>
        <v>1.3536504112155652E-2</v>
      </c>
      <c r="AU50" s="94">
        <f t="shared" si="22"/>
        <v>1603.7168845664291</v>
      </c>
      <c r="AV50" s="94">
        <f t="shared" si="23"/>
        <v>8015.8168845664277</v>
      </c>
      <c r="AW50" s="103">
        <f t="shared" si="24"/>
        <v>6401.5999999999985</v>
      </c>
      <c r="AX50" s="93">
        <f t="shared" si="25"/>
        <v>1.3800735071956616E-2</v>
      </c>
      <c r="AY50" s="103">
        <f t="shared" si="26"/>
        <v>1426.094128403362</v>
      </c>
      <c r="AZ50" s="103">
        <f t="shared" si="27"/>
        <v>7827.6941284033601</v>
      </c>
      <c r="BA50" s="103">
        <f t="shared" si="28"/>
        <v>2119.5</v>
      </c>
      <c r="BB50" s="90">
        <f t="shared" si="30"/>
        <v>6.0337344255564553E-3</v>
      </c>
      <c r="BC50" s="103">
        <f t="shared" si="31"/>
        <v>521.55606408244398</v>
      </c>
      <c r="BD50" s="103">
        <f t="shared" si="29"/>
        <v>2641.0560640824442</v>
      </c>
      <c r="BE50" s="103">
        <f t="shared" si="32"/>
        <v>2347</v>
      </c>
      <c r="BF50" s="93">
        <f t="shared" si="33"/>
        <v>6.0875984932324805E-3</v>
      </c>
      <c r="BG50" s="103">
        <f t="shared" si="34"/>
        <v>473.04347639898731</v>
      </c>
      <c r="BH50" s="103">
        <f t="shared" si="35"/>
        <v>2820.0434763989874</v>
      </c>
      <c r="BI50" s="103">
        <f t="shared" si="36"/>
        <v>5742.6000000000058</v>
      </c>
      <c r="BJ50" s="90">
        <f t="shared" si="37"/>
        <v>1.1922683063355978E-2</v>
      </c>
      <c r="BK50" s="102">
        <f t="shared" si="38"/>
        <v>1344.0401272467104</v>
      </c>
      <c r="BL50" s="102">
        <f t="shared" si="39"/>
        <v>7086.6401272467165</v>
      </c>
      <c r="BM50" s="94">
        <f t="shared" si="40"/>
        <v>3767.6999999999971</v>
      </c>
      <c r="BN50" s="90">
        <f t="shared" si="41"/>
        <v>9.7215330499225653E-3</v>
      </c>
      <c r="BO50" s="94">
        <f t="shared" si="42"/>
        <v>954.24303300839142</v>
      </c>
      <c r="BP50" s="94">
        <f t="shared" si="43"/>
        <v>4721.9430330083887</v>
      </c>
      <c r="BQ50" s="94">
        <f t="shared" si="44"/>
        <v>6596.4000000000015</v>
      </c>
      <c r="BR50" s="90">
        <f t="shared" si="45"/>
        <v>1.253074867044111E-2</v>
      </c>
      <c r="BS50" s="94">
        <f t="shared" si="46"/>
        <v>1425.2339458748982</v>
      </c>
      <c r="BT50" s="94">
        <f t="shared" si="47"/>
        <v>8021.6339458748998</v>
      </c>
    </row>
    <row r="51" spans="1:72" ht="13.5" hidden="1">
      <c r="A51" s="16">
        <v>48</v>
      </c>
      <c r="B51" s="16" t="s">
        <v>39</v>
      </c>
      <c r="C51" s="17" t="s">
        <v>40</v>
      </c>
      <c r="D51" s="18" t="s">
        <v>121</v>
      </c>
      <c r="E51" s="18" t="s">
        <v>124</v>
      </c>
      <c r="F51" s="60" t="s">
        <v>146</v>
      </c>
      <c r="G51" s="55" t="s">
        <v>147</v>
      </c>
      <c r="H51" s="59">
        <v>192.4</v>
      </c>
      <c r="I51" s="59">
        <v>3088.1</v>
      </c>
      <c r="J51" s="59">
        <v>3861.6</v>
      </c>
      <c r="K51" s="59">
        <v>2895.7</v>
      </c>
      <c r="L51" s="59">
        <v>773.5</v>
      </c>
      <c r="M51" s="59">
        <v>4073.4</v>
      </c>
      <c r="N51" s="59">
        <v>4490.1000000000004</v>
      </c>
      <c r="O51" s="59">
        <v>4692.1000000000004</v>
      </c>
      <c r="P51" s="59">
        <v>5118.3</v>
      </c>
      <c r="Q51" s="59">
        <v>5370</v>
      </c>
      <c r="R51" s="59">
        <v>5706.2</v>
      </c>
      <c r="S51" s="59">
        <v>5949.2</v>
      </c>
      <c r="T51" s="75">
        <v>6163.4</v>
      </c>
      <c r="U51" s="65">
        <v>6395.2</v>
      </c>
      <c r="V51" s="65">
        <v>6788.5</v>
      </c>
      <c r="W51" s="76">
        <v>7081.3</v>
      </c>
      <c r="X51" s="76">
        <v>7463.1</v>
      </c>
      <c r="Y51" s="30">
        <f t="shared" si="0"/>
        <v>985.30000000000018</v>
      </c>
      <c r="Z51" s="31">
        <f t="shared" si="1"/>
        <v>2.2305780167243337E-3</v>
      </c>
      <c r="AA51" s="30">
        <f t="shared" si="2"/>
        <v>305.51319249820443</v>
      </c>
      <c r="AB51" s="30">
        <f t="shared" si="3"/>
        <v>1290.8131924982047</v>
      </c>
      <c r="AC51" s="30">
        <f t="shared" si="4"/>
        <v>416.70000000000027</v>
      </c>
      <c r="AD51" s="31">
        <f t="shared" si="5"/>
        <v>1.1723945233898347E-3</v>
      </c>
      <c r="AE51" s="30">
        <f t="shared" si="6"/>
        <v>8.1369221219703665</v>
      </c>
      <c r="AF51" s="30">
        <f t="shared" si="7"/>
        <v>424.83692212197064</v>
      </c>
      <c r="AG51" s="30">
        <f t="shared" si="8"/>
        <v>202</v>
      </c>
      <c r="AH51" s="31">
        <f t="shared" si="9"/>
        <v>6.9622375473401914E-4</v>
      </c>
      <c r="AI51" s="30">
        <f t="shared" si="10"/>
        <v>65.507964610187969</v>
      </c>
      <c r="AJ51" s="30">
        <f t="shared" si="11"/>
        <v>267.50796461018797</v>
      </c>
      <c r="AK51" s="30">
        <f t="shared" si="12"/>
        <v>426.19999999999982</v>
      </c>
      <c r="AL51" s="31">
        <f t="shared" si="13"/>
        <v>1.0363012787986967E-3</v>
      </c>
      <c r="AM51" s="30">
        <f t="shared" si="14"/>
        <v>42.929443707054936</v>
      </c>
      <c r="AN51" s="30">
        <f t="shared" si="15"/>
        <v>469.12944370705475</v>
      </c>
      <c r="AO51" s="30">
        <f t="shared" si="16"/>
        <v>251.69999999999982</v>
      </c>
      <c r="AP51" s="31">
        <f t="shared" si="17"/>
        <v>6.9497864811328533E-4</v>
      </c>
      <c r="AQ51" s="30">
        <f t="shared" si="18"/>
        <v>60.551821661354943</v>
      </c>
      <c r="AR51" s="30">
        <f t="shared" si="19"/>
        <v>312.25182166135477</v>
      </c>
      <c r="AS51" s="92">
        <f t="shared" si="20"/>
        <v>336.19999999999982</v>
      </c>
      <c r="AT51" s="93">
        <f t="shared" si="21"/>
        <v>7.097476150569593E-4</v>
      </c>
      <c r="AU51" s="94">
        <f t="shared" si="22"/>
        <v>84.086276974974382</v>
      </c>
      <c r="AV51" s="94">
        <f t="shared" si="23"/>
        <v>420.28627697497421</v>
      </c>
      <c r="AW51" s="103">
        <f t="shared" si="24"/>
        <v>243</v>
      </c>
      <c r="AX51" s="93">
        <f t="shared" si="25"/>
        <v>5.2386569334001787E-4</v>
      </c>
      <c r="AY51" s="103">
        <f t="shared" si="26"/>
        <v>54.133478068298089</v>
      </c>
      <c r="AZ51" s="103">
        <f t="shared" si="27"/>
        <v>297.13347806829807</v>
      </c>
      <c r="BA51" s="103">
        <f t="shared" si="28"/>
        <v>214.19999999999982</v>
      </c>
      <c r="BB51" s="90">
        <f t="shared" si="30"/>
        <v>6.0977868079933558E-4</v>
      </c>
      <c r="BC51" s="103">
        <f t="shared" si="31"/>
        <v>52.709275266081349</v>
      </c>
      <c r="BD51" s="103">
        <f t="shared" si="29"/>
        <v>266.90927526608118</v>
      </c>
      <c r="BE51" s="103">
        <f t="shared" si="32"/>
        <v>231.80000000000018</v>
      </c>
      <c r="BF51" s="93">
        <f t="shared" si="33"/>
        <v>6.0123789123616963E-4</v>
      </c>
      <c r="BG51" s="103">
        <f t="shared" si="34"/>
        <v>46.71984568780799</v>
      </c>
      <c r="BH51" s="103">
        <f t="shared" si="35"/>
        <v>278.51984568780819</v>
      </c>
      <c r="BI51" s="103">
        <f t="shared" si="36"/>
        <v>393.30000000000018</v>
      </c>
      <c r="BJ51" s="90">
        <f t="shared" si="37"/>
        <v>8.1656240184200602E-4</v>
      </c>
      <c r="BK51" s="102">
        <f t="shared" si="38"/>
        <v>92.050810094056857</v>
      </c>
      <c r="BL51" s="102">
        <f t="shared" si="39"/>
        <v>485.35081009405701</v>
      </c>
      <c r="BM51" s="94">
        <f t="shared" si="40"/>
        <v>292.80000000000018</v>
      </c>
      <c r="BN51" s="90">
        <f t="shared" si="41"/>
        <v>7.5549138121860319E-4</v>
      </c>
      <c r="BO51" s="94">
        <f t="shared" si="42"/>
        <v>74.157273685499746</v>
      </c>
      <c r="BP51" s="94">
        <f t="shared" si="43"/>
        <v>366.9572736854999</v>
      </c>
      <c r="BQ51" s="94">
        <f t="shared" si="44"/>
        <v>381.80000000000018</v>
      </c>
      <c r="BR51" s="90">
        <f t="shared" si="45"/>
        <v>7.2528043211060838E-4</v>
      </c>
      <c r="BS51" s="94">
        <f t="shared" si="46"/>
        <v>82.492620298198446</v>
      </c>
      <c r="BT51" s="94">
        <f t="shared" si="47"/>
        <v>464.29262029819864</v>
      </c>
    </row>
    <row r="52" spans="1:72" ht="13.5" hidden="1">
      <c r="A52" s="11">
        <v>49</v>
      </c>
      <c r="B52" s="16" t="s">
        <v>49</v>
      </c>
      <c r="C52" s="17" t="s">
        <v>50</v>
      </c>
      <c r="D52" s="18" t="s">
        <v>121</v>
      </c>
      <c r="E52" s="20" t="s">
        <v>49</v>
      </c>
      <c r="F52" s="58" t="s">
        <v>148</v>
      </c>
      <c r="G52" s="57" t="s">
        <v>149</v>
      </c>
      <c r="H52" s="59">
        <v>6501.2</v>
      </c>
      <c r="I52" s="59">
        <v>89607.5</v>
      </c>
      <c r="J52" s="59">
        <v>108980.9</v>
      </c>
      <c r="K52" s="59">
        <v>83106.3</v>
      </c>
      <c r="L52" s="59">
        <v>19373.400000000001</v>
      </c>
      <c r="M52" s="59">
        <v>109235.2</v>
      </c>
      <c r="N52" s="59">
        <v>109687.2</v>
      </c>
      <c r="O52" s="59">
        <v>109871.6</v>
      </c>
      <c r="P52" s="59">
        <v>115891.1</v>
      </c>
      <c r="Q52" s="59">
        <v>131146.9</v>
      </c>
      <c r="R52" s="59">
        <v>145245.79999999999</v>
      </c>
      <c r="S52" s="59">
        <v>145273.9</v>
      </c>
      <c r="T52" s="75">
        <v>152002.79999999999</v>
      </c>
      <c r="U52" s="65">
        <v>160825.9</v>
      </c>
      <c r="V52" s="65">
        <v>175605.1</v>
      </c>
      <c r="W52" s="76">
        <v>191313.5</v>
      </c>
      <c r="X52" s="76">
        <v>199773.6</v>
      </c>
      <c r="Y52" s="30">
        <f t="shared" si="0"/>
        <v>19627.699999999997</v>
      </c>
      <c r="Z52" s="31">
        <f t="shared" si="1"/>
        <v>4.443430035406494E-2</v>
      </c>
      <c r="AA52" s="30">
        <f t="shared" si="2"/>
        <v>6085.9852718938437</v>
      </c>
      <c r="AB52" s="30">
        <f t="shared" si="3"/>
        <v>25713.685271893839</v>
      </c>
      <c r="AC52" s="30">
        <f t="shared" si="4"/>
        <v>452</v>
      </c>
      <c r="AD52" s="31">
        <f t="shared" si="5"/>
        <v>1.2717118420259297E-3</v>
      </c>
      <c r="AE52" s="30">
        <f t="shared" si="6"/>
        <v>8.8262270197518671</v>
      </c>
      <c r="AF52" s="30">
        <f t="shared" si="7"/>
        <v>460.82622701975185</v>
      </c>
      <c r="AG52" s="30">
        <f t="shared" si="8"/>
        <v>184.40000000000873</v>
      </c>
      <c r="AH52" s="31">
        <f t="shared" si="9"/>
        <v>6.3556267511365942E-4</v>
      </c>
      <c r="AI52" s="30">
        <f t="shared" si="10"/>
        <v>59.800339970887293</v>
      </c>
      <c r="AJ52" s="30">
        <f t="shared" si="11"/>
        <v>244.20033997089604</v>
      </c>
      <c r="AK52" s="30">
        <f t="shared" si="12"/>
        <v>6019.5</v>
      </c>
      <c r="AL52" s="31">
        <f t="shared" si="13"/>
        <v>1.4636357455956726E-2</v>
      </c>
      <c r="AM52" s="30">
        <f t="shared" si="14"/>
        <v>606.32047488178625</v>
      </c>
      <c r="AN52" s="30">
        <f t="shared" si="15"/>
        <v>6625.8204748817861</v>
      </c>
      <c r="AO52" s="30">
        <f t="shared" si="16"/>
        <v>15255.799999999988</v>
      </c>
      <c r="AP52" s="31">
        <f t="shared" si="17"/>
        <v>4.212338204166332E-2</v>
      </c>
      <c r="AQ52" s="30">
        <f t="shared" si="18"/>
        <v>3670.1091811732167</v>
      </c>
      <c r="AR52" s="30">
        <f t="shared" si="19"/>
        <v>18925.909181173207</v>
      </c>
      <c r="AS52" s="92">
        <f t="shared" si="20"/>
        <v>14098.899999999994</v>
      </c>
      <c r="AT52" s="93">
        <f t="shared" si="21"/>
        <v>2.976401145129853E-2</v>
      </c>
      <c r="AU52" s="94">
        <f t="shared" si="22"/>
        <v>3526.2463130352962</v>
      </c>
      <c r="AV52" s="94">
        <f t="shared" si="23"/>
        <v>17625.146313035289</v>
      </c>
      <c r="AW52" s="103">
        <f t="shared" si="24"/>
        <v>28.100000000005821</v>
      </c>
      <c r="AX52" s="93">
        <f t="shared" si="25"/>
        <v>6.0578707748384985E-5</v>
      </c>
      <c r="AY52" s="103">
        <f t="shared" si="26"/>
        <v>6.2598795626316521</v>
      </c>
      <c r="AZ52" s="103">
        <f t="shared" si="27"/>
        <v>34.359879562637474</v>
      </c>
      <c r="BA52" s="103">
        <f t="shared" si="28"/>
        <v>6728.8999999999942</v>
      </c>
      <c r="BB52" s="90">
        <f t="shared" si="30"/>
        <v>1.9155647830208445E-2</v>
      </c>
      <c r="BC52" s="103">
        <f t="shared" si="31"/>
        <v>1655.8143899996953</v>
      </c>
      <c r="BD52" s="103">
        <f t="shared" si="29"/>
        <v>8384.71438999969</v>
      </c>
      <c r="BE52" s="103">
        <f t="shared" si="32"/>
        <v>8823.1000000000058</v>
      </c>
      <c r="BF52" s="93">
        <f t="shared" si="33"/>
        <v>2.2885168413139981E-2</v>
      </c>
      <c r="BG52" s="103">
        <f t="shared" si="34"/>
        <v>1778.3169563766119</v>
      </c>
      <c r="BH52" s="103">
        <f t="shared" si="35"/>
        <v>10601.416956376617</v>
      </c>
      <c r="BI52" s="103">
        <f t="shared" si="36"/>
        <v>14779.200000000012</v>
      </c>
      <c r="BJ52" s="90">
        <f t="shared" si="37"/>
        <v>3.0684309812619829E-2</v>
      </c>
      <c r="BK52" s="102">
        <f t="shared" si="38"/>
        <v>3459.0321193544</v>
      </c>
      <c r="BL52" s="102">
        <f t="shared" si="39"/>
        <v>18238.232119354412</v>
      </c>
      <c r="BM52" s="94">
        <f t="shared" si="40"/>
        <v>15708.399999999994</v>
      </c>
      <c r="BN52" s="90">
        <f t="shared" si="41"/>
        <v>4.0531286928737344E-2</v>
      </c>
      <c r="BO52" s="94">
        <f t="shared" si="42"/>
        <v>3978.4566870263084</v>
      </c>
      <c r="BP52" s="94">
        <f t="shared" si="43"/>
        <v>19686.856687026302</v>
      </c>
      <c r="BQ52" s="94">
        <f t="shared" si="44"/>
        <v>8460.1000000000058</v>
      </c>
      <c r="BR52" s="90">
        <f t="shared" si="45"/>
        <v>1.6071097390515869E-2</v>
      </c>
      <c r="BS52" s="94">
        <f t="shared" si="46"/>
        <v>1827.9094211230718</v>
      </c>
      <c r="BT52" s="94">
        <f t="shared" si="47"/>
        <v>10288.009421123077</v>
      </c>
    </row>
    <row r="53" spans="1:72" ht="13.5" hidden="1">
      <c r="A53" s="16">
        <v>50</v>
      </c>
      <c r="B53" s="16" t="s">
        <v>49</v>
      </c>
      <c r="C53" s="17" t="s">
        <v>50</v>
      </c>
      <c r="D53" s="18" t="s">
        <v>121</v>
      </c>
      <c r="E53" s="20" t="s">
        <v>49</v>
      </c>
      <c r="F53" s="58" t="s">
        <v>150</v>
      </c>
      <c r="G53" s="57" t="s">
        <v>151</v>
      </c>
      <c r="H53" s="59">
        <v>45.8</v>
      </c>
      <c r="I53" s="59">
        <v>64488.1</v>
      </c>
      <c r="J53" s="59">
        <v>69049.2</v>
      </c>
      <c r="K53" s="59">
        <v>64442.3</v>
      </c>
      <c r="L53" s="59">
        <v>4561.1000000000004</v>
      </c>
      <c r="M53" s="59">
        <v>75320.5</v>
      </c>
      <c r="N53" s="59">
        <v>82578.2</v>
      </c>
      <c r="O53" s="59">
        <v>86703.4</v>
      </c>
      <c r="P53" s="59">
        <v>99401.5</v>
      </c>
      <c r="Q53" s="59">
        <v>99724.3</v>
      </c>
      <c r="R53" s="59">
        <v>112360.6</v>
      </c>
      <c r="S53" s="59">
        <v>133521.29999999999</v>
      </c>
      <c r="T53" s="75">
        <v>136745.20000000001</v>
      </c>
      <c r="U53" s="65">
        <v>140103.9</v>
      </c>
      <c r="V53" s="65">
        <v>152584.1</v>
      </c>
      <c r="W53" s="76">
        <v>156474.6</v>
      </c>
      <c r="X53" s="76">
        <v>182539.1</v>
      </c>
      <c r="Y53" s="30">
        <f t="shared" si="0"/>
        <v>10832.400000000001</v>
      </c>
      <c r="Z53" s="31">
        <f t="shared" si="1"/>
        <v>2.4523001429376506E-2</v>
      </c>
      <c r="AA53" s="30">
        <f t="shared" si="2"/>
        <v>3358.8156971658877</v>
      </c>
      <c r="AB53" s="30">
        <f t="shared" si="3"/>
        <v>14191.21569716589</v>
      </c>
      <c r="AC53" s="30">
        <f t="shared" si="4"/>
        <v>7257.6999999999971</v>
      </c>
      <c r="AD53" s="31">
        <f t="shared" si="5"/>
        <v>2.0419696982016785E-2</v>
      </c>
      <c r="AE53" s="30">
        <f t="shared" si="6"/>
        <v>141.72147752489624</v>
      </c>
      <c r="AF53" s="30">
        <f t="shared" si="7"/>
        <v>7399.4214775248929</v>
      </c>
      <c r="AG53" s="30">
        <f t="shared" si="8"/>
        <v>4125.1999999999971</v>
      </c>
      <c r="AH53" s="31">
        <f t="shared" si="9"/>
        <v>1.4218129866479077E-2</v>
      </c>
      <c r="AI53" s="30">
        <f t="shared" si="10"/>
        <v>1337.7893842076596</v>
      </c>
      <c r="AJ53" s="30">
        <f t="shared" si="11"/>
        <v>5462.9893842076563</v>
      </c>
      <c r="AK53" s="30">
        <f t="shared" si="12"/>
        <v>12698.100000000006</v>
      </c>
      <c r="AL53" s="31">
        <f t="shared" si="13"/>
        <v>3.0875310343298313E-2</v>
      </c>
      <c r="AM53" s="30">
        <f t="shared" si="14"/>
        <v>1279.0294911697672</v>
      </c>
      <c r="AN53" s="30">
        <f t="shared" si="15"/>
        <v>13977.129491169773</v>
      </c>
      <c r="AO53" s="30">
        <f t="shared" si="16"/>
        <v>322.80000000000291</v>
      </c>
      <c r="AP53" s="31">
        <f t="shared" si="17"/>
        <v>8.9129562022634366E-4</v>
      </c>
      <c r="AQ53" s="30">
        <f t="shared" si="18"/>
        <v>77.656448280832606</v>
      </c>
      <c r="AR53" s="30">
        <f t="shared" si="19"/>
        <v>400.4564482808355</v>
      </c>
      <c r="AS53" s="92">
        <f t="shared" si="20"/>
        <v>12636.300000000003</v>
      </c>
      <c r="AT53" s="93">
        <f t="shared" si="21"/>
        <v>2.6676334884426715E-2</v>
      </c>
      <c r="AU53" s="94">
        <f t="shared" si="22"/>
        <v>3160.4384941667745</v>
      </c>
      <c r="AV53" s="94">
        <f t="shared" si="23"/>
        <v>15796.738494166777</v>
      </c>
      <c r="AW53" s="103">
        <f t="shared" si="24"/>
        <v>21160.699999999983</v>
      </c>
      <c r="AX53" s="93">
        <f t="shared" si="25"/>
        <v>4.5618785090782335E-2</v>
      </c>
      <c r="AY53" s="103">
        <f t="shared" si="26"/>
        <v>4714.0011907812122</v>
      </c>
      <c r="AZ53" s="103">
        <f t="shared" si="27"/>
        <v>25874.701190781194</v>
      </c>
      <c r="BA53" s="103">
        <f t="shared" si="28"/>
        <v>3223.9000000000233</v>
      </c>
      <c r="BB53" s="90">
        <f t="shared" si="30"/>
        <v>9.1777100328150965E-3</v>
      </c>
      <c r="BC53" s="103">
        <f t="shared" si="31"/>
        <v>793.3213470136368</v>
      </c>
      <c r="BD53" s="103">
        <f t="shared" si="29"/>
        <v>4017.2213470136603</v>
      </c>
      <c r="BE53" s="103">
        <f t="shared" si="32"/>
        <v>3358.6999999999825</v>
      </c>
      <c r="BF53" s="93">
        <f t="shared" si="33"/>
        <v>8.7117243541626876E-3</v>
      </c>
      <c r="BG53" s="103">
        <f t="shared" si="34"/>
        <v>676.95403671975737</v>
      </c>
      <c r="BH53" s="103">
        <f t="shared" si="35"/>
        <v>4035.6540367197399</v>
      </c>
      <c r="BI53" s="103">
        <f t="shared" si="36"/>
        <v>12480.200000000012</v>
      </c>
      <c r="BJ53" s="90">
        <f t="shared" si="37"/>
        <v>2.5911167270451584E-2</v>
      </c>
      <c r="BK53" s="102">
        <f t="shared" si="38"/>
        <v>2920.957335712812</v>
      </c>
      <c r="BL53" s="102">
        <f t="shared" si="39"/>
        <v>15401.157335712824</v>
      </c>
      <c r="BM53" s="94">
        <f t="shared" si="40"/>
        <v>3890.5</v>
      </c>
      <c r="BN53" s="90">
        <f t="shared" si="41"/>
        <v>1.0038385309532015E-2</v>
      </c>
      <c r="BO53" s="94">
        <f t="shared" si="42"/>
        <v>985.3445125458901</v>
      </c>
      <c r="BP53" s="94">
        <f t="shared" si="43"/>
        <v>4875.8445125458902</v>
      </c>
      <c r="BQ53" s="94">
        <f t="shared" si="44"/>
        <v>26064.5</v>
      </c>
      <c r="BR53" s="90">
        <f t="shared" si="45"/>
        <v>4.9513022060625834E-2</v>
      </c>
      <c r="BS53" s="94">
        <f t="shared" si="46"/>
        <v>5631.5581502419918</v>
      </c>
      <c r="BT53" s="94">
        <f t="shared" si="47"/>
        <v>31696.058150241992</v>
      </c>
    </row>
    <row r="54" spans="1:72" ht="13.5" hidden="1">
      <c r="A54" s="11">
        <v>51</v>
      </c>
      <c r="B54" s="16" t="s">
        <v>39</v>
      </c>
      <c r="C54" s="17" t="s">
        <v>40</v>
      </c>
      <c r="D54" s="18" t="s">
        <v>121</v>
      </c>
      <c r="E54" s="18" t="s">
        <v>124</v>
      </c>
      <c r="F54" s="60" t="s">
        <v>152</v>
      </c>
      <c r="G54" s="55" t="s">
        <v>153</v>
      </c>
      <c r="H54" s="59">
        <v>78.2</v>
      </c>
      <c r="I54" s="59">
        <v>46669.4</v>
      </c>
      <c r="J54" s="59">
        <v>73262.899999999994</v>
      </c>
      <c r="K54" s="59">
        <v>46591.199999999997</v>
      </c>
      <c r="L54" s="59">
        <v>26593.5</v>
      </c>
      <c r="M54" s="59">
        <v>82055.100000000006</v>
      </c>
      <c r="N54" s="59">
        <v>92324.3</v>
      </c>
      <c r="O54" s="59">
        <v>93523.8</v>
      </c>
      <c r="P54" s="59">
        <v>114886.3</v>
      </c>
      <c r="Q54" s="59">
        <v>123950.6</v>
      </c>
      <c r="R54" s="59">
        <v>153473.20000000001</v>
      </c>
      <c r="S54" s="59">
        <v>186088.7</v>
      </c>
      <c r="T54" s="75">
        <v>192070.7</v>
      </c>
      <c r="U54" s="65">
        <v>195074.5</v>
      </c>
      <c r="V54" s="65">
        <v>230833.7</v>
      </c>
      <c r="W54" s="76">
        <v>244041.3</v>
      </c>
      <c r="X54" s="76">
        <v>273236.3</v>
      </c>
      <c r="Y54" s="30">
        <f t="shared" si="0"/>
        <v>35385.700000000004</v>
      </c>
      <c r="Z54" s="31">
        <f t="shared" si="1"/>
        <v>8.0108154396023798E-2</v>
      </c>
      <c r="AA54" s="30">
        <f t="shared" si="2"/>
        <v>10972.087867435006</v>
      </c>
      <c r="AB54" s="30">
        <f t="shared" si="3"/>
        <v>46357.787867435007</v>
      </c>
      <c r="AC54" s="30">
        <f t="shared" si="4"/>
        <v>10269.199999999997</v>
      </c>
      <c r="AD54" s="31">
        <f t="shared" si="5"/>
        <v>2.889261780560326E-2</v>
      </c>
      <c r="AE54" s="30">
        <f t="shared" si="6"/>
        <v>200.52719139653948</v>
      </c>
      <c r="AF54" s="30">
        <f t="shared" si="7"/>
        <v>10469.727191396536</v>
      </c>
      <c r="AG54" s="30">
        <f t="shared" si="8"/>
        <v>1199.5</v>
      </c>
      <c r="AH54" s="31">
        <f t="shared" si="9"/>
        <v>4.1342593752646331E-3</v>
      </c>
      <c r="AI54" s="30">
        <f t="shared" si="10"/>
        <v>388.99407697980428</v>
      </c>
      <c r="AJ54" s="30">
        <f t="shared" si="11"/>
        <v>1588.4940769798043</v>
      </c>
      <c r="AK54" s="30">
        <f t="shared" si="12"/>
        <v>21362.5</v>
      </c>
      <c r="AL54" s="31">
        <f t="shared" si="13"/>
        <v>5.1942717194596824E-2</v>
      </c>
      <c r="AM54" s="30">
        <f t="shared" si="14"/>
        <v>2151.7603031252029</v>
      </c>
      <c r="AN54" s="30">
        <f t="shared" si="15"/>
        <v>23514.260303125204</v>
      </c>
      <c r="AO54" s="30">
        <f t="shared" si="16"/>
        <v>9064.3000000000029</v>
      </c>
      <c r="AP54" s="31">
        <f t="shared" si="17"/>
        <v>2.5027790862507979E-2</v>
      </c>
      <c r="AQ54" s="30">
        <f t="shared" si="18"/>
        <v>2180.6113511522453</v>
      </c>
      <c r="AR54" s="30">
        <f t="shared" si="19"/>
        <v>11244.911351152248</v>
      </c>
      <c r="AS54" s="92">
        <f t="shared" si="20"/>
        <v>29522.600000000006</v>
      </c>
      <c r="AT54" s="93">
        <f t="shared" si="21"/>
        <v>6.2324791612970262E-2</v>
      </c>
      <c r="AU54" s="94">
        <f t="shared" si="22"/>
        <v>7383.8355759113047</v>
      </c>
      <c r="AV54" s="94">
        <f t="shared" si="23"/>
        <v>36906.43557591131</v>
      </c>
      <c r="AW54" s="103">
        <f t="shared" si="24"/>
        <v>32615.5</v>
      </c>
      <c r="AX54" s="93">
        <f t="shared" si="25"/>
        <v>7.0313339593133142E-2</v>
      </c>
      <c r="AY54" s="103">
        <f t="shared" si="26"/>
        <v>7265.8043371875574</v>
      </c>
      <c r="AZ54" s="103">
        <f t="shared" si="27"/>
        <v>39881.304337187554</v>
      </c>
      <c r="BA54" s="103">
        <f t="shared" si="28"/>
        <v>5982</v>
      </c>
      <c r="BB54" s="90">
        <f t="shared" si="30"/>
        <v>1.702939341055849E-2</v>
      </c>
      <c r="BC54" s="103">
        <f t="shared" si="31"/>
        <v>1472.0209367026091</v>
      </c>
      <c r="BD54" s="103">
        <f t="shared" si="29"/>
        <v>7454.0209367026091</v>
      </c>
      <c r="BE54" s="103">
        <f t="shared" si="32"/>
        <v>3003.7999999999884</v>
      </c>
      <c r="BF54" s="93">
        <f t="shared" si="33"/>
        <v>7.7911923110232876E-3</v>
      </c>
      <c r="BG54" s="103">
        <f t="shared" si="34"/>
        <v>605.42309092768335</v>
      </c>
      <c r="BH54" s="103">
        <f t="shared" si="35"/>
        <v>3609.2230909276718</v>
      </c>
      <c r="BI54" s="103">
        <f t="shared" si="36"/>
        <v>35759.200000000012</v>
      </c>
      <c r="BJ54" s="90">
        <f t="shared" si="37"/>
        <v>7.4242609305742835E-2</v>
      </c>
      <c r="BK54" s="102">
        <f t="shared" si="38"/>
        <v>8369.3448469753312</v>
      </c>
      <c r="BL54" s="102">
        <f t="shared" si="39"/>
        <v>44128.544846975346</v>
      </c>
      <c r="BM54" s="94">
        <f t="shared" si="40"/>
        <v>13207.599999999977</v>
      </c>
      <c r="BN54" s="90">
        <f t="shared" si="41"/>
        <v>3.407864742685382E-2</v>
      </c>
      <c r="BO54" s="94">
        <f t="shared" si="42"/>
        <v>3345.0806281714617</v>
      </c>
      <c r="BP54" s="94">
        <f t="shared" si="43"/>
        <v>16552.680628171438</v>
      </c>
      <c r="BQ54" s="94">
        <f t="shared" si="44"/>
        <v>29195</v>
      </c>
      <c r="BR54" s="90">
        <f t="shared" si="45"/>
        <v>5.5459827698976435E-2</v>
      </c>
      <c r="BS54" s="94">
        <f t="shared" si="46"/>
        <v>6307.9414604659578</v>
      </c>
      <c r="BT54" s="94">
        <f t="shared" si="47"/>
        <v>35502.941460465954</v>
      </c>
    </row>
    <row r="55" spans="1:72" ht="13.5" hidden="1">
      <c r="A55" s="16">
        <v>52</v>
      </c>
      <c r="B55" s="16" t="s">
        <v>39</v>
      </c>
      <c r="C55" s="17" t="s">
        <v>40</v>
      </c>
      <c r="D55" s="18" t="s">
        <v>121</v>
      </c>
      <c r="E55" s="18" t="s">
        <v>124</v>
      </c>
      <c r="F55" s="60" t="s">
        <v>154</v>
      </c>
      <c r="G55" s="55" t="s">
        <v>155</v>
      </c>
      <c r="H55" s="59">
        <v>2608.6</v>
      </c>
      <c r="I55" s="59">
        <v>17697.8</v>
      </c>
      <c r="J55" s="59">
        <v>18820.099999999999</v>
      </c>
      <c r="K55" s="59">
        <v>15089.2</v>
      </c>
      <c r="L55" s="59">
        <v>1122.3</v>
      </c>
      <c r="M55" s="59">
        <v>19148.400000000001</v>
      </c>
      <c r="N55" s="59">
        <v>20358.099999999999</v>
      </c>
      <c r="O55" s="59">
        <v>21329.599999999999</v>
      </c>
      <c r="P55" s="59">
        <v>23227.4</v>
      </c>
      <c r="Q55" s="59">
        <v>25757.599999999999</v>
      </c>
      <c r="R55" s="59">
        <v>27865.3</v>
      </c>
      <c r="S55" s="59">
        <v>29130.1</v>
      </c>
      <c r="T55" s="75">
        <v>30252.9</v>
      </c>
      <c r="U55" s="65">
        <v>31466.400000000001</v>
      </c>
      <c r="V55" s="65">
        <v>32821.199999999997</v>
      </c>
      <c r="W55" s="76">
        <v>34290.800000000003</v>
      </c>
      <c r="X55" s="76">
        <v>36120.199999999997</v>
      </c>
      <c r="Y55" s="30">
        <f t="shared" si="0"/>
        <v>1450.6000000000022</v>
      </c>
      <c r="Z55" s="31">
        <f t="shared" si="1"/>
        <v>3.2839505440579748E-3</v>
      </c>
      <c r="AA55" s="30">
        <f t="shared" si="2"/>
        <v>449.78934034090724</v>
      </c>
      <c r="AB55" s="30">
        <f t="shared" si="3"/>
        <v>1900.3893403409095</v>
      </c>
      <c r="AC55" s="30">
        <f t="shared" si="4"/>
        <v>1209.6999999999971</v>
      </c>
      <c r="AD55" s="31">
        <f t="shared" si="5"/>
        <v>3.4035172904839897E-3</v>
      </c>
      <c r="AE55" s="30">
        <f t="shared" si="6"/>
        <v>23.621873508393378</v>
      </c>
      <c r="AF55" s="30">
        <f t="shared" si="7"/>
        <v>1233.3218735083906</v>
      </c>
      <c r="AG55" s="30">
        <f t="shared" si="8"/>
        <v>971.5</v>
      </c>
      <c r="AH55" s="31">
        <f t="shared" si="9"/>
        <v>3.3484226620004933E-3</v>
      </c>
      <c r="AI55" s="30">
        <f t="shared" si="10"/>
        <v>315.05439415246349</v>
      </c>
      <c r="AJ55" s="30">
        <f t="shared" si="11"/>
        <v>1286.5543941524634</v>
      </c>
      <c r="AK55" s="30">
        <f t="shared" si="12"/>
        <v>1897.8000000000029</v>
      </c>
      <c r="AL55" s="31">
        <f t="shared" si="13"/>
        <v>4.614482794237847E-3</v>
      </c>
      <c r="AM55" s="30">
        <f t="shared" si="14"/>
        <v>191.15790302029333</v>
      </c>
      <c r="AN55" s="30">
        <f t="shared" si="15"/>
        <v>2088.9579030202963</v>
      </c>
      <c r="AO55" s="30">
        <f t="shared" si="16"/>
        <v>2530.1999999999971</v>
      </c>
      <c r="AP55" s="31">
        <f t="shared" si="17"/>
        <v>6.9862335139302097E-3</v>
      </c>
      <c r="AQ55" s="30">
        <f t="shared" si="18"/>
        <v>608.69375910830433</v>
      </c>
      <c r="AR55" s="30">
        <f t="shared" si="19"/>
        <v>3138.8937591083013</v>
      </c>
      <c r="AS55" s="92">
        <f t="shared" si="20"/>
        <v>2107.7000000000007</v>
      </c>
      <c r="AT55" s="93">
        <f t="shared" si="21"/>
        <v>4.4495391084341303E-3</v>
      </c>
      <c r="AU55" s="94">
        <f t="shared" si="22"/>
        <v>527.15242706767901</v>
      </c>
      <c r="AV55" s="94">
        <f t="shared" si="23"/>
        <v>2634.8524270676799</v>
      </c>
      <c r="AW55" s="103">
        <f t="shared" si="24"/>
        <v>1264.7999999999993</v>
      </c>
      <c r="AX55" s="93">
        <f t="shared" si="25"/>
        <v>2.7266885964463135E-3</v>
      </c>
      <c r="AY55" s="103">
        <f t="shared" si="26"/>
        <v>281.76141177277111</v>
      </c>
      <c r="AZ55" s="103">
        <f t="shared" si="27"/>
        <v>1546.5614117727705</v>
      </c>
      <c r="BA55" s="103">
        <f t="shared" si="28"/>
        <v>1122.8000000000029</v>
      </c>
      <c r="BB55" s="90">
        <f t="shared" si="30"/>
        <v>3.1963562222292077E-3</v>
      </c>
      <c r="BC55" s="103">
        <f t="shared" si="31"/>
        <v>276.2930638130548</v>
      </c>
      <c r="BD55" s="103">
        <f t="shared" si="29"/>
        <v>1399.0930638130576</v>
      </c>
      <c r="BE55" s="103">
        <f t="shared" si="32"/>
        <v>1213.5</v>
      </c>
      <c r="BF55" s="93">
        <f t="shared" si="33"/>
        <v>3.1475503926449151E-3</v>
      </c>
      <c r="BG55" s="103">
        <f t="shared" si="34"/>
        <v>244.58383409040101</v>
      </c>
      <c r="BH55" s="103">
        <f t="shared" si="35"/>
        <v>1458.0838340904011</v>
      </c>
      <c r="BI55" s="103">
        <f t="shared" si="36"/>
        <v>1354.7999999999956</v>
      </c>
      <c r="BJ55" s="90">
        <f t="shared" si="37"/>
        <v>2.8128114467723003E-3</v>
      </c>
      <c r="BK55" s="102">
        <f t="shared" si="38"/>
        <v>317.08730616686444</v>
      </c>
      <c r="BL55" s="102">
        <f t="shared" si="39"/>
        <v>1671.8873061668601</v>
      </c>
      <c r="BM55" s="94">
        <f t="shared" si="40"/>
        <v>1469.6000000000058</v>
      </c>
      <c r="BN55" s="90">
        <f t="shared" si="41"/>
        <v>3.7919061948048596E-3</v>
      </c>
      <c r="BO55" s="94">
        <f t="shared" si="42"/>
        <v>372.20467694061063</v>
      </c>
      <c r="BP55" s="94">
        <f t="shared" si="43"/>
        <v>1841.8046769406164</v>
      </c>
      <c r="BQ55" s="94">
        <f t="shared" si="44"/>
        <v>1829.3999999999942</v>
      </c>
      <c r="BR55" s="90">
        <f t="shared" si="45"/>
        <v>3.4751912585205399E-3</v>
      </c>
      <c r="BS55" s="94">
        <f t="shared" si="46"/>
        <v>395.26453528948059</v>
      </c>
      <c r="BT55" s="94">
        <f t="shared" si="47"/>
        <v>2224.6645352894748</v>
      </c>
    </row>
    <row r="56" spans="1:72" ht="13.5" hidden="1">
      <c r="A56" s="11">
        <v>53</v>
      </c>
      <c r="B56" s="16" t="s">
        <v>39</v>
      </c>
      <c r="C56" s="17" t="s">
        <v>40</v>
      </c>
      <c r="D56" s="18" t="s">
        <v>121</v>
      </c>
      <c r="E56" s="18" t="s">
        <v>124</v>
      </c>
      <c r="F56" s="60" t="s">
        <v>156</v>
      </c>
      <c r="G56" s="55" t="s">
        <v>157</v>
      </c>
      <c r="H56" s="59">
        <v>55.1</v>
      </c>
      <c r="I56" s="59">
        <v>73778.600000000006</v>
      </c>
      <c r="J56" s="59">
        <v>114503</v>
      </c>
      <c r="K56" s="59">
        <v>73723.5</v>
      </c>
      <c r="L56" s="59">
        <v>40724.400000000001</v>
      </c>
      <c r="M56" s="59">
        <v>128051.5</v>
      </c>
      <c r="N56" s="59">
        <v>132099.79999999999</v>
      </c>
      <c r="O56" s="59">
        <v>141253.9</v>
      </c>
      <c r="P56" s="59">
        <v>160478.29999999999</v>
      </c>
      <c r="Q56" s="59">
        <v>174429.2</v>
      </c>
      <c r="R56" s="59">
        <v>218442.9</v>
      </c>
      <c r="S56" s="59">
        <v>271797.3</v>
      </c>
      <c r="T56" s="75">
        <v>296874.8</v>
      </c>
      <c r="U56" s="65">
        <v>325663.5</v>
      </c>
      <c r="V56" s="65">
        <v>363463.9</v>
      </c>
      <c r="W56" s="76">
        <v>395517.3</v>
      </c>
      <c r="X56" s="76">
        <v>453507.2</v>
      </c>
      <c r="Y56" s="30">
        <f t="shared" si="0"/>
        <v>54272.899999999994</v>
      </c>
      <c r="Z56" s="31">
        <f t="shared" si="1"/>
        <v>0.12286606885606216</v>
      </c>
      <c r="AA56" s="30">
        <f t="shared" si="2"/>
        <v>16828.465386314616</v>
      </c>
      <c r="AB56" s="30">
        <f t="shared" si="3"/>
        <v>71101.365386314603</v>
      </c>
      <c r="AC56" s="30">
        <f t="shared" si="4"/>
        <v>4048.2999999999884</v>
      </c>
      <c r="AD56" s="31">
        <f t="shared" si="5"/>
        <v>1.1389980199277779E-2</v>
      </c>
      <c r="AE56" s="30">
        <f t="shared" si="6"/>
        <v>79.051360274472074</v>
      </c>
      <c r="AF56" s="30">
        <f t="shared" si="7"/>
        <v>4127.3513602744606</v>
      </c>
      <c r="AG56" s="30">
        <f t="shared" si="8"/>
        <v>9154.1000000000058</v>
      </c>
      <c r="AH56" s="31">
        <f t="shared" si="9"/>
        <v>3.1550999372330142E-2</v>
      </c>
      <c r="AI56" s="30">
        <f t="shared" si="10"/>
        <v>2968.6458358322875</v>
      </c>
      <c r="AJ56" s="30">
        <f t="shared" si="11"/>
        <v>12122.745835832293</v>
      </c>
      <c r="AK56" s="30">
        <f t="shared" si="12"/>
        <v>19224.399999999994</v>
      </c>
      <c r="AL56" s="31">
        <f t="shared" si="13"/>
        <v>4.6743947217591897E-2</v>
      </c>
      <c r="AM56" s="30">
        <f t="shared" si="14"/>
        <v>1936.397929614986</v>
      </c>
      <c r="AN56" s="30">
        <f t="shared" si="15"/>
        <v>21160.797929614979</v>
      </c>
      <c r="AO56" s="30">
        <f t="shared" si="16"/>
        <v>13950.900000000023</v>
      </c>
      <c r="AP56" s="31">
        <f t="shared" si="17"/>
        <v>3.8520371958536574E-2</v>
      </c>
      <c r="AQ56" s="30">
        <f t="shared" si="18"/>
        <v>3356.1875598545835</v>
      </c>
      <c r="AR56" s="30">
        <f t="shared" si="19"/>
        <v>17307.087559854608</v>
      </c>
      <c r="AS56" s="92">
        <f t="shared" si="20"/>
        <v>44013.699999999983</v>
      </c>
      <c r="AT56" s="93">
        <f t="shared" si="21"/>
        <v>9.2916771578918783E-2</v>
      </c>
      <c r="AU56" s="94">
        <f t="shared" si="22"/>
        <v>11008.174208487302</v>
      </c>
      <c r="AV56" s="94">
        <f t="shared" si="23"/>
        <v>55021.874208487287</v>
      </c>
      <c r="AW56" s="103">
        <f t="shared" si="24"/>
        <v>53354.399999999994</v>
      </c>
      <c r="AX56" s="93">
        <f t="shared" si="25"/>
        <v>0.11502279731992035</v>
      </c>
      <c r="AY56" s="103">
        <f t="shared" si="26"/>
        <v>11885.840503074911</v>
      </c>
      <c r="AZ56" s="103">
        <f t="shared" si="27"/>
        <v>65240.240503074907</v>
      </c>
      <c r="BA56" s="103">
        <f t="shared" si="28"/>
        <v>25077.5</v>
      </c>
      <c r="BB56" s="90">
        <f t="shared" si="30"/>
        <v>7.1389938691621621E-2</v>
      </c>
      <c r="BC56" s="103">
        <f t="shared" si="31"/>
        <v>6170.9470144031566</v>
      </c>
      <c r="BD56" s="103">
        <f t="shared" si="29"/>
        <v>31248.447014403158</v>
      </c>
      <c r="BE56" s="103">
        <f t="shared" si="32"/>
        <v>28788.700000000012</v>
      </c>
      <c r="BF56" s="93">
        <f t="shared" si="33"/>
        <v>7.4671515441892627E-2</v>
      </c>
      <c r="BG56" s="103">
        <f t="shared" si="34"/>
        <v>5802.4314993640955</v>
      </c>
      <c r="BH56" s="103">
        <f t="shared" si="35"/>
        <v>34591.131499364106</v>
      </c>
      <c r="BI56" s="103">
        <f t="shared" si="36"/>
        <v>37800.400000000023</v>
      </c>
      <c r="BJ56" s="90">
        <f t="shared" si="37"/>
        <v>7.8480512114387405E-2</v>
      </c>
      <c r="BK56" s="102">
        <f t="shared" si="38"/>
        <v>8847.0822320859061</v>
      </c>
      <c r="BL56" s="102">
        <f t="shared" si="39"/>
        <v>46647.482232085931</v>
      </c>
      <c r="BM56" s="94">
        <f t="shared" si="40"/>
        <v>32053.399999999965</v>
      </c>
      <c r="BN56" s="90">
        <f t="shared" si="41"/>
        <v>8.2705148356394587E-2</v>
      </c>
      <c r="BO56" s="94">
        <f t="shared" si="42"/>
        <v>8118.1446596680116</v>
      </c>
      <c r="BP56" s="94">
        <f t="shared" si="43"/>
        <v>40171.544659667976</v>
      </c>
      <c r="BQ56" s="94">
        <f t="shared" si="44"/>
        <v>57989.900000000023</v>
      </c>
      <c r="BR56" s="90">
        <f t="shared" si="45"/>
        <v>0.11015961165545041</v>
      </c>
      <c r="BS56" s="94">
        <f t="shared" si="46"/>
        <v>12529.436358906489</v>
      </c>
      <c r="BT56" s="94">
        <f t="shared" si="47"/>
        <v>70519.336358906512</v>
      </c>
    </row>
    <row r="57" spans="1:72" ht="13.5" hidden="1">
      <c r="A57" s="16">
        <v>54</v>
      </c>
      <c r="B57" s="16" t="s">
        <v>39</v>
      </c>
      <c r="C57" s="17" t="s">
        <v>40</v>
      </c>
      <c r="D57" s="18" t="s">
        <v>121</v>
      </c>
      <c r="E57" s="18" t="s">
        <v>124</v>
      </c>
      <c r="F57" s="60" t="s">
        <v>158</v>
      </c>
      <c r="G57" s="55" t="s">
        <v>159</v>
      </c>
      <c r="H57" s="59">
        <v>15.8</v>
      </c>
      <c r="I57" s="59">
        <v>18863.3</v>
      </c>
      <c r="J57" s="59">
        <v>30140.5</v>
      </c>
      <c r="K57" s="59">
        <v>18847.5</v>
      </c>
      <c r="L57" s="59">
        <v>11277.2</v>
      </c>
      <c r="M57" s="59">
        <v>34034</v>
      </c>
      <c r="N57" s="59">
        <v>38124.1</v>
      </c>
      <c r="O57" s="59">
        <v>38668.699999999997</v>
      </c>
      <c r="P57" s="59">
        <v>48230.1</v>
      </c>
      <c r="Q57" s="59">
        <v>52354.6</v>
      </c>
      <c r="R57" s="59">
        <v>66083.8</v>
      </c>
      <c r="S57" s="59">
        <v>82253.2</v>
      </c>
      <c r="T57" s="75">
        <v>84956.5</v>
      </c>
      <c r="U57" s="65">
        <v>86485.4</v>
      </c>
      <c r="V57" s="65">
        <v>104031.7</v>
      </c>
      <c r="W57" s="76">
        <v>110298.6</v>
      </c>
      <c r="X57" s="76">
        <v>123910.7</v>
      </c>
      <c r="Y57" s="30">
        <f t="shared" si="0"/>
        <v>15170.7</v>
      </c>
      <c r="Z57" s="31">
        <f t="shared" si="1"/>
        <v>3.4344290995960459E-2</v>
      </c>
      <c r="AA57" s="30">
        <f t="shared" si="2"/>
        <v>4703.9977564523588</v>
      </c>
      <c r="AB57" s="30">
        <f t="shared" si="3"/>
        <v>19874.697756452359</v>
      </c>
      <c r="AC57" s="30">
        <f t="shared" si="4"/>
        <v>4090.0999999999985</v>
      </c>
      <c r="AD57" s="31">
        <f t="shared" si="5"/>
        <v>1.1507585409447463E-2</v>
      </c>
      <c r="AE57" s="30">
        <f t="shared" si="6"/>
        <v>79.86759100329003</v>
      </c>
      <c r="AF57" s="30">
        <f t="shared" si="7"/>
        <v>4169.9675910032884</v>
      </c>
      <c r="AG57" s="30">
        <f t="shared" si="8"/>
        <v>544.59999999999854</v>
      </c>
      <c r="AH57" s="31">
        <f t="shared" si="9"/>
        <v>1.8770468159809198E-3</v>
      </c>
      <c r="AI57" s="30">
        <f t="shared" si="10"/>
        <v>176.61206696390235</v>
      </c>
      <c r="AJ57" s="30">
        <f t="shared" si="11"/>
        <v>721.21206696390095</v>
      </c>
      <c r="AK57" s="30">
        <f t="shared" si="12"/>
        <v>9561.4000000000015</v>
      </c>
      <c r="AL57" s="31">
        <f t="shared" si="13"/>
        <v>2.3248453888094472E-2</v>
      </c>
      <c r="AM57" s="30">
        <f t="shared" si="14"/>
        <v>963.08208132481298</v>
      </c>
      <c r="AN57" s="30">
        <f t="shared" si="15"/>
        <v>10524.482081324815</v>
      </c>
      <c r="AO57" s="30">
        <f t="shared" si="16"/>
        <v>4124.5</v>
      </c>
      <c r="AP57" s="31">
        <f t="shared" si="17"/>
        <v>1.1388317179750685E-2</v>
      </c>
      <c r="AQ57" s="30">
        <f t="shared" si="18"/>
        <v>992.23674391044358</v>
      </c>
      <c r="AR57" s="30">
        <f t="shared" si="19"/>
        <v>5116.7367439104437</v>
      </c>
      <c r="AS57" s="92">
        <f t="shared" si="20"/>
        <v>13729.200000000004</v>
      </c>
      <c r="AT57" s="93">
        <f t="shared" si="21"/>
        <v>2.8983542405235024E-2</v>
      </c>
      <c r="AU57" s="94">
        <f t="shared" si="22"/>
        <v>3433.7814213111824</v>
      </c>
      <c r="AV57" s="94">
        <f t="shared" si="23"/>
        <v>17162.981421311186</v>
      </c>
      <c r="AW57" s="103">
        <f t="shared" si="24"/>
        <v>16169.399999999994</v>
      </c>
      <c r="AX57" s="93">
        <f t="shared" si="25"/>
        <v>3.4858411283506509E-2</v>
      </c>
      <c r="AY57" s="103">
        <f t="shared" si="26"/>
        <v>3602.0817295371967</v>
      </c>
      <c r="AZ57" s="103">
        <f t="shared" si="27"/>
        <v>19771.48172953719</v>
      </c>
      <c r="BA57" s="103">
        <f t="shared" si="28"/>
        <v>2703.3000000000029</v>
      </c>
      <c r="BB57" s="90">
        <f t="shared" si="30"/>
        <v>7.695680241852694E-3</v>
      </c>
      <c r="BC57" s="103">
        <f t="shared" si="31"/>
        <v>665.21467706254896</v>
      </c>
      <c r="BD57" s="103">
        <f t="shared" si="29"/>
        <v>3368.514677062552</v>
      </c>
      <c r="BE57" s="103">
        <f t="shared" si="32"/>
        <v>1528.8999999999942</v>
      </c>
      <c r="BF57" s="93">
        <f t="shared" si="33"/>
        <v>3.9656281790809988E-3</v>
      </c>
      <c r="BG57" s="103">
        <f t="shared" si="34"/>
        <v>308.1534601902041</v>
      </c>
      <c r="BH57" s="103">
        <f t="shared" si="35"/>
        <v>1837.0534601901982</v>
      </c>
      <c r="BI57" s="103">
        <f t="shared" si="36"/>
        <v>17546.300000000003</v>
      </c>
      <c r="BJ57" s="90">
        <f t="shared" si="37"/>
        <v>3.6429313174269985E-2</v>
      </c>
      <c r="BK57" s="102">
        <f t="shared" si="38"/>
        <v>4106.6644524621133</v>
      </c>
      <c r="BL57" s="102">
        <f t="shared" si="39"/>
        <v>21652.964452462118</v>
      </c>
      <c r="BM57" s="94">
        <f t="shared" si="40"/>
        <v>6266.9000000000087</v>
      </c>
      <c r="BN57" s="90">
        <f t="shared" si="41"/>
        <v>1.617004418360269E-2</v>
      </c>
      <c r="BO57" s="94">
        <f t="shared" si="42"/>
        <v>1587.2138608594901</v>
      </c>
      <c r="BP57" s="94">
        <f t="shared" si="43"/>
        <v>7854.1138608594993</v>
      </c>
      <c r="BQ57" s="94">
        <f t="shared" si="44"/>
        <v>13612.099999999991</v>
      </c>
      <c r="BR57" s="90">
        <f t="shared" si="45"/>
        <v>2.5858014064779469E-2</v>
      </c>
      <c r="BS57" s="94">
        <f t="shared" si="46"/>
        <v>2941.0628516529746</v>
      </c>
      <c r="BT57" s="94">
        <f t="shared" si="47"/>
        <v>16553.162851652967</v>
      </c>
    </row>
    <row r="58" spans="1:72" ht="13.5" hidden="1">
      <c r="A58" s="11">
        <v>55</v>
      </c>
      <c r="B58" s="16" t="s">
        <v>39</v>
      </c>
      <c r="C58" s="17" t="s">
        <v>40</v>
      </c>
      <c r="D58" s="18" t="s">
        <v>121</v>
      </c>
      <c r="E58" s="18" t="s">
        <v>124</v>
      </c>
      <c r="F58" s="60" t="s">
        <v>160</v>
      </c>
      <c r="G58" s="55" t="s">
        <v>161</v>
      </c>
      <c r="H58" s="59">
        <v>35.299999999999997</v>
      </c>
      <c r="I58" s="59">
        <v>37991.4</v>
      </c>
      <c r="J58" s="59">
        <v>57456</v>
      </c>
      <c r="K58" s="59">
        <v>37956.1</v>
      </c>
      <c r="L58" s="59">
        <v>19464.599999999999</v>
      </c>
      <c r="M58" s="59">
        <v>64149.1</v>
      </c>
      <c r="N58" s="59">
        <v>68020.7</v>
      </c>
      <c r="O58" s="59">
        <v>71786.899999999994</v>
      </c>
      <c r="P58" s="59">
        <v>84677.5</v>
      </c>
      <c r="Q58" s="59">
        <v>91263.8</v>
      </c>
      <c r="R58" s="59">
        <v>117047.6</v>
      </c>
      <c r="S58" s="59">
        <v>140814.6</v>
      </c>
      <c r="T58" s="75">
        <v>150550.5</v>
      </c>
      <c r="U58" s="65">
        <v>162042</v>
      </c>
      <c r="V58" s="65">
        <v>181041.5</v>
      </c>
      <c r="W58" s="76">
        <v>196769.5</v>
      </c>
      <c r="X58" s="76">
        <v>222644.6</v>
      </c>
      <c r="Y58" s="30">
        <f t="shared" si="0"/>
        <v>26157.699999999997</v>
      </c>
      <c r="Z58" s="31">
        <f t="shared" si="1"/>
        <v>5.9217284672759649E-2</v>
      </c>
      <c r="AA58" s="30">
        <f t="shared" si="2"/>
        <v>8110.7504672792847</v>
      </c>
      <c r="AB58" s="30">
        <f t="shared" si="3"/>
        <v>34268.450467279283</v>
      </c>
      <c r="AC58" s="30">
        <f t="shared" si="4"/>
        <v>3871.5999999999985</v>
      </c>
      <c r="AD58" s="31">
        <f t="shared" si="5"/>
        <v>1.0892830901742451E-2</v>
      </c>
      <c r="AE58" s="30">
        <f t="shared" si="6"/>
        <v>75.600930375379008</v>
      </c>
      <c r="AF58" s="30">
        <f t="shared" si="7"/>
        <v>3947.2009303753775</v>
      </c>
      <c r="AG58" s="30">
        <f t="shared" si="8"/>
        <v>3766.1999999999971</v>
      </c>
      <c r="AH58" s="31">
        <f t="shared" si="9"/>
        <v>1.2980781708313172E-2</v>
      </c>
      <c r="AI58" s="30">
        <f t="shared" si="10"/>
        <v>1221.3668134400482</v>
      </c>
      <c r="AJ58" s="30">
        <f t="shared" si="11"/>
        <v>4987.5668134400457</v>
      </c>
      <c r="AK58" s="30">
        <f t="shared" si="12"/>
        <v>12890.600000000006</v>
      </c>
      <c r="AL58" s="31">
        <f t="shared" si="13"/>
        <v>3.134337227705887E-2</v>
      </c>
      <c r="AM58" s="30">
        <f t="shared" si="14"/>
        <v>1298.4192563354361</v>
      </c>
      <c r="AN58" s="30">
        <f t="shared" si="15"/>
        <v>14189.019256335441</v>
      </c>
      <c r="AO58" s="30">
        <f t="shared" si="16"/>
        <v>6586.3000000000029</v>
      </c>
      <c r="AP58" s="31">
        <f t="shared" si="17"/>
        <v>1.8185688796458231E-2</v>
      </c>
      <c r="AQ58" s="30">
        <f t="shared" si="18"/>
        <v>1584.4754191822906</v>
      </c>
      <c r="AR58" s="30">
        <f t="shared" si="19"/>
        <v>8170.7754191822933</v>
      </c>
      <c r="AS58" s="92">
        <f t="shared" si="20"/>
        <v>25783.800000000003</v>
      </c>
      <c r="AT58" s="93">
        <f t="shared" si="21"/>
        <v>5.4431857695138725E-2</v>
      </c>
      <c r="AU58" s="94">
        <f t="shared" si="22"/>
        <v>6448.7321483264304</v>
      </c>
      <c r="AV58" s="94">
        <f t="shared" si="23"/>
        <v>32232.532148326434</v>
      </c>
      <c r="AW58" s="103">
        <f t="shared" si="24"/>
        <v>23767</v>
      </c>
      <c r="AX58" s="93">
        <f t="shared" si="25"/>
        <v>5.1237514130091373E-2</v>
      </c>
      <c r="AY58" s="103">
        <f t="shared" si="26"/>
        <v>5294.6105895030478</v>
      </c>
      <c r="AZ58" s="103">
        <f t="shared" si="27"/>
        <v>29061.610589503049</v>
      </c>
      <c r="BA58" s="103">
        <f t="shared" si="28"/>
        <v>9735.8999999999942</v>
      </c>
      <c r="BB58" s="90">
        <f t="shared" si="30"/>
        <v>2.7715892896331713E-2</v>
      </c>
      <c r="BC58" s="103">
        <f t="shared" si="31"/>
        <v>2395.7620591178406</v>
      </c>
      <c r="BD58" s="103">
        <f t="shared" si="29"/>
        <v>12131.662059117834</v>
      </c>
      <c r="BE58" s="103">
        <f t="shared" si="32"/>
        <v>11491.5</v>
      </c>
      <c r="BF58" s="93">
        <f t="shared" si="33"/>
        <v>2.9806407364712847E-2</v>
      </c>
      <c r="BG58" s="103">
        <f t="shared" si="34"/>
        <v>2316.1393732590382</v>
      </c>
      <c r="BH58" s="103">
        <f t="shared" si="35"/>
        <v>13807.639373259039</v>
      </c>
      <c r="BI58" s="103">
        <f t="shared" si="36"/>
        <v>18999.5</v>
      </c>
      <c r="BJ58" s="90">
        <f t="shared" si="37"/>
        <v>3.9446420935156844E-2</v>
      </c>
      <c r="BK58" s="102">
        <f t="shared" si="38"/>
        <v>4446.782014701329</v>
      </c>
      <c r="BL58" s="102">
        <f t="shared" si="39"/>
        <v>23446.28201470133</v>
      </c>
      <c r="BM58" s="94">
        <f t="shared" si="40"/>
        <v>15728</v>
      </c>
      <c r="BN58" s="90">
        <f t="shared" si="41"/>
        <v>4.0581859439228769E-2</v>
      </c>
      <c r="BO58" s="94">
        <f t="shared" si="42"/>
        <v>3983.420766822197</v>
      </c>
      <c r="BP58" s="94">
        <f t="shared" si="43"/>
        <v>19711.420766822197</v>
      </c>
      <c r="BQ58" s="94">
        <f t="shared" si="44"/>
        <v>25875.100000000006</v>
      </c>
      <c r="BR58" s="90">
        <f t="shared" si="45"/>
        <v>4.9153231296242009E-2</v>
      </c>
      <c r="BS58" s="94">
        <f t="shared" si="46"/>
        <v>5590.6359336770929</v>
      </c>
      <c r="BT58" s="94">
        <f t="shared" si="47"/>
        <v>31465.735933677097</v>
      </c>
    </row>
    <row r="59" spans="1:72" ht="13.5" hidden="1">
      <c r="A59" s="16">
        <v>56</v>
      </c>
      <c r="B59" s="16" t="s">
        <v>39</v>
      </c>
      <c r="C59" s="17" t="s">
        <v>40</v>
      </c>
      <c r="D59" s="18" t="s">
        <v>121</v>
      </c>
      <c r="E59" s="18" t="s">
        <v>124</v>
      </c>
      <c r="F59" s="60" t="s">
        <v>162</v>
      </c>
      <c r="G59" s="55" t="s">
        <v>163</v>
      </c>
      <c r="H59" s="59" t="s">
        <v>127</v>
      </c>
      <c r="I59" s="59">
        <v>10113.700000000001</v>
      </c>
      <c r="J59" s="59">
        <v>14696.2</v>
      </c>
      <c r="K59" s="59">
        <v>10113.700000000001</v>
      </c>
      <c r="L59" s="59">
        <v>4582.5</v>
      </c>
      <c r="M59" s="59">
        <v>16346.9</v>
      </c>
      <c r="N59" s="59">
        <v>17204.2</v>
      </c>
      <c r="O59" s="59">
        <v>17605.3</v>
      </c>
      <c r="P59" s="59">
        <v>20196.8</v>
      </c>
      <c r="Q59" s="59">
        <v>21688.5</v>
      </c>
      <c r="R59" s="59">
        <v>28385.8</v>
      </c>
      <c r="S59" s="59">
        <v>35750.199999999997</v>
      </c>
      <c r="T59" s="75">
        <v>37852.300000000003</v>
      </c>
      <c r="U59" s="65">
        <v>40343.599999999999</v>
      </c>
      <c r="V59" s="65">
        <v>46896.3</v>
      </c>
      <c r="W59" s="76">
        <v>50773.3</v>
      </c>
      <c r="X59" s="76">
        <v>59315.4</v>
      </c>
      <c r="Y59" s="30">
        <f t="shared" si="0"/>
        <v>6233.1999999999989</v>
      </c>
      <c r="Z59" s="31">
        <f t="shared" si="1"/>
        <v>1.4111071647057861E-2</v>
      </c>
      <c r="AA59" s="30">
        <f t="shared" si="2"/>
        <v>1932.736051435915</v>
      </c>
      <c r="AB59" s="30">
        <f t="shared" si="3"/>
        <v>8165.9360514359141</v>
      </c>
      <c r="AC59" s="30">
        <f t="shared" si="4"/>
        <v>857.30000000000109</v>
      </c>
      <c r="AD59" s="31">
        <f t="shared" si="5"/>
        <v>2.412032217187679E-3</v>
      </c>
      <c r="AE59" s="30">
        <f t="shared" si="6"/>
        <v>16.740540761135584</v>
      </c>
      <c r="AF59" s="30">
        <f t="shared" si="7"/>
        <v>874.04054076113664</v>
      </c>
      <c r="AG59" s="30">
        <f t="shared" si="8"/>
        <v>401.09999999999854</v>
      </c>
      <c r="AH59" s="31">
        <f t="shared" si="9"/>
        <v>1.3824522179396736E-3</v>
      </c>
      <c r="AI59" s="30">
        <f t="shared" si="10"/>
        <v>130.07546834230843</v>
      </c>
      <c r="AJ59" s="30">
        <f t="shared" si="11"/>
        <v>531.175468342307</v>
      </c>
      <c r="AK59" s="30">
        <f t="shared" si="12"/>
        <v>2591.5</v>
      </c>
      <c r="AL59" s="31">
        <f t="shared" si="13"/>
        <v>6.3012077991713355E-3</v>
      </c>
      <c r="AM59" s="30">
        <f t="shared" si="14"/>
        <v>261.03156585366708</v>
      </c>
      <c r="AN59" s="30">
        <f t="shared" si="15"/>
        <v>2852.531565853667</v>
      </c>
      <c r="AO59" s="30">
        <f t="shared" si="16"/>
        <v>1491.7000000000007</v>
      </c>
      <c r="AP59" s="31">
        <f t="shared" si="17"/>
        <v>4.1187908199864483E-3</v>
      </c>
      <c r="AQ59" s="30">
        <f t="shared" si="18"/>
        <v>358.86035904745046</v>
      </c>
      <c r="AR59" s="30">
        <f t="shared" si="19"/>
        <v>1850.5603590474511</v>
      </c>
      <c r="AS59" s="92">
        <f t="shared" si="20"/>
        <v>6697.2999999999993</v>
      </c>
      <c r="AT59" s="93">
        <f t="shared" si="21"/>
        <v>1.4138586265083212E-2</v>
      </c>
      <c r="AU59" s="94">
        <f t="shared" si="22"/>
        <v>1675.0476584904707</v>
      </c>
      <c r="AV59" s="94">
        <f t="shared" si="23"/>
        <v>8372.3476584904693</v>
      </c>
      <c r="AW59" s="103">
        <f t="shared" si="24"/>
        <v>7364.3999999999978</v>
      </c>
      <c r="AX59" s="93">
        <f t="shared" si="25"/>
        <v>1.5876364247050315E-2</v>
      </c>
      <c r="AY59" s="103">
        <f t="shared" si="26"/>
        <v>1640.5785427414583</v>
      </c>
      <c r="AZ59" s="103">
        <f t="shared" si="27"/>
        <v>9004.9785427414554</v>
      </c>
      <c r="BA59" s="103">
        <f t="shared" si="28"/>
        <v>2102.1000000000058</v>
      </c>
      <c r="BB59" s="90">
        <f t="shared" si="30"/>
        <v>5.9842005831385993E-3</v>
      </c>
      <c r="BC59" s="103">
        <f t="shared" si="31"/>
        <v>517.27435824850602</v>
      </c>
      <c r="BD59" s="103">
        <f t="shared" si="29"/>
        <v>2619.3743582485117</v>
      </c>
      <c r="BE59" s="103">
        <f t="shared" si="32"/>
        <v>2491.2999999999956</v>
      </c>
      <c r="BF59" s="93">
        <f t="shared" si="33"/>
        <v>6.4618807525309132E-3</v>
      </c>
      <c r="BG59" s="103">
        <f t="shared" si="34"/>
        <v>502.12748732543463</v>
      </c>
      <c r="BH59" s="103">
        <f t="shared" si="35"/>
        <v>2993.4274873254303</v>
      </c>
      <c r="BI59" s="103">
        <f t="shared" si="36"/>
        <v>6552.7000000000044</v>
      </c>
      <c r="BJ59" s="90">
        <f t="shared" si="37"/>
        <v>1.3604598145309213E-2</v>
      </c>
      <c r="BK59" s="102">
        <f t="shared" si="38"/>
        <v>1533.6418594033219</v>
      </c>
      <c r="BL59" s="102">
        <f t="shared" si="39"/>
        <v>8086.3418594033265</v>
      </c>
      <c r="BM59" s="94">
        <f t="shared" si="40"/>
        <v>3877</v>
      </c>
      <c r="BN59" s="90">
        <f t="shared" si="41"/>
        <v>1.0003552202815992E-2</v>
      </c>
      <c r="BO59" s="94">
        <f t="shared" si="42"/>
        <v>981.92537595178385</v>
      </c>
      <c r="BP59" s="94">
        <f t="shared" si="43"/>
        <v>4858.9253759517842</v>
      </c>
      <c r="BQ59" s="94">
        <f t="shared" si="44"/>
        <v>8542.0999999999985</v>
      </c>
      <c r="BR59" s="90">
        <f t="shared" si="45"/>
        <v>1.6226867415222692E-2</v>
      </c>
      <c r="BS59" s="94">
        <f t="shared" si="46"/>
        <v>1845.6265370592994</v>
      </c>
      <c r="BT59" s="94">
        <f t="shared" si="47"/>
        <v>10387.726537059298</v>
      </c>
    </row>
    <row r="60" spans="1:72" ht="13.5" hidden="1">
      <c r="A60" s="11">
        <v>57</v>
      </c>
      <c r="B60" s="16" t="s">
        <v>83</v>
      </c>
      <c r="C60" s="17" t="s">
        <v>84</v>
      </c>
      <c r="D60" s="119" t="s">
        <v>138</v>
      </c>
      <c r="E60" s="18" t="s">
        <v>83</v>
      </c>
      <c r="F60" s="58" t="s">
        <v>164</v>
      </c>
      <c r="G60" s="58" t="s">
        <v>165</v>
      </c>
      <c r="H60" s="59">
        <v>53.3</v>
      </c>
      <c r="I60" s="59">
        <v>4794.8</v>
      </c>
      <c r="J60" s="59">
        <v>5112.7</v>
      </c>
      <c r="K60" s="59">
        <v>4741.5</v>
      </c>
      <c r="L60" s="59">
        <v>317.89999999999998</v>
      </c>
      <c r="M60" s="59">
        <v>5209.5</v>
      </c>
      <c r="N60" s="59">
        <v>5829.2</v>
      </c>
      <c r="O60" s="59">
        <v>6338.3</v>
      </c>
      <c r="P60" s="59">
        <v>7114.3</v>
      </c>
      <c r="Q60" s="59">
        <v>7900.8</v>
      </c>
      <c r="R60" s="59">
        <v>8657.5</v>
      </c>
      <c r="S60" s="59">
        <v>9334.2999999999993</v>
      </c>
      <c r="T60" s="75">
        <v>10333.1</v>
      </c>
      <c r="U60" s="65">
        <v>11116.6</v>
      </c>
      <c r="V60" s="65">
        <v>11927.4</v>
      </c>
      <c r="W60" s="76">
        <v>12715.7</v>
      </c>
      <c r="X60" s="76">
        <v>14362.8</v>
      </c>
      <c r="Y60" s="30">
        <f t="shared" si="0"/>
        <v>414.69999999999982</v>
      </c>
      <c r="Z60" s="31">
        <f t="shared" si="1"/>
        <v>9.3882137778908002E-4</v>
      </c>
      <c r="AA60" s="30">
        <f t="shared" si="2"/>
        <v>128.58654311276291</v>
      </c>
      <c r="AB60" s="30">
        <f t="shared" si="3"/>
        <v>543.28654311276273</v>
      </c>
      <c r="AC60" s="30">
        <f t="shared" si="4"/>
        <v>619.69999999999982</v>
      </c>
      <c r="AD60" s="31">
        <f t="shared" si="5"/>
        <v>1.7435394435917442E-3</v>
      </c>
      <c r="AE60" s="30">
        <f t="shared" si="6"/>
        <v>12.100913460487234</v>
      </c>
      <c r="AF60" s="30">
        <f t="shared" si="7"/>
        <v>631.8009134604871</v>
      </c>
      <c r="AG60" s="30">
        <f t="shared" si="8"/>
        <v>509.10000000000036</v>
      </c>
      <c r="AH60" s="31">
        <f t="shared" si="9"/>
        <v>1.754690661064799E-3</v>
      </c>
      <c r="AI60" s="30">
        <f t="shared" si="10"/>
        <v>165.09952862894417</v>
      </c>
      <c r="AJ60" s="30">
        <f t="shared" si="11"/>
        <v>674.19952862894456</v>
      </c>
      <c r="AK60" s="30">
        <f t="shared" si="12"/>
        <v>776</v>
      </c>
      <c r="AL60" s="31">
        <f t="shared" si="13"/>
        <v>1.8868366784321655E-3</v>
      </c>
      <c r="AM60" s="30">
        <f t="shared" si="14"/>
        <v>78.163416979527554</v>
      </c>
      <c r="AN60" s="30">
        <f t="shared" si="15"/>
        <v>854.1634169795276</v>
      </c>
      <c r="AO60" s="30">
        <f t="shared" si="16"/>
        <v>786.5</v>
      </c>
      <c r="AP60" s="31">
        <f t="shared" si="17"/>
        <v>2.1716357041760004E-3</v>
      </c>
      <c r="AQ60" s="30">
        <f t="shared" si="18"/>
        <v>189.20940697916447</v>
      </c>
      <c r="AR60" s="30">
        <f t="shared" si="19"/>
        <v>975.70940697916444</v>
      </c>
      <c r="AS60" s="92">
        <f t="shared" si="20"/>
        <v>756.69999999999982</v>
      </c>
      <c r="AT60" s="93">
        <f t="shared" si="21"/>
        <v>1.5974599057513423E-3</v>
      </c>
      <c r="AU60" s="94">
        <f t="shared" si="22"/>
        <v>189.25665016943231</v>
      </c>
      <c r="AV60" s="94">
        <f t="shared" si="23"/>
        <v>945.95665016943212</v>
      </c>
      <c r="AW60" s="103">
        <f t="shared" si="24"/>
        <v>676.79999999999927</v>
      </c>
      <c r="AX60" s="93">
        <f t="shared" si="25"/>
        <v>1.4590629681173815E-3</v>
      </c>
      <c r="AY60" s="103">
        <f t="shared" si="26"/>
        <v>150.77176113837081</v>
      </c>
      <c r="AZ60" s="103">
        <f t="shared" si="27"/>
        <v>827.57176113837011</v>
      </c>
      <c r="BA60" s="103">
        <f t="shared" si="28"/>
        <v>998.80000000000109</v>
      </c>
      <c r="BB60" s="90">
        <f t="shared" si="30"/>
        <v>2.8433564256880369E-3</v>
      </c>
      <c r="BC60" s="103">
        <f t="shared" si="31"/>
        <v>245.77975787003803</v>
      </c>
      <c r="BD60" s="103">
        <f t="shared" si="29"/>
        <v>1244.5797578700392</v>
      </c>
      <c r="BE60" s="103">
        <f t="shared" si="32"/>
        <v>783.5</v>
      </c>
      <c r="BF60" s="93">
        <f t="shared" si="33"/>
        <v>2.0322255728366634E-3</v>
      </c>
      <c r="BG60" s="103">
        <f t="shared" si="34"/>
        <v>157.91630326314726</v>
      </c>
      <c r="BH60" s="103">
        <f t="shared" si="35"/>
        <v>941.41630326314726</v>
      </c>
      <c r="BI60" s="103">
        <f t="shared" si="36"/>
        <v>810.79999999999927</v>
      </c>
      <c r="BJ60" s="90">
        <f t="shared" si="37"/>
        <v>1.6833684093910438E-3</v>
      </c>
      <c r="BK60" s="102">
        <f t="shared" si="38"/>
        <v>189.76556527907755</v>
      </c>
      <c r="BL60" s="102">
        <f t="shared" si="39"/>
        <v>1000.5655652790768</v>
      </c>
      <c r="BM60" s="94">
        <f t="shared" si="40"/>
        <v>788.30000000000109</v>
      </c>
      <c r="BN60" s="90">
        <f t="shared" si="41"/>
        <v>2.0339954092029552E-3</v>
      </c>
      <c r="BO60" s="94">
        <f t="shared" si="42"/>
        <v>199.65225015805837</v>
      </c>
      <c r="BP60" s="94">
        <f t="shared" si="43"/>
        <v>987.95225015805943</v>
      </c>
      <c r="BQ60" s="94">
        <f t="shared" si="44"/>
        <v>1647.0999999999985</v>
      </c>
      <c r="BR60" s="90">
        <f t="shared" si="45"/>
        <v>3.1288878987149856E-3</v>
      </c>
      <c r="BS60" s="94">
        <f t="shared" si="46"/>
        <v>355.87636168979174</v>
      </c>
      <c r="BT60" s="94">
        <f t="shared" si="47"/>
        <v>2002.9763616897903</v>
      </c>
    </row>
    <row r="61" spans="1:72" ht="13.5">
      <c r="A61" s="16">
        <v>58</v>
      </c>
      <c r="B61" s="16" t="s">
        <v>49</v>
      </c>
      <c r="C61" s="17" t="s">
        <v>50</v>
      </c>
      <c r="D61" s="119" t="s">
        <v>138</v>
      </c>
      <c r="E61" s="18" t="s">
        <v>49</v>
      </c>
      <c r="F61" s="58" t="s">
        <v>166</v>
      </c>
      <c r="G61" s="58" t="s">
        <v>167</v>
      </c>
      <c r="H61" s="59">
        <v>6189.2</v>
      </c>
      <c r="I61" s="59">
        <v>339395.9</v>
      </c>
      <c r="J61" s="59">
        <v>354641.6</v>
      </c>
      <c r="K61" s="59">
        <v>333206.7</v>
      </c>
      <c r="L61" s="59">
        <v>15245.7</v>
      </c>
      <c r="M61" s="59">
        <v>359774.6</v>
      </c>
      <c r="N61" s="59">
        <v>394246.6</v>
      </c>
      <c r="O61" s="59">
        <v>422624.7</v>
      </c>
      <c r="P61" s="59">
        <v>461774.4</v>
      </c>
      <c r="Q61" s="59">
        <v>494720.4</v>
      </c>
      <c r="R61" s="59">
        <v>534894.5</v>
      </c>
      <c r="S61" s="59">
        <v>569845.5</v>
      </c>
      <c r="T61" s="75">
        <v>602814.5</v>
      </c>
      <c r="U61" s="65">
        <v>638638.30000000005</v>
      </c>
      <c r="V61" s="65">
        <v>670354.69999999995</v>
      </c>
      <c r="W61" s="76">
        <v>692039.7</v>
      </c>
      <c r="X61" s="76">
        <v>715943.7</v>
      </c>
      <c r="Y61" s="30">
        <f t="shared" si="0"/>
        <v>20378.699999999953</v>
      </c>
      <c r="Z61" s="31">
        <f>Y61/$Y$65</f>
        <v>4.6134456743550253E-2</v>
      </c>
      <c r="AA61" s="30">
        <f>Z61*$Y$67</f>
        <v>6318.8487729251419</v>
      </c>
      <c r="AB61" s="30">
        <f t="shared" si="3"/>
        <v>26697.548772925096</v>
      </c>
      <c r="AC61" s="30">
        <f t="shared" si="4"/>
        <v>34472</v>
      </c>
      <c r="AD61" s="31">
        <f>AC61/$AC$65</f>
        <v>9.6987722606897891E-2</v>
      </c>
      <c r="AE61" s="30">
        <f>AD61*$AC$67</f>
        <v>673.13649961258034</v>
      </c>
      <c r="AF61" s="30">
        <f t="shared" si="7"/>
        <v>35145.136499612578</v>
      </c>
      <c r="AG61" s="30">
        <f t="shared" si="8"/>
        <v>28378.100000000035</v>
      </c>
      <c r="AH61" s="31">
        <f>AG61/$AG$65</f>
        <v>9.7809442248601455E-2</v>
      </c>
      <c r="AI61" s="30">
        <f>AH61*$AG$67</f>
        <v>9202.9285668533557</v>
      </c>
      <c r="AJ61" s="30">
        <f t="shared" si="11"/>
        <v>37581.028566853391</v>
      </c>
      <c r="AK61" s="30">
        <f t="shared" si="12"/>
        <v>39149.700000000012</v>
      </c>
      <c r="AL61" s="31">
        <f>AK61/$AK$65</f>
        <v>9.5192126172185268E-2</v>
      </c>
      <c r="AM61" s="30">
        <f>AL61*$AK$67</f>
        <v>3943.3947496435708</v>
      </c>
      <c r="AN61" s="30">
        <f t="shared" si="15"/>
        <v>43093.094749643584</v>
      </c>
      <c r="AO61" s="30">
        <f t="shared" si="16"/>
        <v>32946</v>
      </c>
      <c r="AP61" s="31">
        <f>AO61/$AO$65</f>
        <v>9.0968480495591239E-2</v>
      </c>
      <c r="AQ61" s="30">
        <f>AP61*$AO$67</f>
        <v>7925.8653812276571</v>
      </c>
      <c r="AR61" s="30">
        <f t="shared" si="19"/>
        <v>40871.865381227661</v>
      </c>
      <c r="AS61" s="92">
        <f t="shared" si="20"/>
        <v>40174.099999999977</v>
      </c>
      <c r="AT61" s="93">
        <f>AS61/$AS$65</f>
        <v>8.4811040041819719E-2</v>
      </c>
      <c r="AU61" s="94">
        <f>AT61*$AS$67</f>
        <v>10047.859904284112</v>
      </c>
      <c r="AV61" s="94">
        <f t="shared" si="23"/>
        <v>50221.959904284085</v>
      </c>
      <c r="AW61" s="103">
        <f t="shared" si="24"/>
        <v>34951</v>
      </c>
      <c r="AX61" s="93">
        <f>AW61/$AW$65</f>
        <v>7.5348270979123305E-2</v>
      </c>
      <c r="AY61" s="103">
        <f>AX61*$AW$67</f>
        <v>7786.0872097328656</v>
      </c>
      <c r="AZ61" s="103">
        <f t="shared" si="27"/>
        <v>42737.087209732868</v>
      </c>
      <c r="BA61" s="103">
        <f t="shared" si="28"/>
        <v>32969</v>
      </c>
      <c r="BB61" s="90">
        <f>BA61/$BA$65</f>
        <v>9.3855244291658785E-2</v>
      </c>
      <c r="BC61" s="103">
        <f>BB61*$BA$67</f>
        <v>8112.8482551234238</v>
      </c>
      <c r="BD61" s="103">
        <f t="shared" si="29"/>
        <v>41081.848255123426</v>
      </c>
      <c r="BE61" s="103">
        <f t="shared" si="32"/>
        <v>35823.800000000047</v>
      </c>
      <c r="BF61" s="93">
        <f>BE61/$BE$65</f>
        <v>9.2919007627550926E-2</v>
      </c>
      <c r="BG61" s="103">
        <f>BF61*$BE$67</f>
        <v>7220.3727694171557</v>
      </c>
      <c r="BH61" s="103">
        <f t="shared" si="35"/>
        <v>43044.1727694172</v>
      </c>
      <c r="BI61" s="103">
        <f t="shared" si="36"/>
        <v>31716.399999999907</v>
      </c>
      <c r="BJ61" s="90">
        <f>BI61/$BI$65</f>
        <v>6.5849020497792302E-2</v>
      </c>
      <c r="BK61" s="102">
        <f>BJ61*$BI$67</f>
        <v>7423.1383505393724</v>
      </c>
      <c r="BL61" s="102">
        <f t="shared" si="39"/>
        <v>39139.538350539282</v>
      </c>
      <c r="BM61" s="94">
        <f t="shared" si="40"/>
        <v>21685</v>
      </c>
      <c r="BN61" s="90">
        <f>BM61/$BM$65</f>
        <v>5.5952290306439209E-2</v>
      </c>
      <c r="BO61" s="94">
        <f>BN61*$BM$67</f>
        <v>5492.1464476436513</v>
      </c>
      <c r="BP61" s="94">
        <f t="shared" si="43"/>
        <v>27177.146447643652</v>
      </c>
      <c r="BQ61" s="94">
        <f t="shared" si="44"/>
        <v>23904</v>
      </c>
      <c r="BR61" s="90">
        <f>BQ61/$BQ$65</f>
        <v>4.540886183649024E-2</v>
      </c>
      <c r="BS61" s="94">
        <f>BR61*$BQ$67</f>
        <v>5164.755357800248</v>
      </c>
      <c r="BT61" s="94">
        <f t="shared" si="47"/>
        <v>29068.755357800248</v>
      </c>
    </row>
    <row r="62" spans="1:72" ht="13.5">
      <c r="A62" s="11">
        <v>59</v>
      </c>
      <c r="B62" s="16" t="s">
        <v>49</v>
      </c>
      <c r="C62" s="17" t="s">
        <v>50</v>
      </c>
      <c r="D62" s="119" t="s">
        <v>138</v>
      </c>
      <c r="E62" s="18" t="s">
        <v>49</v>
      </c>
      <c r="F62" s="58" t="s">
        <v>168</v>
      </c>
      <c r="G62" s="58" t="s">
        <v>169</v>
      </c>
      <c r="H62" s="61">
        <v>87327.9</v>
      </c>
      <c r="I62" s="61">
        <v>506222.8</v>
      </c>
      <c r="J62" s="61">
        <v>523973.5</v>
      </c>
      <c r="K62" s="61">
        <v>418894.9</v>
      </c>
      <c r="L62" s="61">
        <v>17750.7</v>
      </c>
      <c r="M62" s="61">
        <v>529870.5</v>
      </c>
      <c r="N62" s="61">
        <v>565953.5</v>
      </c>
      <c r="O62" s="61">
        <v>592741.80000000005</v>
      </c>
      <c r="P62" s="61">
        <v>629194.19999999995</v>
      </c>
      <c r="Q62" s="61">
        <v>658001.5</v>
      </c>
      <c r="R62" s="77">
        <v>688627.8</v>
      </c>
      <c r="S62" s="78">
        <v>719063.3</v>
      </c>
      <c r="T62" s="79">
        <v>747532.1</v>
      </c>
      <c r="U62" s="65">
        <v>780565.2</v>
      </c>
      <c r="V62" s="65">
        <v>819227.7</v>
      </c>
      <c r="W62" s="76">
        <v>846444.6</v>
      </c>
      <c r="X62" s="76">
        <v>875337.1</v>
      </c>
      <c r="Y62" s="30">
        <f t="shared" si="0"/>
        <v>23647.700000000012</v>
      </c>
      <c r="Z62" s="31">
        <f>Y62/$Y$65</f>
        <v>5.3535004329739205E-2</v>
      </c>
      <c r="AA62" s="30">
        <f>Z62*$Y$67</f>
        <v>7332.4716555767691</v>
      </c>
      <c r="AB62" s="30">
        <f t="shared" si="3"/>
        <v>30980.171655576782</v>
      </c>
      <c r="AC62" s="30">
        <f t="shared" si="4"/>
        <v>36083</v>
      </c>
      <c r="AD62" s="31">
        <f>AC62/$AC$65</f>
        <v>0.10152030618544607</v>
      </c>
      <c r="AE62" s="30">
        <f>AD62*$AC$67</f>
        <v>704.59457865864294</v>
      </c>
      <c r="AF62" s="30">
        <f t="shared" si="7"/>
        <v>36787.594578658645</v>
      </c>
      <c r="AG62" s="30">
        <f t="shared" si="8"/>
        <v>26788.300000000047</v>
      </c>
      <c r="AH62" s="31">
        <f>AG62/$AG$65</f>
        <v>9.2329954499709696E-2</v>
      </c>
      <c r="AI62" s="30">
        <f>AH62*$AG$67</f>
        <v>8687.3614275599084</v>
      </c>
      <c r="AJ62" s="30">
        <f t="shared" si="11"/>
        <v>35475.661427559957</v>
      </c>
      <c r="AK62" s="30">
        <f t="shared" si="12"/>
        <v>36452.399999999907</v>
      </c>
      <c r="AL62" s="31">
        <f>AK62/$AK$65</f>
        <v>8.8633666671237746E-2</v>
      </c>
      <c r="AM62" s="30">
        <f>AL62*$AK$67</f>
        <v>3671.7063674027359</v>
      </c>
      <c r="AN62" s="30">
        <f t="shared" si="15"/>
        <v>40124.106367402645</v>
      </c>
      <c r="AO62" s="30">
        <f t="shared" si="16"/>
        <v>28807.300000000047</v>
      </c>
      <c r="AP62" s="31">
        <f>AO62/$AO$65</f>
        <v>7.9540955144195041E-2</v>
      </c>
      <c r="AQ62" s="30">
        <f>AP62*$AO$67</f>
        <v>6930.2125234213518</v>
      </c>
      <c r="AR62" s="30">
        <f t="shared" si="19"/>
        <v>35737.512523421399</v>
      </c>
      <c r="AS62" s="92">
        <f t="shared" si="20"/>
        <v>30626.300000000047</v>
      </c>
      <c r="AT62" s="93">
        <f>AS62/$AS$65</f>
        <v>6.4654798878700168E-2</v>
      </c>
      <c r="AU62" s="94">
        <f>AT62*$AS$67</f>
        <v>7659.8796684076833</v>
      </c>
      <c r="AV62" s="94">
        <f t="shared" si="23"/>
        <v>38286.179668407727</v>
      </c>
      <c r="AW62" s="103">
        <f t="shared" si="24"/>
        <v>30435.5</v>
      </c>
      <c r="AX62" s="93">
        <f>AW62/$AW$65</f>
        <v>6.5613639134362606E-2</v>
      </c>
      <c r="AY62" s="103">
        <f>AX62*$AW$67</f>
        <v>6780.1624351756645</v>
      </c>
      <c r="AZ62" s="103">
        <f t="shared" si="27"/>
        <v>37215.662435175662</v>
      </c>
      <c r="BA62" s="103">
        <f t="shared" si="28"/>
        <v>28468.79999999993</v>
      </c>
      <c r="BB62" s="90">
        <f>BA62/$BA$65</f>
        <v>8.1044198449767027E-2</v>
      </c>
      <c r="BC62" s="103">
        <f>BB62*$BA$67</f>
        <v>7005.4613244398424</v>
      </c>
      <c r="BD62" s="103">
        <f t="shared" si="29"/>
        <v>35474.261324439773</v>
      </c>
      <c r="BE62" s="103">
        <f t="shared" si="32"/>
        <v>33033.099999999977</v>
      </c>
      <c r="BF62" s="93">
        <f>BE62/$BE$65</f>
        <v>8.5680549546995194E-2</v>
      </c>
      <c r="BG62" s="103">
        <f>BF62*$BE$67</f>
        <v>6657.9004943482651</v>
      </c>
      <c r="BH62" s="103">
        <f t="shared" si="35"/>
        <v>39691.000494348242</v>
      </c>
      <c r="BI62" s="103">
        <f t="shared" si="36"/>
        <v>38662.5</v>
      </c>
      <c r="BJ62" s="90">
        <f>BI62/$BI$65</f>
        <v>8.0270388663149103E-2</v>
      </c>
      <c r="BK62" s="102">
        <f>BJ62*$BI$67</f>
        <v>9048.8544247685531</v>
      </c>
      <c r="BL62" s="102">
        <f t="shared" si="39"/>
        <v>47711.35442476855</v>
      </c>
      <c r="BM62" s="94">
        <f t="shared" si="40"/>
        <v>27216.900000000023</v>
      </c>
      <c r="BN62" s="90">
        <f>BM62/$BM$65</f>
        <v>7.0225865346614083E-2</v>
      </c>
      <c r="BO62" s="94">
        <f>BN62*$BM$67</f>
        <v>6893.2073161573717</v>
      </c>
      <c r="BP62" s="94">
        <f t="shared" si="43"/>
        <v>34110.107316157395</v>
      </c>
      <c r="BQ62" s="94">
        <f t="shared" si="44"/>
        <v>28892.5</v>
      </c>
      <c r="BR62" s="90">
        <f>BQ62/$BQ$65</f>
        <v>5.488518827856402E-2</v>
      </c>
      <c r="BS62" s="94">
        <f>BR62*$BQ$67</f>
        <v>6242.5825876524295</v>
      </c>
      <c r="BT62" s="94">
        <f t="shared" si="47"/>
        <v>35135.082587652432</v>
      </c>
    </row>
    <row r="63" spans="1:72" ht="40.5" hidden="1">
      <c r="A63" s="16">
        <v>60</v>
      </c>
      <c r="B63" s="16" t="s">
        <v>49</v>
      </c>
      <c r="C63" s="17" t="s">
        <v>50</v>
      </c>
      <c r="D63" s="18" t="s">
        <v>121</v>
      </c>
      <c r="E63" s="20" t="s">
        <v>49</v>
      </c>
      <c r="F63" s="56" t="s">
        <v>170</v>
      </c>
      <c r="G63" s="57" t="s">
        <v>171</v>
      </c>
      <c r="H63" s="62">
        <v>1095</v>
      </c>
      <c r="I63" s="65">
        <v>28151.5</v>
      </c>
      <c r="J63" s="65">
        <v>33281</v>
      </c>
      <c r="K63" s="65">
        <v>27056.5</v>
      </c>
      <c r="L63" s="65">
        <v>5129.5</v>
      </c>
      <c r="M63" s="65">
        <v>34895.699999999997</v>
      </c>
      <c r="N63" s="65">
        <v>44255.8</v>
      </c>
      <c r="O63" s="65">
        <v>49189.3</v>
      </c>
      <c r="P63" s="65">
        <v>56144.7</v>
      </c>
      <c r="Q63" s="65">
        <v>64282.2</v>
      </c>
      <c r="R63" s="80">
        <v>74082.399999999994</v>
      </c>
      <c r="S63" s="34">
        <v>81994.5</v>
      </c>
      <c r="T63" s="81">
        <v>88236.4</v>
      </c>
      <c r="U63" s="65">
        <v>92579.199999999997</v>
      </c>
      <c r="V63" s="65">
        <v>102254.3</v>
      </c>
      <c r="W63" s="76">
        <v>110632.2</v>
      </c>
      <c r="X63" s="76">
        <v>120195.9</v>
      </c>
      <c r="Y63" s="30">
        <f t="shared" si="0"/>
        <v>6744.1999999999971</v>
      </c>
      <c r="Z63" s="31">
        <f>Y63/$Y$65</f>
        <v>1.5267902426055253E-2</v>
      </c>
      <c r="AA63" s="83">
        <f>Z63*$Y$67</f>
        <v>2091.1824549339176</v>
      </c>
      <c r="AB63" s="84">
        <f t="shared" si="3"/>
        <v>8835.3824549339151</v>
      </c>
      <c r="AC63" s="30">
        <f t="shared" si="4"/>
        <v>9360.1000000000058</v>
      </c>
      <c r="AD63" s="31">
        <f>AC63/$AC$65</f>
        <v>2.6334845160502017E-2</v>
      </c>
      <c r="AE63" s="83">
        <f>AD63*$AC$67</f>
        <v>182.77514939729977</v>
      </c>
      <c r="AF63" s="84">
        <f t="shared" si="7"/>
        <v>9542.875149397305</v>
      </c>
      <c r="AG63" s="30">
        <f t="shared" si="8"/>
        <v>4933.5</v>
      </c>
      <c r="AH63" s="31">
        <f>AG63/$AG$65</f>
        <v>1.7004058881090512E-2</v>
      </c>
      <c r="AI63" s="83">
        <f>AH63*$AG$67</f>
        <v>1599.9185317047643</v>
      </c>
      <c r="AJ63" s="84">
        <f t="shared" si="11"/>
        <v>6533.4185317047641</v>
      </c>
      <c r="AK63" s="30">
        <f t="shared" si="12"/>
        <v>6955.3999999999942</v>
      </c>
      <c r="AL63" s="31">
        <f>AK63/$AK$65</f>
        <v>1.6911989475730763E-2</v>
      </c>
      <c r="AM63" s="83">
        <f>AL63*$AK$67</f>
        <v>700.58998770541939</v>
      </c>
      <c r="AN63" s="84">
        <f t="shared" si="15"/>
        <v>7655.989987705414</v>
      </c>
      <c r="AO63" s="30">
        <f t="shared" si="16"/>
        <v>8137.5</v>
      </c>
      <c r="AP63" s="31">
        <f>AO63/$AO$65</f>
        <v>2.2468767377917614E-2</v>
      </c>
      <c r="AQ63" s="83">
        <f>AP63*$AO$67</f>
        <v>1957.6497765962504</v>
      </c>
      <c r="AR63" s="84">
        <f t="shared" si="19"/>
        <v>10095.14977659625</v>
      </c>
      <c r="AS63" s="96">
        <f t="shared" si="20"/>
        <v>9800.1999999999971</v>
      </c>
      <c r="AT63" s="97">
        <f>AS63/$AS$65</f>
        <v>2.0689079646285587E-2</v>
      </c>
      <c r="AU63" s="98">
        <f>AT63*$AS$67</f>
        <v>2451.1074705834153</v>
      </c>
      <c r="AV63" s="99">
        <f t="shared" si="23"/>
        <v>12251.307470583411</v>
      </c>
      <c r="AW63" s="103">
        <f t="shared" si="24"/>
        <v>7912.1000000000058</v>
      </c>
      <c r="AX63" s="97">
        <f>AW63/$AW$65</f>
        <v>1.7057110091668964E-2</v>
      </c>
      <c r="AY63" s="103">
        <f>AX63*$AW$67</f>
        <v>1762.5905013340807</v>
      </c>
      <c r="AZ63" s="103">
        <f t="shared" si="27"/>
        <v>9674.6905013340875</v>
      </c>
      <c r="BA63" s="103">
        <f t="shared" si="28"/>
        <v>6241.8999999999942</v>
      </c>
      <c r="BB63" s="90">
        <f>BA63/$BA$65</f>
        <v>1.7769269597018543E-2</v>
      </c>
      <c r="BC63" s="103">
        <f>BB63*$BA$67</f>
        <v>1535.975841658978</v>
      </c>
      <c r="BD63" s="103">
        <f t="shared" si="29"/>
        <v>7777.8758416589717</v>
      </c>
      <c r="BE63" s="103">
        <f t="shared" si="32"/>
        <v>4342.8000000000029</v>
      </c>
      <c r="BF63" s="93">
        <f>BE63/$BE$65</f>
        <v>1.1264261924333207E-2</v>
      </c>
      <c r="BG63" s="103">
        <f>BF63*$BE$67</f>
        <v>875.30175087580892</v>
      </c>
      <c r="BH63" s="103">
        <f t="shared" si="35"/>
        <v>5218.1017508758123</v>
      </c>
      <c r="BI63" s="103">
        <f t="shared" si="36"/>
        <v>9675.1000000000058</v>
      </c>
      <c r="BJ63" s="90">
        <f>BI63/$BI$65</f>
        <v>2.008726899074903E-2</v>
      </c>
      <c r="BK63" s="102">
        <f>BJ63*$BI$67</f>
        <v>2264.4312045283746</v>
      </c>
      <c r="BL63" s="102">
        <f t="shared" si="39"/>
        <v>11939.531204528381</v>
      </c>
      <c r="BM63" s="94">
        <f t="shared" si="40"/>
        <v>8377.8999999999942</v>
      </c>
      <c r="BN63" s="90">
        <f>BM63/$BM$65</f>
        <v>2.1616909981937594E-2</v>
      </c>
      <c r="BO63" s="94">
        <f>BN63*$BM$67</f>
        <v>2121.8655164267334</v>
      </c>
      <c r="BP63" s="94">
        <f t="shared" si="43"/>
        <v>10499.765516426727</v>
      </c>
      <c r="BQ63" s="94">
        <f t="shared" si="44"/>
        <v>9563.6999999999971</v>
      </c>
      <c r="BR63" s="90">
        <f>BQ63/$BQ$65</f>
        <v>1.8167533966936145E-2</v>
      </c>
      <c r="BS63" s="94">
        <f>BR63*$BQ$67</f>
        <v>2066.3558741379779</v>
      </c>
      <c r="BT63" s="94">
        <f t="shared" si="47"/>
        <v>11630.055874137975</v>
      </c>
    </row>
    <row r="64" spans="1:72" ht="27" hidden="1">
      <c r="A64" s="11">
        <v>61</v>
      </c>
      <c r="B64" s="16" t="s">
        <v>49</v>
      </c>
      <c r="C64" s="17" t="s">
        <v>50</v>
      </c>
      <c r="D64" s="18" t="s">
        <v>172</v>
      </c>
      <c r="E64" s="20" t="s">
        <v>49</v>
      </c>
      <c r="F64" s="58" t="s">
        <v>173</v>
      </c>
      <c r="G64" s="56" t="s">
        <v>174</v>
      </c>
      <c r="H64" s="53">
        <v>1.5</v>
      </c>
      <c r="I64" s="66">
        <v>1029</v>
      </c>
      <c r="J64" s="66">
        <v>1036.5</v>
      </c>
      <c r="K64" s="66">
        <v>1027.5</v>
      </c>
      <c r="L64" s="66">
        <v>7.5</v>
      </c>
      <c r="M64" s="66">
        <v>1038.7</v>
      </c>
      <c r="N64" s="66">
        <v>1052.9000000000001</v>
      </c>
      <c r="O64" s="66">
        <v>1068.4000000000001</v>
      </c>
      <c r="P64" s="67">
        <v>1101.3</v>
      </c>
      <c r="Q64" s="66">
        <v>1148</v>
      </c>
      <c r="R64" s="66">
        <v>1277.5</v>
      </c>
      <c r="S64" s="53">
        <v>1396.9</v>
      </c>
      <c r="T64" s="71">
        <v>1432.1</v>
      </c>
      <c r="U64" s="34">
        <v>1491.2</v>
      </c>
      <c r="V64" s="34">
        <v>1586.2</v>
      </c>
      <c r="W64" s="72">
        <v>1670.4</v>
      </c>
      <c r="X64" s="72">
        <v>1767.8</v>
      </c>
      <c r="Y64" s="30">
        <f t="shared" si="0"/>
        <v>9.7000000000000455</v>
      </c>
      <c r="Z64" s="31">
        <f>Y64/$Y$65</f>
        <v>2.1959410090557325E-5</v>
      </c>
      <c r="AA64" s="30">
        <f>Z64*$Y$67</f>
        <v>3.007691025304573</v>
      </c>
      <c r="AB64" s="30">
        <f t="shared" si="3"/>
        <v>12.707691025304619</v>
      </c>
      <c r="AC64" s="30">
        <f t="shared" si="4"/>
        <v>14.200000000000045</v>
      </c>
      <c r="AD64" s="31">
        <f>AC64/$AC$65</f>
        <v>3.9952009196389953E-5</v>
      </c>
      <c r="AE64" s="30">
        <f>AD64*$AC$67</f>
        <v>0.27728412318689577</v>
      </c>
      <c r="AF64" s="30">
        <f t="shared" si="7"/>
        <v>14.477284123186941</v>
      </c>
      <c r="AG64" s="30">
        <f t="shared" si="8"/>
        <v>15.5</v>
      </c>
      <c r="AH64" s="31">
        <f>AG64/$AG$65</f>
        <v>5.3423109892956917E-5</v>
      </c>
      <c r="AI64" s="30">
        <f>AH64*$AG$67</f>
        <v>5.0266012448411566</v>
      </c>
      <c r="AJ64" s="30">
        <f t="shared" si="11"/>
        <v>20.526601244841157</v>
      </c>
      <c r="AK64" s="30">
        <f t="shared" si="12"/>
        <v>32.899999999999864</v>
      </c>
      <c r="AL64" s="31">
        <f>AK64/$AK$65</f>
        <v>7.9996039588167499E-5</v>
      </c>
      <c r="AM64" s="30">
        <f>AL64*$AK$67</f>
        <v>3.3138871374052137</v>
      </c>
      <c r="AN64" s="30">
        <f t="shared" si="15"/>
        <v>36.213887137405081</v>
      </c>
      <c r="AO64" s="30">
        <f t="shared" si="16"/>
        <v>46.700000000000045</v>
      </c>
      <c r="AP64" s="31">
        <f>AO64/$AO$65</f>
        <v>1.289451842149006E-4</v>
      </c>
      <c r="AQ64" s="30">
        <f>AP64*$AO$67</f>
        <v>11.234684432202148</v>
      </c>
      <c r="AR64" s="30">
        <f t="shared" si="19"/>
        <v>57.934684432202189</v>
      </c>
      <c r="AS64" s="92">
        <f t="shared" si="20"/>
        <v>129.5</v>
      </c>
      <c r="AT64" s="93">
        <f>AS64/$AS$65</f>
        <v>2.7338583030897171E-4</v>
      </c>
      <c r="AU64" s="94">
        <f>AT64*$AS$67</f>
        <v>32.388973433251607</v>
      </c>
      <c r="AV64" s="94">
        <f t="shared" si="23"/>
        <v>161.88897343325161</v>
      </c>
      <c r="AW64" s="103">
        <f t="shared" si="24"/>
        <v>119.40000000000009</v>
      </c>
      <c r="AX64" s="93">
        <f>AW64/$AW$65</f>
        <v>2.5740561228312009E-4</v>
      </c>
      <c r="AY64" s="103">
        <f>AX64*$AW$67</f>
        <v>26.598918853311922</v>
      </c>
      <c r="AZ64" s="103">
        <f t="shared" si="27"/>
        <v>145.99891885331201</v>
      </c>
      <c r="BA64" s="103">
        <f t="shared" si="28"/>
        <v>35.199999999999818</v>
      </c>
      <c r="BB64" s="90">
        <f>BA64/$BA$65</f>
        <v>1.0020639385684649E-4</v>
      </c>
      <c r="BC64" s="103">
        <f>BB64*$BA$67</f>
        <v>8.6618416870497441</v>
      </c>
      <c r="BD64" s="103">
        <f t="shared" si="29"/>
        <v>43.861841687049562</v>
      </c>
      <c r="BE64" s="103">
        <f t="shared" si="32"/>
        <v>59.100000000000136</v>
      </c>
      <c r="BF64" s="93">
        <f>BE64/$BE$65</f>
        <v>1.5329231825736704E-4</v>
      </c>
      <c r="BG64" s="103">
        <f>BF64*$BE$67</f>
        <v>11.911746678815602</v>
      </c>
      <c r="BH64" s="103">
        <f t="shared" si="35"/>
        <v>71.01174667881574</v>
      </c>
      <c r="BI64" s="103">
        <f t="shared" si="36"/>
        <v>95</v>
      </c>
      <c r="BJ64" s="90">
        <f>BI64/$BI$65</f>
        <v>1.9723729513091922E-4</v>
      </c>
      <c r="BK64" s="102">
        <f>BJ64*$BI$67</f>
        <v>22.234495191801162</v>
      </c>
      <c r="BL64" s="102">
        <f t="shared" si="39"/>
        <v>117.23449519180116</v>
      </c>
      <c r="BM64" s="94">
        <f t="shared" si="40"/>
        <v>84.200000000000045</v>
      </c>
      <c r="BN64" s="90">
        <f>BM64/$BM$65</f>
        <v>2.1725537670289063E-4</v>
      </c>
      <c r="BO64" s="94">
        <f>BN64*$BM$67</f>
        <v>21.325281572127999</v>
      </c>
      <c r="BP64" s="94">
        <f t="shared" si="43"/>
        <v>105.52528157212805</v>
      </c>
      <c r="BQ64" s="94">
        <f t="shared" si="44"/>
        <v>97.399999999999864</v>
      </c>
      <c r="BR64" s="90">
        <f>BQ64/$BQ$65</f>
        <v>1.850243952005582E-4</v>
      </c>
      <c r="BS64" s="94">
        <f>BR64*$BQ$67</f>
        <v>21.044476734008679</v>
      </c>
      <c r="BT64" s="94">
        <f t="shared" si="47"/>
        <v>118.44447673400855</v>
      </c>
    </row>
    <row r="65" spans="1:73" hidden="1">
      <c r="G65" s="5"/>
      <c r="Y65" s="110">
        <f>SUM(Y4:Y64)</f>
        <v>441724.06999999977</v>
      </c>
      <c r="Z65" s="1"/>
      <c r="AA65" s="1"/>
      <c r="AB65" s="111">
        <f>SUM(AB4:AB64)</f>
        <v>578690</v>
      </c>
      <c r="AC65" s="112">
        <f>SUM(AC4:AC64)</f>
        <v>355426.42999999988</v>
      </c>
      <c r="AD65" s="111"/>
      <c r="AE65" s="111"/>
      <c r="AF65" s="111">
        <f>SUM(AF4:AF64)</f>
        <v>362366.85999999975</v>
      </c>
      <c r="AG65" s="112">
        <f>SUM(AG4:AG64)</f>
        <v>290136.61000000034</v>
      </c>
      <c r="AH65" s="111"/>
      <c r="AI65" s="111"/>
      <c r="AJ65" s="111">
        <f>SUM(AJ4:AJ64)</f>
        <v>384227.00000000006</v>
      </c>
      <c r="AK65" s="110">
        <f>SUM(AK4:AK64)</f>
        <v>411270.35999999952</v>
      </c>
      <c r="AL65" s="1"/>
      <c r="AM65" s="1"/>
      <c r="AN65" s="111">
        <f>SUM(AN4:AN64)</f>
        <v>452696.00000000017</v>
      </c>
      <c r="AO65" s="110">
        <f>SUM(AO4:AO64)</f>
        <v>362169.4000000002</v>
      </c>
      <c r="AP65" s="1"/>
      <c r="AQ65" s="1"/>
      <c r="AR65" s="111">
        <f>SUM(AR4:AR64)</f>
        <v>449297.00000000006</v>
      </c>
      <c r="AS65" s="112">
        <f>SUM(AS4:AS64)</f>
        <v>473689.51000000018</v>
      </c>
      <c r="AV65" s="113">
        <f>SUM(AV4:AV64)</f>
        <v>592162.99999999988</v>
      </c>
      <c r="AW65" s="111">
        <f>SUM(AW4:AW64)</f>
        <v>463859.35</v>
      </c>
      <c r="AZ65" s="111">
        <f>SUM(AZ4:AZ64)</f>
        <v>567193.99999999988</v>
      </c>
      <c r="BA65" s="111">
        <f>SUM(BA4:BA64)</f>
        <v>351274.99000000005</v>
      </c>
      <c r="BD65" s="111">
        <f>SUM(BD4:BD64)</f>
        <v>437715.00000000023</v>
      </c>
      <c r="BE65" s="111">
        <f>SUM(BE4:BE64)</f>
        <v>385537.91000000003</v>
      </c>
      <c r="BH65" s="111">
        <f>SUM(BH4:BH64)</f>
        <v>463244.00000000017</v>
      </c>
      <c r="BI65" s="111">
        <f>SUM(BI4:BI64)</f>
        <v>481653.32999999984</v>
      </c>
      <c r="BL65" s="111">
        <f>SUM(BL4:BL64)</f>
        <v>594383.00000000035</v>
      </c>
      <c r="BM65" s="117">
        <f>SUM(BM4:BM64)</f>
        <v>387562.33000000013</v>
      </c>
      <c r="BP65" s="117">
        <f>SUM(BP4:BP64)</f>
        <v>485719.99999999994</v>
      </c>
      <c r="BQ65" s="117">
        <f>SUM(BQ4:BQ64)</f>
        <v>526417.06999999972</v>
      </c>
      <c r="BR65" s="115"/>
      <c r="BS65" s="115"/>
      <c r="BT65" s="117">
        <f>SUM(BT4:BT64)</f>
        <v>640156.00000000023</v>
      </c>
    </row>
    <row r="66" spans="1:73" hidden="1">
      <c r="G66" s="5"/>
    </row>
    <row r="67" spans="1:73" hidden="1">
      <c r="G67" s="5"/>
      <c r="R67" s="43" t="s">
        <v>175</v>
      </c>
      <c r="S67" s="43"/>
      <c r="T67" s="43"/>
      <c r="U67" s="43"/>
      <c r="V67" s="43"/>
      <c r="W67" s="43"/>
      <c r="X67" s="43"/>
      <c r="Y67" s="47">
        <f>C68-Y65</f>
        <v>136965.93000000023</v>
      </c>
      <c r="Z67" s="43"/>
      <c r="AA67" s="43"/>
      <c r="AB67" s="43"/>
      <c r="AC67" s="47">
        <f>AC65-C69</f>
        <v>6940.4299999998766</v>
      </c>
      <c r="AD67" s="43"/>
      <c r="AE67" s="43"/>
      <c r="AF67" s="43"/>
      <c r="AG67" s="47">
        <f>C70-AG65</f>
        <v>94090.389999999665</v>
      </c>
      <c r="AH67" s="43"/>
      <c r="AI67" s="43"/>
      <c r="AJ67" s="43"/>
      <c r="AK67" s="47">
        <f>C71-AK65</f>
        <v>41425.64000000048</v>
      </c>
      <c r="AL67" s="43"/>
      <c r="AM67" s="43"/>
      <c r="AN67" s="43"/>
      <c r="AO67" s="47">
        <f>C72-AO65</f>
        <v>87127.599999999802</v>
      </c>
      <c r="AP67" s="43"/>
      <c r="AQ67" s="43"/>
      <c r="AR67" s="43"/>
      <c r="AS67" s="114">
        <f>+C73-AS65</f>
        <v>118473.48999999982</v>
      </c>
      <c r="AT67" s="115"/>
      <c r="AU67" s="115"/>
      <c r="AV67" s="115"/>
      <c r="AW67" s="47">
        <f>+C74-AW65</f>
        <v>103334.65000000002</v>
      </c>
      <c r="AX67" s="115"/>
      <c r="AY67" s="115"/>
      <c r="AZ67" s="115"/>
      <c r="BA67" s="116">
        <f>+C75-BA65</f>
        <v>86440.009999999951</v>
      </c>
      <c r="BB67" s="115"/>
      <c r="BC67" s="115"/>
      <c r="BD67" s="115"/>
      <c r="BE67" s="116">
        <f>+C76-BE65</f>
        <v>77706.089999999967</v>
      </c>
      <c r="BF67" s="115"/>
      <c r="BG67" s="115"/>
      <c r="BH67" s="115"/>
      <c r="BI67" s="116">
        <f>+C77-BI65</f>
        <v>112729.67000000016</v>
      </c>
      <c r="BJ67" s="115"/>
      <c r="BK67" s="115"/>
      <c r="BL67" s="115"/>
      <c r="BM67" s="118">
        <f>C78-BM65</f>
        <v>98157.669999999867</v>
      </c>
      <c r="BN67" s="115"/>
      <c r="BO67" s="115"/>
      <c r="BP67" s="115"/>
      <c r="BQ67" s="118">
        <f>C79-BQ65</f>
        <v>113738.93000000028</v>
      </c>
    </row>
    <row r="68" spans="1:73">
      <c r="A68" s="41" t="s">
        <v>176</v>
      </c>
      <c r="B68" s="41"/>
      <c r="C68" s="42">
        <v>578690</v>
      </c>
      <c r="G68" s="5"/>
    </row>
    <row r="69" spans="1:73">
      <c r="A69" s="41" t="s">
        <v>177</v>
      </c>
      <c r="B69" s="41"/>
      <c r="C69" s="42">
        <v>348486</v>
      </c>
      <c r="G69" s="5"/>
    </row>
    <row r="70" spans="1:73">
      <c r="A70" s="41" t="s">
        <v>178</v>
      </c>
      <c r="B70" s="41"/>
      <c r="C70" s="42">
        <v>384227</v>
      </c>
      <c r="G70" s="5"/>
    </row>
    <row r="71" spans="1:73">
      <c r="A71" s="41" t="s">
        <v>179</v>
      </c>
      <c r="B71" s="41"/>
      <c r="C71" s="42">
        <v>452696</v>
      </c>
      <c r="G71" s="5"/>
    </row>
    <row r="72" spans="1:73">
      <c r="A72" s="41" t="s">
        <v>180</v>
      </c>
      <c r="B72" s="41"/>
      <c r="C72" s="42">
        <v>449297</v>
      </c>
      <c r="G72" s="5"/>
    </row>
    <row r="73" spans="1:73">
      <c r="A73" s="41" t="s">
        <v>181</v>
      </c>
      <c r="B73" s="41"/>
      <c r="C73" s="42">
        <v>592163</v>
      </c>
      <c r="G73" s="5"/>
    </row>
    <row r="74" spans="1:73">
      <c r="A74" s="41" t="s">
        <v>182</v>
      </c>
      <c r="B74" s="41"/>
      <c r="C74" s="42">
        <v>567194</v>
      </c>
      <c r="D74" s="6"/>
      <c r="G74" s="5"/>
    </row>
    <row r="75" spans="1:73">
      <c r="A75" s="41" t="s">
        <v>183</v>
      </c>
      <c r="B75" s="41"/>
      <c r="C75" s="42">
        <v>437715</v>
      </c>
      <c r="D75" s="6"/>
      <c r="G75" s="5"/>
    </row>
    <row r="76" spans="1:73">
      <c r="A76" s="41" t="s">
        <v>184</v>
      </c>
      <c r="B76" s="41"/>
      <c r="C76" s="42">
        <v>463244</v>
      </c>
      <c r="D76" s="6"/>
      <c r="G76" s="5"/>
      <c r="AB76" s="1">
        <f>SUM(AB61:AB62)</f>
        <v>57677.720428501882</v>
      </c>
      <c r="AC76" s="1">
        <f t="shared" ref="AC76:BT76" si="48">SUM(AC61:AC62)</f>
        <v>70555</v>
      </c>
      <c r="AD76" s="1">
        <f t="shared" si="48"/>
        <v>0.19850802879234397</v>
      </c>
      <c r="AE76" s="1">
        <f t="shared" si="48"/>
        <v>1377.7310782712234</v>
      </c>
      <c r="AF76" s="1">
        <f t="shared" si="48"/>
        <v>71932.73107827123</v>
      </c>
      <c r="AG76" s="1">
        <f t="shared" si="48"/>
        <v>55166.400000000081</v>
      </c>
      <c r="AH76" s="1">
        <f t="shared" si="48"/>
        <v>0.19013939674831115</v>
      </c>
      <c r="AI76" s="1">
        <f t="shared" si="48"/>
        <v>17890.289994413266</v>
      </c>
      <c r="AJ76" s="1">
        <f t="shared" si="48"/>
        <v>73056.689994413347</v>
      </c>
      <c r="AK76" s="1">
        <f t="shared" si="48"/>
        <v>75602.099999999919</v>
      </c>
      <c r="AL76" s="1">
        <f t="shared" si="48"/>
        <v>0.18382579284342301</v>
      </c>
      <c r="AM76" s="1">
        <f t="shared" si="48"/>
        <v>7615.1011170463062</v>
      </c>
      <c r="AN76" s="1">
        <f t="shared" si="48"/>
        <v>83217.201117046236</v>
      </c>
      <c r="AO76" s="1">
        <f t="shared" si="48"/>
        <v>61753.300000000047</v>
      </c>
      <c r="AP76" s="1">
        <f t="shared" si="48"/>
        <v>0.17050943563978627</v>
      </c>
      <c r="AQ76" s="1">
        <f t="shared" si="48"/>
        <v>14856.07790464901</v>
      </c>
      <c r="AR76" s="1">
        <f t="shared" si="48"/>
        <v>76609.377904649067</v>
      </c>
      <c r="AS76" s="1">
        <f t="shared" si="48"/>
        <v>70800.400000000023</v>
      </c>
      <c r="AT76" s="1">
        <f t="shared" si="48"/>
        <v>0.1494658389205199</v>
      </c>
      <c r="AU76" s="1">
        <f t="shared" si="48"/>
        <v>17707.739572691797</v>
      </c>
      <c r="AV76" s="1">
        <f t="shared" si="48"/>
        <v>88508.139572691813</v>
      </c>
      <c r="AW76" s="1">
        <f t="shared" si="48"/>
        <v>65386.5</v>
      </c>
      <c r="AX76" s="1">
        <f t="shared" si="48"/>
        <v>0.14096191011348591</v>
      </c>
      <c r="AY76" s="1">
        <f t="shared" si="48"/>
        <v>14566.24964490853</v>
      </c>
      <c r="AZ76" s="1">
        <f t="shared" si="48"/>
        <v>79952.74964490853</v>
      </c>
      <c r="BA76" s="1">
        <f t="shared" si="48"/>
        <v>61437.79999999993</v>
      </c>
      <c r="BB76" s="1">
        <f t="shared" si="48"/>
        <v>0.17489944274142583</v>
      </c>
      <c r="BC76" s="1">
        <f t="shared" si="48"/>
        <v>15118.309579563265</v>
      </c>
      <c r="BD76" s="1">
        <f t="shared" si="48"/>
        <v>76556.109579563199</v>
      </c>
      <c r="BE76" s="1">
        <f t="shared" si="48"/>
        <v>68856.900000000023</v>
      </c>
      <c r="BF76" s="1">
        <f t="shared" si="48"/>
        <v>0.17859955717454612</v>
      </c>
      <c r="BG76" s="1">
        <f t="shared" si="48"/>
        <v>13878.273263765421</v>
      </c>
      <c r="BH76" s="1">
        <f t="shared" si="48"/>
        <v>82735.173263765435</v>
      </c>
      <c r="BI76" s="1">
        <f t="shared" si="48"/>
        <v>70378.899999999907</v>
      </c>
      <c r="BJ76" s="1">
        <f t="shared" si="48"/>
        <v>0.1461194091609414</v>
      </c>
      <c r="BK76" s="1">
        <f t="shared" si="48"/>
        <v>16471.992775307925</v>
      </c>
      <c r="BL76" s="1">
        <f t="shared" si="48"/>
        <v>86850.892775307831</v>
      </c>
      <c r="BM76" s="1">
        <f t="shared" si="48"/>
        <v>48901.900000000023</v>
      </c>
      <c r="BN76" s="1">
        <f t="shared" si="48"/>
        <v>0.12617815565305329</v>
      </c>
      <c r="BO76" s="1">
        <f t="shared" si="48"/>
        <v>12385.353763801024</v>
      </c>
      <c r="BP76" s="1">
        <f t="shared" si="48"/>
        <v>61287.253763801047</v>
      </c>
      <c r="BQ76" s="1">
        <f t="shared" si="48"/>
        <v>52796.5</v>
      </c>
      <c r="BR76" s="1">
        <f t="shared" si="48"/>
        <v>0.10029405011505427</v>
      </c>
      <c r="BS76" s="1">
        <f t="shared" si="48"/>
        <v>11407.337945452677</v>
      </c>
      <c r="BT76" s="1">
        <f t="shared" si="48"/>
        <v>64203.83794545268</v>
      </c>
      <c r="BU76" s="1"/>
    </row>
    <row r="77" spans="1:73">
      <c r="A77" s="41" t="s">
        <v>185</v>
      </c>
      <c r="B77" s="41"/>
      <c r="C77" s="42">
        <v>594383</v>
      </c>
      <c r="G77" s="5"/>
    </row>
    <row r="78" spans="1:73">
      <c r="A78" s="41" t="s">
        <v>186</v>
      </c>
      <c r="B78" s="41"/>
      <c r="C78" s="42">
        <v>485720</v>
      </c>
      <c r="G78" s="5"/>
    </row>
    <row r="79" spans="1:73">
      <c r="A79" s="41" t="s">
        <v>187</v>
      </c>
      <c r="B79" s="41"/>
      <c r="C79" s="42">
        <v>640156</v>
      </c>
      <c r="G79" s="5"/>
    </row>
  </sheetData>
  <autoFilter ref="A3:R79" xr:uid="{00000000-0009-0000-0000-000000000000}"/>
  <mergeCells count="1">
    <mergeCell ref="A2:B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137EE-7A0D-4BBF-BDD4-D6E5AD7A219F}">
  <sheetPr>
    <tabColor rgb="FFFF0000"/>
  </sheetPr>
  <dimension ref="A2:AG79"/>
  <sheetViews>
    <sheetView topLeftCell="G1" zoomScale="115" zoomScaleNormal="115" workbookViewId="0">
      <pane ySplit="1" topLeftCell="A2" activePane="bottomLeft" state="frozen"/>
      <selection activeCell="J32" sqref="J32"/>
      <selection pane="bottomLeft" activeCell="J32" sqref="J32"/>
    </sheetView>
  </sheetViews>
  <sheetFormatPr defaultColWidth="10.28515625" defaultRowHeight="12.75"/>
  <cols>
    <col min="1" max="1" width="11.5703125" customWidth="1"/>
    <col min="3" max="3" width="26.140625" style="5" customWidth="1"/>
    <col min="4" max="4" width="16.5703125" style="3" customWidth="1"/>
    <col min="5" max="5" width="24.140625" style="6" customWidth="1"/>
    <col min="6" max="6" width="20.7109375" style="5" customWidth="1"/>
    <col min="7" max="7" width="48.7109375" style="7" customWidth="1"/>
    <col min="8" max="8" width="18.5703125" hidden="1" customWidth="1"/>
    <col min="9" max="11" width="18.5703125" customWidth="1"/>
    <col min="12" max="14" width="15.140625" hidden="1" customWidth="1"/>
    <col min="15" max="17" width="15.140625" customWidth="1"/>
    <col min="18" max="18" width="15.28515625" hidden="1" customWidth="1"/>
    <col min="19" max="20" width="12.5703125" hidden="1" customWidth="1"/>
    <col min="21" max="21" width="14.28515625" customWidth="1"/>
    <col min="22" max="24" width="14.42578125" hidden="1" customWidth="1"/>
    <col min="25" max="25" width="14.42578125" customWidth="1"/>
    <col min="26" max="27" width="0" hidden="1" customWidth="1"/>
    <col min="28" max="28" width="11.42578125" hidden="1" customWidth="1"/>
    <col min="30" max="32" width="0" hidden="1" customWidth="1"/>
  </cols>
  <sheetData>
    <row r="2" spans="1:33" ht="27" customHeight="1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</row>
    <row r="3" spans="1:33" ht="33.7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24</v>
      </c>
      <c r="I3" s="22" t="s">
        <v>188</v>
      </c>
      <c r="J3" s="23" t="s">
        <v>189</v>
      </c>
      <c r="K3" s="121" t="s">
        <v>204</v>
      </c>
      <c r="L3" s="24" t="s">
        <v>25</v>
      </c>
      <c r="M3" s="25" t="s">
        <v>26</v>
      </c>
      <c r="N3" s="25" t="s">
        <v>27</v>
      </c>
      <c r="O3" s="121" t="s">
        <v>206</v>
      </c>
      <c r="P3" s="121" t="s">
        <v>208</v>
      </c>
      <c r="Q3" s="25" t="s">
        <v>25</v>
      </c>
      <c r="R3" s="26" t="s">
        <v>190</v>
      </c>
      <c r="S3" s="27" t="s">
        <v>26</v>
      </c>
      <c r="T3" s="27" t="s">
        <v>27</v>
      </c>
      <c r="U3" s="26" t="s">
        <v>190</v>
      </c>
      <c r="V3" s="123" t="s">
        <v>202</v>
      </c>
      <c r="W3" s="124" t="s">
        <v>26</v>
      </c>
      <c r="X3" s="124" t="s">
        <v>27</v>
      </c>
      <c r="Y3" s="123" t="s">
        <v>203</v>
      </c>
      <c r="Z3" s="128" t="s">
        <v>205</v>
      </c>
      <c r="AA3" s="129" t="s">
        <v>26</v>
      </c>
      <c r="AB3" s="129" t="s">
        <v>27</v>
      </c>
      <c r="AC3" s="128" t="s">
        <v>205</v>
      </c>
      <c r="AD3" s="131" t="s">
        <v>207</v>
      </c>
      <c r="AE3" s="132" t="s">
        <v>26</v>
      </c>
      <c r="AF3" s="132" t="s">
        <v>27</v>
      </c>
      <c r="AG3" s="131" t="s">
        <v>207</v>
      </c>
    </row>
    <row r="4" spans="1:33" ht="13.5" hidden="1" customHeight="1">
      <c r="A4" s="11">
        <v>1</v>
      </c>
      <c r="B4" s="11" t="s">
        <v>39</v>
      </c>
      <c r="C4" s="12" t="s">
        <v>40</v>
      </c>
      <c r="D4" s="13" t="s">
        <v>41</v>
      </c>
      <c r="E4" s="13" t="s">
        <v>42</v>
      </c>
      <c r="F4" s="14" t="s">
        <v>43</v>
      </c>
      <c r="G4" s="14" t="s">
        <v>44</v>
      </c>
      <c r="H4" s="15">
        <v>384535.44</v>
      </c>
      <c r="I4" s="28">
        <v>402138.72</v>
      </c>
      <c r="J4" s="29">
        <v>410298.48</v>
      </c>
      <c r="K4" s="29">
        <v>417182.88</v>
      </c>
      <c r="L4" s="30">
        <f>I4-H4</f>
        <v>17603.27999999997</v>
      </c>
      <c r="M4" s="31">
        <f>L4/$L$66</f>
        <v>3.8588951862653965E-2</v>
      </c>
      <c r="N4" s="30">
        <f>M4*$L$68</f>
        <v>3696.0849253511997</v>
      </c>
      <c r="O4" s="29">
        <v>428359.92</v>
      </c>
      <c r="P4" s="29">
        <v>439523.28</v>
      </c>
      <c r="Q4" s="30">
        <f t="shared" ref="Q4:Q65" si="0">L4+N4</f>
        <v>21299.364925351168</v>
      </c>
      <c r="R4" s="32">
        <f t="shared" ref="R4:R65" si="1">J4-I4</f>
        <v>8159.7600000000093</v>
      </c>
      <c r="S4" s="31">
        <f>R4/$R$66</f>
        <v>2.3771982228522268E-2</v>
      </c>
      <c r="T4" s="32">
        <f t="shared" ref="T4:T65" si="2">S4*$R$68</f>
        <v>2076.6694954417358</v>
      </c>
      <c r="U4" s="32">
        <f>T4+R4</f>
        <v>10236.429495441746</v>
      </c>
      <c r="V4" s="125">
        <f>K4-J4</f>
        <v>6884.4000000000233</v>
      </c>
      <c r="W4" s="126">
        <f>V4/$V$66</f>
        <v>1.9440177445412665E-2</v>
      </c>
      <c r="X4" s="127">
        <f>W4*$V$68</f>
        <v>2654.8756322865261</v>
      </c>
      <c r="Y4" s="127">
        <f>X4+V4</f>
        <v>9539.2756322865498</v>
      </c>
      <c r="Z4" s="125">
        <f>O4-K4</f>
        <v>11177.039999999979</v>
      </c>
      <c r="AA4" s="126">
        <f>Z4/$Z$66</f>
        <v>3.2463596506909678E-2</v>
      </c>
      <c r="AB4" s="127">
        <f>AA4*$Z$68</f>
        <v>3733.1652396585669</v>
      </c>
      <c r="AC4" s="127">
        <f>AB4+Z4</f>
        <v>14910.205239658546</v>
      </c>
      <c r="AD4" s="125">
        <f>P4-O4</f>
        <v>11163.360000000044</v>
      </c>
      <c r="AE4" s="126">
        <f>AD4/$AD$66</f>
        <v>3.0180142306826245E-2</v>
      </c>
      <c r="AF4" s="127">
        <f>AE4*$AD$68</f>
        <v>4067.5920577013439</v>
      </c>
      <c r="AG4" s="127">
        <f>AF4+AD4</f>
        <v>15230.952057701388</v>
      </c>
    </row>
    <row r="5" spans="1:33" ht="13.5" hidden="1">
      <c r="A5" s="16">
        <v>2</v>
      </c>
      <c r="B5" s="16" t="s">
        <v>39</v>
      </c>
      <c r="C5" s="17" t="s">
        <v>40</v>
      </c>
      <c r="D5" s="13" t="s">
        <v>41</v>
      </c>
      <c r="E5" s="18" t="s">
        <v>42</v>
      </c>
      <c r="F5" s="19" t="s">
        <v>45</v>
      </c>
      <c r="G5" s="19" t="s">
        <v>46</v>
      </c>
      <c r="H5" s="15">
        <v>491340</v>
      </c>
      <c r="I5" s="28">
        <v>507735.6</v>
      </c>
      <c r="J5" s="29">
        <v>518519.6</v>
      </c>
      <c r="K5" s="29">
        <v>525987.19999999995</v>
      </c>
      <c r="L5" s="30">
        <f t="shared" ref="L5:L65" si="3">I5-H5</f>
        <v>16395.599999999977</v>
      </c>
      <c r="M5" s="31">
        <f t="shared" ref="M5:M65" si="4">L5/$L$66</f>
        <v>3.5941541528586127E-2</v>
      </c>
      <c r="N5" s="30">
        <f t="shared" ref="N5:N65" si="5">M5*$L$68</f>
        <v>3442.5135544107775</v>
      </c>
      <c r="O5" s="29">
        <v>538704.76</v>
      </c>
      <c r="P5" s="29">
        <v>551435.19999999995</v>
      </c>
      <c r="Q5" s="30">
        <f t="shared" si="0"/>
        <v>19838.113554410753</v>
      </c>
      <c r="R5" s="33">
        <f t="shared" si="1"/>
        <v>10784</v>
      </c>
      <c r="S5" s="31">
        <f t="shared" ref="S5:S65" si="6">R5/$R$66</f>
        <v>3.1417229961712582E-2</v>
      </c>
      <c r="T5" s="33">
        <f t="shared" si="2"/>
        <v>2744.5419765830925</v>
      </c>
      <c r="U5" s="33">
        <f t="shared" ref="U5:U65" si="7">T5+R5</f>
        <v>13528.541976583092</v>
      </c>
      <c r="V5" s="125">
        <f t="shared" ref="V5:V65" si="8">K5-J5</f>
        <v>7467.5999999999767</v>
      </c>
      <c r="W5" s="126">
        <f t="shared" ref="W5:W65" si="9">V5/$V$66</f>
        <v>2.1087018344570722E-2</v>
      </c>
      <c r="X5" s="127">
        <f t="shared" ref="X5:X65" si="10">W5*$V$68</f>
        <v>2879.7788146625321</v>
      </c>
      <c r="Y5" s="127">
        <f t="shared" ref="Y5:Y65" si="11">X5+V5</f>
        <v>10347.378814662508</v>
      </c>
      <c r="Z5" s="125">
        <f t="shared" ref="Z5:Z65" si="12">O5-K5</f>
        <v>12717.560000000056</v>
      </c>
      <c r="AA5" s="126">
        <f t="shared" ref="AA5:AA65" si="13">Z5/$Z$66</f>
        <v>3.6938020834891602E-2</v>
      </c>
      <c r="AB5" s="127">
        <f t="shared" ref="AB5:AB65" si="14">AA5*$Z$68</f>
        <v>4247.7035892573076</v>
      </c>
      <c r="AC5" s="127">
        <f t="shared" ref="AC5:AC65" si="15">AB5+Z5</f>
        <v>16965.263589257363</v>
      </c>
      <c r="AD5" s="125">
        <f t="shared" ref="AD5:AD65" si="16">P5-O5</f>
        <v>12730.439999999944</v>
      </c>
      <c r="AE5" s="126">
        <f t="shared" ref="AE5:AE65" si="17">AD5/$AD$66</f>
        <v>3.4416742882833654E-2</v>
      </c>
      <c r="AF5" s="127">
        <f t="shared" ref="AF5:AF65" si="18">AE5*$AD$68</f>
        <v>4638.588797193951</v>
      </c>
      <c r="AG5" s="127">
        <f t="shared" ref="AG5:AG64" si="19">AF5+AD5</f>
        <v>17369.028797193896</v>
      </c>
    </row>
    <row r="6" spans="1:33" ht="13.5" hidden="1">
      <c r="A6" s="11">
        <v>3</v>
      </c>
      <c r="B6" s="16" t="s">
        <v>39</v>
      </c>
      <c r="C6" s="17" t="s">
        <v>40</v>
      </c>
      <c r="D6" s="13" t="s">
        <v>41</v>
      </c>
      <c r="E6" s="18" t="s">
        <v>42</v>
      </c>
      <c r="F6" s="19" t="s">
        <v>47</v>
      </c>
      <c r="G6" s="19" t="s">
        <v>48</v>
      </c>
      <c r="H6" s="15">
        <v>886536.4</v>
      </c>
      <c r="I6" s="28">
        <v>913890.48</v>
      </c>
      <c r="J6" s="29">
        <v>932226.08</v>
      </c>
      <c r="K6" s="29">
        <v>945622.32</v>
      </c>
      <c r="L6" s="30">
        <f t="shared" si="3"/>
        <v>27354.079999999958</v>
      </c>
      <c r="M6" s="31">
        <f t="shared" si="4"/>
        <v>5.9964124661266868E-2</v>
      </c>
      <c r="N6" s="30">
        <f t="shared" si="5"/>
        <v>5743.4184274095951</v>
      </c>
      <c r="O6" s="29">
        <v>967677.92</v>
      </c>
      <c r="P6" s="29">
        <v>989096.48</v>
      </c>
      <c r="Q6" s="30">
        <f t="shared" si="0"/>
        <v>33097.498427409555</v>
      </c>
      <c r="R6" s="33">
        <f t="shared" si="1"/>
        <v>18335.599999999977</v>
      </c>
      <c r="S6" s="31">
        <f t="shared" si="6"/>
        <v>5.3417448227557167E-2</v>
      </c>
      <c r="T6" s="33">
        <f t="shared" si="2"/>
        <v>4666.4339638201864</v>
      </c>
      <c r="U6" s="33">
        <f t="shared" si="7"/>
        <v>23002.033963820162</v>
      </c>
      <c r="V6" s="125">
        <f t="shared" si="8"/>
        <v>13396.239999999991</v>
      </c>
      <c r="W6" s="126">
        <f t="shared" si="9"/>
        <v>3.782831949063592E-2</v>
      </c>
      <c r="X6" s="127">
        <f t="shared" si="10"/>
        <v>5166.0785457355632</v>
      </c>
      <c r="Y6" s="127">
        <f t="shared" si="11"/>
        <v>18562.318545735554</v>
      </c>
      <c r="Z6" s="125">
        <f t="shared" si="12"/>
        <v>22055.600000000093</v>
      </c>
      <c r="AA6" s="126">
        <f t="shared" si="13"/>
        <v>6.4060260956192466E-2</v>
      </c>
      <c r="AB6" s="127">
        <f t="shared" si="14"/>
        <v>7366.6372545695449</v>
      </c>
      <c r="AC6" s="127">
        <f t="shared" si="15"/>
        <v>29422.237254569638</v>
      </c>
      <c r="AD6" s="125">
        <f t="shared" si="16"/>
        <v>21418.559999999939</v>
      </c>
      <c r="AE6" s="126">
        <f t="shared" si="17"/>
        <v>5.7905074171870477E-2</v>
      </c>
      <c r="AF6" s="127">
        <f t="shared" si="18"/>
        <v>7804.2779721695897</v>
      </c>
      <c r="AG6" s="127">
        <f t="shared" si="19"/>
        <v>29222.837972169531</v>
      </c>
    </row>
    <row r="7" spans="1:33" ht="40.5" hidden="1">
      <c r="A7" s="16">
        <v>4</v>
      </c>
      <c r="B7" s="16" t="s">
        <v>49</v>
      </c>
      <c r="C7" s="17" t="s">
        <v>50</v>
      </c>
      <c r="D7" s="13" t="s">
        <v>41</v>
      </c>
      <c r="E7" s="20" t="s">
        <v>49</v>
      </c>
      <c r="F7" s="19" t="s">
        <v>51</v>
      </c>
      <c r="G7" s="19" t="s">
        <v>52</v>
      </c>
      <c r="H7" s="15">
        <v>292377.08</v>
      </c>
      <c r="I7" s="28">
        <v>303533.75</v>
      </c>
      <c r="J7" s="29">
        <v>312792.23</v>
      </c>
      <c r="K7" s="29">
        <v>322928.32</v>
      </c>
      <c r="L7" s="30">
        <f t="shared" si="3"/>
        <v>11156.669999999984</v>
      </c>
      <c r="M7" s="31">
        <f t="shared" si="4"/>
        <v>2.4457044458618835E-2</v>
      </c>
      <c r="N7" s="30">
        <f t="shared" si="5"/>
        <v>2342.5179741569746</v>
      </c>
      <c r="O7" s="29">
        <v>331321.75</v>
      </c>
      <c r="P7" s="29">
        <v>338421.94</v>
      </c>
      <c r="Q7" s="30">
        <f t="shared" si="0"/>
        <v>13499.187974156957</v>
      </c>
      <c r="R7" s="33">
        <f t="shared" si="1"/>
        <v>9258.4799999999814</v>
      </c>
      <c r="S7" s="31">
        <f t="shared" si="6"/>
        <v>2.6972903862751866E-2</v>
      </c>
      <c r="T7" s="33">
        <f t="shared" si="2"/>
        <v>2356.2951594357364</v>
      </c>
      <c r="U7" s="33">
        <f t="shared" si="7"/>
        <v>11614.775159435718</v>
      </c>
      <c r="V7" s="125">
        <f t="shared" si="8"/>
        <v>10136.090000000026</v>
      </c>
      <c r="W7" s="126">
        <f t="shared" si="9"/>
        <v>2.8622303788663164E-2</v>
      </c>
      <c r="X7" s="127">
        <f t="shared" si="10"/>
        <v>3908.845846793201</v>
      </c>
      <c r="Y7" s="127">
        <f t="shared" si="11"/>
        <v>14044.935846793227</v>
      </c>
      <c r="Z7" s="125">
        <f t="shared" si="12"/>
        <v>8393.429999999993</v>
      </c>
      <c r="AA7" s="126">
        <f t="shared" si="13"/>
        <v>2.4378630194487196E-2</v>
      </c>
      <c r="AB7" s="127">
        <f t="shared" si="14"/>
        <v>2803.4310620260312</v>
      </c>
      <c r="AC7" s="127">
        <f t="shared" si="15"/>
        <v>11196.861062026024</v>
      </c>
      <c r="AD7" s="125">
        <f t="shared" si="16"/>
        <v>7100.1900000000023</v>
      </c>
      <c r="AE7" s="126">
        <f t="shared" si="17"/>
        <v>1.9195362740743276E-2</v>
      </c>
      <c r="AF7" s="127">
        <f t="shared" si="18"/>
        <v>2587.0953236454257</v>
      </c>
      <c r="AG7" s="127">
        <f t="shared" si="19"/>
        <v>9687.2853236454284</v>
      </c>
    </row>
    <row r="8" spans="1:33" ht="13.5" hidden="1">
      <c r="A8" s="11">
        <v>5</v>
      </c>
      <c r="B8" s="16" t="s">
        <v>39</v>
      </c>
      <c r="C8" s="17" t="s">
        <v>40</v>
      </c>
      <c r="D8" s="13" t="s">
        <v>41</v>
      </c>
      <c r="E8" s="18" t="s">
        <v>42</v>
      </c>
      <c r="F8" s="19" t="s">
        <v>53</v>
      </c>
      <c r="G8" s="19" t="s">
        <v>54</v>
      </c>
      <c r="H8" s="15">
        <v>18944.650000000001</v>
      </c>
      <c r="I8" s="28">
        <v>19737.3</v>
      </c>
      <c r="J8" s="29">
        <v>20000.05</v>
      </c>
      <c r="K8" s="29">
        <v>20089.8</v>
      </c>
      <c r="L8" s="30">
        <f t="shared" si="3"/>
        <v>792.64999999999782</v>
      </c>
      <c r="M8" s="31">
        <f t="shared" si="4"/>
        <v>1.7376041677421841E-3</v>
      </c>
      <c r="N8" s="30">
        <f t="shared" si="5"/>
        <v>166.4293084061394</v>
      </c>
      <c r="O8" s="29">
        <v>20167.849999999999</v>
      </c>
      <c r="P8" s="29">
        <v>20240.150000000001</v>
      </c>
      <c r="Q8" s="30">
        <f t="shared" si="0"/>
        <v>959.07930840613722</v>
      </c>
      <c r="R8" s="33">
        <f t="shared" si="1"/>
        <v>262.75</v>
      </c>
      <c r="S8" s="31">
        <f t="shared" si="6"/>
        <v>7.6547451524851446E-4</v>
      </c>
      <c r="T8" s="33">
        <f t="shared" si="2"/>
        <v>66.870215536647578</v>
      </c>
      <c r="U8" s="33">
        <f t="shared" si="7"/>
        <v>329.62021553664761</v>
      </c>
      <c r="V8" s="125">
        <f t="shared" si="8"/>
        <v>89.75</v>
      </c>
      <c r="W8" s="126">
        <f t="shared" si="9"/>
        <v>2.5343616375076707E-4</v>
      </c>
      <c r="X8" s="127">
        <f t="shared" si="10"/>
        <v>34.610872116337653</v>
      </c>
      <c r="Y8" s="127">
        <f t="shared" si="11"/>
        <v>124.36087211633765</v>
      </c>
      <c r="Z8" s="125">
        <f t="shared" si="12"/>
        <v>78.049999999999272</v>
      </c>
      <c r="AA8" s="126">
        <f t="shared" si="13"/>
        <v>2.2669541375572435E-4</v>
      </c>
      <c r="AB8" s="127">
        <f t="shared" si="14"/>
        <v>26.068936583867369</v>
      </c>
      <c r="AC8" s="127">
        <f t="shared" si="15"/>
        <v>104.11893658386664</v>
      </c>
      <c r="AD8" s="125">
        <f t="shared" si="16"/>
        <v>72.30000000000291</v>
      </c>
      <c r="AE8" s="126">
        <f t="shared" si="17"/>
        <v>1.9546304058846233E-4</v>
      </c>
      <c r="AF8" s="127">
        <f t="shared" si="18"/>
        <v>26.343941767695195</v>
      </c>
      <c r="AG8" s="127">
        <f t="shared" si="19"/>
        <v>98.643941767698109</v>
      </c>
    </row>
    <row r="9" spans="1:33" ht="40.5" hidden="1">
      <c r="A9" s="16">
        <v>6</v>
      </c>
      <c r="B9" s="16" t="s">
        <v>49</v>
      </c>
      <c r="C9" s="17" t="s">
        <v>50</v>
      </c>
      <c r="D9" s="13" t="s">
        <v>41</v>
      </c>
      <c r="E9" s="20" t="s">
        <v>49</v>
      </c>
      <c r="F9" s="19" t="s">
        <v>55</v>
      </c>
      <c r="G9" s="19" t="s">
        <v>56</v>
      </c>
      <c r="H9" s="15">
        <v>91991.54</v>
      </c>
      <c r="I9" s="28">
        <v>94480.67</v>
      </c>
      <c r="J9" s="29">
        <v>96849.57</v>
      </c>
      <c r="K9" s="29">
        <v>99075.42</v>
      </c>
      <c r="L9" s="30">
        <f t="shared" si="3"/>
        <v>2489.1300000000047</v>
      </c>
      <c r="M9" s="31">
        <f t="shared" si="4"/>
        <v>5.456535245129783E-3</v>
      </c>
      <c r="N9" s="30">
        <f t="shared" si="5"/>
        <v>522.63191122560477</v>
      </c>
      <c r="O9" s="29">
        <v>101697.15</v>
      </c>
      <c r="P9" s="29">
        <v>104207.05</v>
      </c>
      <c r="Q9" s="30">
        <f t="shared" si="0"/>
        <v>3011.7619112256093</v>
      </c>
      <c r="R9" s="33">
        <f t="shared" si="1"/>
        <v>2368.9000000000087</v>
      </c>
      <c r="S9" s="31">
        <f t="shared" si="6"/>
        <v>6.9013609102653193E-3</v>
      </c>
      <c r="T9" s="33">
        <f t="shared" si="2"/>
        <v>602.88812020843022</v>
      </c>
      <c r="U9" s="33">
        <f t="shared" si="7"/>
        <v>2971.7881202084391</v>
      </c>
      <c r="V9" s="125">
        <f t="shared" si="8"/>
        <v>2225.8499999999913</v>
      </c>
      <c r="W9" s="126">
        <f t="shared" si="9"/>
        <v>6.2853580510823697E-3</v>
      </c>
      <c r="X9" s="127">
        <f t="shared" si="10"/>
        <v>858.36891030807647</v>
      </c>
      <c r="Y9" s="127">
        <f t="shared" si="11"/>
        <v>3084.2189103080677</v>
      </c>
      <c r="Z9" s="125">
        <f t="shared" si="12"/>
        <v>2621.7299999999959</v>
      </c>
      <c r="AA9" s="126">
        <f t="shared" si="13"/>
        <v>7.6147875349878262E-3</v>
      </c>
      <c r="AB9" s="127">
        <f t="shared" si="14"/>
        <v>875.66576694456285</v>
      </c>
      <c r="AC9" s="127">
        <f t="shared" si="15"/>
        <v>3497.395766944559</v>
      </c>
      <c r="AD9" s="125">
        <f t="shared" si="16"/>
        <v>2509.9000000000087</v>
      </c>
      <c r="AE9" s="126">
        <f t="shared" si="17"/>
        <v>6.785514323277504E-3</v>
      </c>
      <c r="AF9" s="127">
        <f t="shared" si="18"/>
        <v>914.53194249980277</v>
      </c>
      <c r="AG9" s="127">
        <f t="shared" si="19"/>
        <v>3424.4319424998116</v>
      </c>
    </row>
    <row r="10" spans="1:33" ht="13.5" hidden="1">
      <c r="A10" s="11">
        <v>7</v>
      </c>
      <c r="B10" s="16" t="s">
        <v>39</v>
      </c>
      <c r="C10" s="17" t="s">
        <v>40</v>
      </c>
      <c r="D10" s="13" t="s">
        <v>41</v>
      </c>
      <c r="E10" s="18" t="s">
        <v>42</v>
      </c>
      <c r="F10" s="17" t="s">
        <v>57</v>
      </c>
      <c r="G10" s="17" t="s">
        <v>58</v>
      </c>
      <c r="H10" s="15">
        <v>38508.6</v>
      </c>
      <c r="I10" s="28">
        <v>39552</v>
      </c>
      <c r="J10" s="29">
        <v>40420.199999999997</v>
      </c>
      <c r="K10" s="29">
        <v>41421</v>
      </c>
      <c r="L10" s="30">
        <f t="shared" si="3"/>
        <v>1043.4000000000015</v>
      </c>
      <c r="M10" s="31">
        <f t="shared" si="4"/>
        <v>2.2872846636248058E-3</v>
      </c>
      <c r="N10" s="30">
        <f t="shared" si="5"/>
        <v>219.07820651102827</v>
      </c>
      <c r="O10" s="29">
        <v>42440.4</v>
      </c>
      <c r="P10" s="29">
        <v>43430.400000000001</v>
      </c>
      <c r="Q10" s="30">
        <f t="shared" si="0"/>
        <v>1262.4782065110298</v>
      </c>
      <c r="R10" s="33">
        <f t="shared" si="1"/>
        <v>868.19999999999709</v>
      </c>
      <c r="S10" s="31">
        <f t="shared" si="6"/>
        <v>2.5293433839724379E-3</v>
      </c>
      <c r="T10" s="33">
        <f t="shared" si="2"/>
        <v>220.95802522899044</v>
      </c>
      <c r="U10" s="33">
        <f t="shared" si="7"/>
        <v>1089.1580252289875</v>
      </c>
      <c r="V10" s="125">
        <f t="shared" si="8"/>
        <v>1000.8000000000029</v>
      </c>
      <c r="W10" s="126">
        <f t="shared" si="9"/>
        <v>2.8260603084319601E-3</v>
      </c>
      <c r="X10" s="127">
        <f t="shared" si="10"/>
        <v>385.94496728725153</v>
      </c>
      <c r="Y10" s="127">
        <f t="shared" si="11"/>
        <v>1386.7449672872544</v>
      </c>
      <c r="Z10" s="125">
        <f t="shared" si="12"/>
        <v>1019.4000000000015</v>
      </c>
      <c r="AA10" s="126">
        <f t="shared" si="13"/>
        <v>2.9608367044534002E-3</v>
      </c>
      <c r="AB10" s="127">
        <f t="shared" si="14"/>
        <v>340.48268998840081</v>
      </c>
      <c r="AC10" s="127">
        <f t="shared" si="15"/>
        <v>1359.8826899884023</v>
      </c>
      <c r="AD10" s="125">
        <f t="shared" si="16"/>
        <v>990</v>
      </c>
      <c r="AE10" s="126">
        <f t="shared" si="17"/>
        <v>2.6764648711282146E-3</v>
      </c>
      <c r="AF10" s="127">
        <f t="shared" si="18"/>
        <v>360.72617358253382</v>
      </c>
      <c r="AG10" s="127">
        <f t="shared" si="19"/>
        <v>1350.7261735825339</v>
      </c>
    </row>
    <row r="11" spans="1:33" ht="27" hidden="1">
      <c r="A11" s="11">
        <v>8</v>
      </c>
      <c r="B11" s="16" t="s">
        <v>49</v>
      </c>
      <c r="C11" s="17" t="s">
        <v>50</v>
      </c>
      <c r="D11" s="13" t="s">
        <v>41</v>
      </c>
      <c r="E11" s="20" t="s">
        <v>49</v>
      </c>
      <c r="F11" s="17" t="s">
        <v>59</v>
      </c>
      <c r="G11" s="17" t="s">
        <v>60</v>
      </c>
      <c r="H11" s="15">
        <v>174832.21</v>
      </c>
      <c r="I11" s="28">
        <v>178749.12</v>
      </c>
      <c r="J11" s="29">
        <v>182126.54</v>
      </c>
      <c r="K11" s="29">
        <v>186918.12</v>
      </c>
      <c r="L11" s="30">
        <f t="shared" si="3"/>
        <v>3916.9100000000035</v>
      </c>
      <c r="M11" s="31">
        <f t="shared" si="4"/>
        <v>8.5864368140680797E-3</v>
      </c>
      <c r="N11" s="30">
        <f t="shared" si="5"/>
        <v>822.4167317089433</v>
      </c>
      <c r="O11" s="29">
        <v>191790.72</v>
      </c>
      <c r="P11" s="29">
        <v>196138.38</v>
      </c>
      <c r="Q11" s="30">
        <f t="shared" si="0"/>
        <v>4739.3267317089467</v>
      </c>
      <c r="R11" s="33">
        <f t="shared" si="1"/>
        <v>3377.4200000000128</v>
      </c>
      <c r="S11" s="31">
        <f t="shared" si="6"/>
        <v>9.8395011885467083E-3</v>
      </c>
      <c r="T11" s="33">
        <f t="shared" si="2"/>
        <v>859.55776729889681</v>
      </c>
      <c r="U11" s="33">
        <f t="shared" si="7"/>
        <v>4236.9777672989094</v>
      </c>
      <c r="V11" s="125">
        <f t="shared" si="8"/>
        <v>4791.5799999999872</v>
      </c>
      <c r="W11" s="126">
        <f t="shared" si="9"/>
        <v>1.3530469676934788E-2</v>
      </c>
      <c r="X11" s="127">
        <f t="shared" si="10"/>
        <v>1847.8079400022364</v>
      </c>
      <c r="Y11" s="127">
        <f t="shared" si="11"/>
        <v>6639.3879400022233</v>
      </c>
      <c r="Z11" s="125">
        <f t="shared" si="12"/>
        <v>4872.6000000000058</v>
      </c>
      <c r="AA11" s="126">
        <f t="shared" si="13"/>
        <v>1.4152416054659247E-2</v>
      </c>
      <c r="AB11" s="127">
        <f t="shared" si="14"/>
        <v>1627.4631697444395</v>
      </c>
      <c r="AC11" s="127">
        <f t="shared" si="15"/>
        <v>6500.0631697444451</v>
      </c>
      <c r="AD11" s="125">
        <f t="shared" si="16"/>
        <v>4347.6600000000035</v>
      </c>
      <c r="AE11" s="126">
        <f t="shared" si="17"/>
        <v>1.1753898244049802E-2</v>
      </c>
      <c r="AF11" s="127">
        <f t="shared" si="18"/>
        <v>1584.1563190281215</v>
      </c>
      <c r="AG11" s="127">
        <f t="shared" si="19"/>
        <v>5931.8163190281248</v>
      </c>
    </row>
    <row r="12" spans="1:33" ht="27" hidden="1">
      <c r="A12" s="11">
        <v>9</v>
      </c>
      <c r="B12" s="16" t="s">
        <v>49</v>
      </c>
      <c r="C12" s="17" t="s">
        <v>50</v>
      </c>
      <c r="D12" s="13" t="s">
        <v>41</v>
      </c>
      <c r="E12" s="20" t="s">
        <v>49</v>
      </c>
      <c r="F12" s="17" t="s">
        <v>61</v>
      </c>
      <c r="G12" s="17" t="s">
        <v>62</v>
      </c>
      <c r="H12" s="15">
        <v>139277.04</v>
      </c>
      <c r="I12" s="28">
        <v>143610.23999999999</v>
      </c>
      <c r="J12" s="29">
        <v>146400.24</v>
      </c>
      <c r="K12" s="29">
        <v>149207.12</v>
      </c>
      <c r="L12" s="30">
        <f t="shared" si="3"/>
        <v>4333.1999999999825</v>
      </c>
      <c r="M12" s="31">
        <f t="shared" si="4"/>
        <v>9.4990050837827824E-3</v>
      </c>
      <c r="N12" s="30">
        <f t="shared" si="5"/>
        <v>909.82335101934314</v>
      </c>
      <c r="O12" s="29">
        <v>152796.64000000001</v>
      </c>
      <c r="P12" s="29">
        <v>156009.12</v>
      </c>
      <c r="Q12" s="30">
        <f t="shared" si="0"/>
        <v>5243.0233510193257</v>
      </c>
      <c r="R12" s="33">
        <f t="shared" si="1"/>
        <v>2790</v>
      </c>
      <c r="S12" s="31">
        <f t="shared" si="6"/>
        <v>8.1281594578243785E-3</v>
      </c>
      <c r="T12" s="33">
        <f t="shared" si="2"/>
        <v>710.05861597429782</v>
      </c>
      <c r="U12" s="33">
        <f t="shared" si="7"/>
        <v>3500.0586159742979</v>
      </c>
      <c r="V12" s="125">
        <f t="shared" si="8"/>
        <v>2806.8800000000047</v>
      </c>
      <c r="W12" s="126">
        <f t="shared" si="9"/>
        <v>7.9260713014902978E-3</v>
      </c>
      <c r="X12" s="127">
        <f t="shared" si="10"/>
        <v>1082.4352615699831</v>
      </c>
      <c r="Y12" s="127">
        <f t="shared" si="11"/>
        <v>3889.3152615699878</v>
      </c>
      <c r="Z12" s="125">
        <f t="shared" si="12"/>
        <v>3589.5200000000186</v>
      </c>
      <c r="AA12" s="126">
        <f t="shared" si="13"/>
        <v>1.0425723530870719E-2</v>
      </c>
      <c r="AB12" s="127">
        <f t="shared" si="14"/>
        <v>1198.9105604935935</v>
      </c>
      <c r="AC12" s="127">
        <f t="shared" si="15"/>
        <v>4788.4305604936126</v>
      </c>
      <c r="AD12" s="125">
        <f t="shared" si="16"/>
        <v>3212.4799999999814</v>
      </c>
      <c r="AE12" s="126">
        <f t="shared" si="17"/>
        <v>8.6849392618201186E-3</v>
      </c>
      <c r="AF12" s="127">
        <f t="shared" si="18"/>
        <v>1170.530927384254</v>
      </c>
      <c r="AG12" s="127">
        <f t="shared" si="19"/>
        <v>4383.0109273842354</v>
      </c>
    </row>
    <row r="13" spans="1:33" ht="27" hidden="1">
      <c r="A13" s="16">
        <v>10</v>
      </c>
      <c r="B13" s="16" t="s">
        <v>49</v>
      </c>
      <c r="C13" s="17" t="s">
        <v>50</v>
      </c>
      <c r="D13" s="13" t="s">
        <v>41</v>
      </c>
      <c r="E13" s="20" t="s">
        <v>49</v>
      </c>
      <c r="F13" s="17" t="s">
        <v>63</v>
      </c>
      <c r="G13" s="17" t="s">
        <v>64</v>
      </c>
      <c r="H13" s="15">
        <v>59661.45</v>
      </c>
      <c r="I13" s="28">
        <v>61689.42</v>
      </c>
      <c r="J13" s="29">
        <v>63834.879999999997</v>
      </c>
      <c r="K13" s="29">
        <v>65375.57</v>
      </c>
      <c r="L13" s="30">
        <f t="shared" si="3"/>
        <v>2027.9700000000012</v>
      </c>
      <c r="M13" s="31">
        <f t="shared" si="4"/>
        <v>4.4456054047260817E-3</v>
      </c>
      <c r="N13" s="30">
        <f t="shared" si="5"/>
        <v>425.80413116558333</v>
      </c>
      <c r="O13" s="29">
        <v>67221.56</v>
      </c>
      <c r="P13" s="29">
        <v>68458.12</v>
      </c>
      <c r="Q13" s="30">
        <f t="shared" si="0"/>
        <v>2453.7741311655845</v>
      </c>
      <c r="R13" s="33">
        <f t="shared" si="1"/>
        <v>2145.4599999999991</v>
      </c>
      <c r="S13" s="31">
        <f t="shared" si="6"/>
        <v>6.2504089571268403E-3</v>
      </c>
      <c r="T13" s="33">
        <f t="shared" si="2"/>
        <v>546.02235061943247</v>
      </c>
      <c r="U13" s="33">
        <f t="shared" si="7"/>
        <v>2691.4823506194316</v>
      </c>
      <c r="V13" s="125">
        <f t="shared" si="8"/>
        <v>1540.6900000000023</v>
      </c>
      <c r="W13" s="126">
        <f t="shared" si="9"/>
        <v>4.3506023746982718E-3</v>
      </c>
      <c r="X13" s="127">
        <f t="shared" si="10"/>
        <v>594.14623466206501</v>
      </c>
      <c r="Y13" s="127">
        <f t="shared" si="11"/>
        <v>2134.8362346620675</v>
      </c>
      <c r="Z13" s="125">
        <f t="shared" si="12"/>
        <v>1845.989999999998</v>
      </c>
      <c r="AA13" s="126">
        <f t="shared" si="13"/>
        <v>5.3616587679555803E-3</v>
      </c>
      <c r="AB13" s="127">
        <f t="shared" si="14"/>
        <v>616.56625553432059</v>
      </c>
      <c r="AC13" s="127">
        <f t="shared" si="15"/>
        <v>2462.5562555343186</v>
      </c>
      <c r="AD13" s="125">
        <f t="shared" si="16"/>
        <v>1236.5599999999977</v>
      </c>
      <c r="AE13" s="126">
        <f t="shared" si="17"/>
        <v>3.3430397990326251E-3</v>
      </c>
      <c r="AF13" s="127">
        <f t="shared" si="18"/>
        <v>450.56520929819914</v>
      </c>
      <c r="AG13" s="127">
        <f t="shared" si="19"/>
        <v>1687.1252092981968</v>
      </c>
    </row>
    <row r="14" spans="1:33" ht="27" hidden="1">
      <c r="A14" s="11">
        <v>11</v>
      </c>
      <c r="B14" s="16" t="s">
        <v>49</v>
      </c>
      <c r="C14" s="17" t="s">
        <v>50</v>
      </c>
      <c r="D14" s="13" t="s">
        <v>41</v>
      </c>
      <c r="E14" s="20" t="s">
        <v>49</v>
      </c>
      <c r="F14" s="17" t="s">
        <v>65</v>
      </c>
      <c r="G14" s="17" t="s">
        <v>66</v>
      </c>
      <c r="H14" s="15">
        <v>49234.62</v>
      </c>
      <c r="I14" s="28">
        <v>50185.3</v>
      </c>
      <c r="J14" s="29">
        <v>51066.5</v>
      </c>
      <c r="K14" s="29">
        <v>52080.81</v>
      </c>
      <c r="L14" s="30">
        <f t="shared" si="3"/>
        <v>950.68000000000029</v>
      </c>
      <c r="M14" s="31">
        <f t="shared" si="4"/>
        <v>2.0840289285171823E-3</v>
      </c>
      <c r="N14" s="30">
        <f t="shared" si="5"/>
        <v>199.6101872397011</v>
      </c>
      <c r="O14" s="29">
        <v>53110.79</v>
      </c>
      <c r="P14" s="29">
        <v>54022.54</v>
      </c>
      <c r="Q14" s="30">
        <f t="shared" si="0"/>
        <v>1150.2901872397015</v>
      </c>
      <c r="R14" s="33">
        <f t="shared" si="1"/>
        <v>881.19999999999709</v>
      </c>
      <c r="S14" s="31">
        <f t="shared" si="6"/>
        <v>2.5672165283995765E-3</v>
      </c>
      <c r="T14" s="33">
        <f t="shared" si="2"/>
        <v>224.26654207761618</v>
      </c>
      <c r="U14" s="33">
        <f t="shared" si="7"/>
        <v>1105.4665420776132</v>
      </c>
      <c r="V14" s="125">
        <f t="shared" si="8"/>
        <v>1014.3099999999977</v>
      </c>
      <c r="W14" s="126">
        <f t="shared" si="9"/>
        <v>2.8642098635547628E-3</v>
      </c>
      <c r="X14" s="127">
        <f t="shared" si="10"/>
        <v>391.15491583646087</v>
      </c>
      <c r="Y14" s="127">
        <f t="shared" si="11"/>
        <v>1405.4649158364587</v>
      </c>
      <c r="Z14" s="125">
        <f t="shared" si="12"/>
        <v>1029.9800000000032</v>
      </c>
      <c r="AA14" s="126">
        <f t="shared" si="13"/>
        <v>2.991566204485892E-3</v>
      </c>
      <c r="AB14" s="127">
        <f t="shared" si="14"/>
        <v>344.01644205832218</v>
      </c>
      <c r="AC14" s="127">
        <f t="shared" si="15"/>
        <v>1373.9964420583253</v>
      </c>
      <c r="AD14" s="125">
        <f t="shared" si="16"/>
        <v>911.75</v>
      </c>
      <c r="AE14" s="126">
        <f t="shared" si="17"/>
        <v>2.4649160063142926E-3</v>
      </c>
      <c r="AF14" s="127">
        <f t="shared" si="18"/>
        <v>332.21423107462141</v>
      </c>
      <c r="AG14" s="127">
        <f t="shared" si="19"/>
        <v>1243.9642310746215</v>
      </c>
    </row>
    <row r="15" spans="1:33" ht="13.5" hidden="1" customHeight="1">
      <c r="A15" s="16">
        <v>12</v>
      </c>
      <c r="B15" s="16" t="s">
        <v>39</v>
      </c>
      <c r="C15" s="17" t="s">
        <v>40</v>
      </c>
      <c r="D15" s="21" t="s">
        <v>67</v>
      </c>
      <c r="E15" s="21" t="s">
        <v>68</v>
      </c>
      <c r="F15" s="17" t="s">
        <v>69</v>
      </c>
      <c r="G15" s="17" t="s">
        <v>70</v>
      </c>
      <c r="H15" s="15">
        <v>84146.05</v>
      </c>
      <c r="I15" s="28">
        <v>85585.1</v>
      </c>
      <c r="J15" s="29">
        <v>86993.73</v>
      </c>
      <c r="K15" s="29">
        <v>91037.66</v>
      </c>
      <c r="L15" s="30">
        <f t="shared" si="3"/>
        <v>1439.0500000000029</v>
      </c>
      <c r="M15" s="31">
        <f t="shared" si="4"/>
        <v>3.1546070492517531E-3</v>
      </c>
      <c r="N15" s="30">
        <f t="shared" si="5"/>
        <v>302.15113386974838</v>
      </c>
      <c r="O15" s="29">
        <v>93739.199999999997</v>
      </c>
      <c r="P15" s="29">
        <v>94945.85</v>
      </c>
      <c r="Q15" s="30">
        <f t="shared" si="0"/>
        <v>1741.2011338697512</v>
      </c>
      <c r="R15" s="33">
        <f t="shared" si="1"/>
        <v>1408.6299999999901</v>
      </c>
      <c r="S15" s="31">
        <f t="shared" si="6"/>
        <v>4.103788264184614E-3</v>
      </c>
      <c r="T15" s="33">
        <f t="shared" si="2"/>
        <v>358.49816065228248</v>
      </c>
      <c r="U15" s="33">
        <f t="shared" si="7"/>
        <v>1767.1281606522725</v>
      </c>
      <c r="V15" s="125">
        <f t="shared" si="8"/>
        <v>4043.9300000000076</v>
      </c>
      <c r="W15" s="126">
        <f t="shared" si="9"/>
        <v>1.1419254659349764E-2</v>
      </c>
      <c r="X15" s="127">
        <f t="shared" si="10"/>
        <v>1559.4868420882626</v>
      </c>
      <c r="Y15" s="127">
        <f t="shared" si="11"/>
        <v>5603.4168420882706</v>
      </c>
      <c r="Z15" s="125">
        <f t="shared" si="12"/>
        <v>2701.5399999999936</v>
      </c>
      <c r="AA15" s="126">
        <f t="shared" si="13"/>
        <v>7.8465948504502728E-3</v>
      </c>
      <c r="AB15" s="127">
        <f t="shared" si="14"/>
        <v>902.32254886331248</v>
      </c>
      <c r="AC15" s="127">
        <f t="shared" si="15"/>
        <v>3603.8625488633061</v>
      </c>
      <c r="AD15" s="125">
        <f t="shared" si="16"/>
        <v>1206.6500000000087</v>
      </c>
      <c r="AE15" s="126">
        <f t="shared" si="17"/>
        <v>3.2621781179261451E-3</v>
      </c>
      <c r="AF15" s="127">
        <f t="shared" si="18"/>
        <v>439.66690641754303</v>
      </c>
      <c r="AG15" s="127">
        <f t="shared" si="19"/>
        <v>1646.3169064175518</v>
      </c>
    </row>
    <row r="16" spans="1:33" ht="13.5" hidden="1">
      <c r="A16" s="11">
        <v>13</v>
      </c>
      <c r="B16" s="16" t="s">
        <v>39</v>
      </c>
      <c r="C16" s="17" t="s">
        <v>40</v>
      </c>
      <c r="D16" s="21" t="s">
        <v>67</v>
      </c>
      <c r="E16" s="21" t="s">
        <v>68</v>
      </c>
      <c r="F16" s="17" t="s">
        <v>71</v>
      </c>
      <c r="G16" s="17" t="s">
        <v>72</v>
      </c>
      <c r="H16" s="15">
        <v>227214.24</v>
      </c>
      <c r="I16" s="28">
        <v>229052.06</v>
      </c>
      <c r="J16" s="29">
        <v>237817.2</v>
      </c>
      <c r="K16" s="29">
        <v>248822.94</v>
      </c>
      <c r="L16" s="30">
        <f t="shared" si="3"/>
        <v>1837.820000000007</v>
      </c>
      <c r="M16" s="31">
        <f t="shared" si="4"/>
        <v>4.0287689289850021E-3</v>
      </c>
      <c r="N16" s="30">
        <f t="shared" si="5"/>
        <v>385.87915419790971</v>
      </c>
      <c r="O16" s="29">
        <v>260189.96</v>
      </c>
      <c r="P16" s="29">
        <v>267464.68</v>
      </c>
      <c r="Q16" s="30">
        <f t="shared" si="0"/>
        <v>2223.6991541979169</v>
      </c>
      <c r="R16" s="33">
        <f t="shared" si="1"/>
        <v>8765.140000000014</v>
      </c>
      <c r="S16" s="31">
        <f t="shared" si="6"/>
        <v>2.5535647164930068E-2</v>
      </c>
      <c r="T16" s="33">
        <f t="shared" si="2"/>
        <v>2230.7394900433574</v>
      </c>
      <c r="U16" s="33">
        <f t="shared" si="7"/>
        <v>10995.879490043371</v>
      </c>
      <c r="V16" s="125">
        <f t="shared" si="8"/>
        <v>11005.739999999991</v>
      </c>
      <c r="W16" s="126">
        <f t="shared" si="9"/>
        <v>3.1078022560873147E-2</v>
      </c>
      <c r="X16" s="127">
        <f t="shared" si="10"/>
        <v>4244.2145925979012</v>
      </c>
      <c r="Y16" s="127">
        <f t="shared" si="11"/>
        <v>15249.954592597893</v>
      </c>
      <c r="Z16" s="125">
        <f t="shared" si="12"/>
        <v>11367.01999999999</v>
      </c>
      <c r="AA16" s="126">
        <f t="shared" si="13"/>
        <v>3.3015391442275666E-2</v>
      </c>
      <c r="AB16" s="127">
        <f t="shared" si="14"/>
        <v>3796.6191355228007</v>
      </c>
      <c r="AC16" s="127">
        <f t="shared" si="15"/>
        <v>15163.63913552279</v>
      </c>
      <c r="AD16" s="125">
        <f t="shared" si="16"/>
        <v>7274.7200000000012</v>
      </c>
      <c r="AE16" s="126">
        <f t="shared" si="17"/>
        <v>1.9667204573024091E-2</v>
      </c>
      <c r="AF16" s="127">
        <f t="shared" si="18"/>
        <v>2650.6887974589199</v>
      </c>
      <c r="AG16" s="127">
        <f t="shared" si="19"/>
        <v>9925.4087974589202</v>
      </c>
    </row>
    <row r="17" spans="1:33" ht="13.5" hidden="1">
      <c r="A17" s="16">
        <v>14</v>
      </c>
      <c r="B17" s="16" t="s">
        <v>39</v>
      </c>
      <c r="C17" s="17" t="s">
        <v>40</v>
      </c>
      <c r="D17" s="21" t="s">
        <v>67</v>
      </c>
      <c r="E17" s="21" t="s">
        <v>68</v>
      </c>
      <c r="F17" s="17" t="s">
        <v>73</v>
      </c>
      <c r="G17" s="17" t="s">
        <v>74</v>
      </c>
      <c r="H17" s="15">
        <v>11446.3</v>
      </c>
      <c r="I17" s="28">
        <v>11448.25</v>
      </c>
      <c r="J17" s="29">
        <v>11450.15</v>
      </c>
      <c r="K17" s="29">
        <v>11452.75</v>
      </c>
      <c r="L17" s="30">
        <f t="shared" si="3"/>
        <v>1.9500000000007276</v>
      </c>
      <c r="M17" s="31">
        <f t="shared" si="4"/>
        <v>4.2746838164366773E-6</v>
      </c>
      <c r="N17" s="30">
        <f t="shared" si="5"/>
        <v>0.4094331059005788</v>
      </c>
      <c r="O17" s="29">
        <v>11455.15</v>
      </c>
      <c r="P17" s="29">
        <v>11457.2</v>
      </c>
      <c r="Q17" s="30">
        <f t="shared" si="0"/>
        <v>2.3594331059013065</v>
      </c>
      <c r="R17" s="33">
        <f t="shared" si="1"/>
        <v>1.8999999999996362</v>
      </c>
      <c r="S17" s="31">
        <f t="shared" si="6"/>
        <v>5.5353057239653625E-6</v>
      </c>
      <c r="T17" s="33">
        <f t="shared" si="2"/>
        <v>0.48355246249136469</v>
      </c>
      <c r="U17" s="33">
        <f t="shared" si="7"/>
        <v>2.3835524624910009</v>
      </c>
      <c r="V17" s="125">
        <f t="shared" si="8"/>
        <v>2.6000000000003638</v>
      </c>
      <c r="W17" s="126">
        <f t="shared" si="9"/>
        <v>7.3418832952878726E-6</v>
      </c>
      <c r="X17" s="127">
        <f t="shared" si="10"/>
        <v>1.0026547911141002</v>
      </c>
      <c r="Y17" s="127">
        <f t="shared" si="11"/>
        <v>3.602654791114464</v>
      </c>
      <c r="Z17" s="125">
        <f t="shared" si="12"/>
        <v>2.3999999999996362</v>
      </c>
      <c r="AA17" s="126">
        <f t="shared" si="13"/>
        <v>6.9707750546273039E-6</v>
      </c>
      <c r="AB17" s="127">
        <f t="shared" si="14"/>
        <v>0.80160727484013827</v>
      </c>
      <c r="AC17" s="127">
        <f t="shared" si="15"/>
        <v>3.2016072748397746</v>
      </c>
      <c r="AD17" s="125">
        <f t="shared" si="16"/>
        <v>2.0500000000010914</v>
      </c>
      <c r="AE17" s="126">
        <f t="shared" si="17"/>
        <v>5.5421747331472336E-6</v>
      </c>
      <c r="AF17" s="127">
        <f t="shared" si="18"/>
        <v>0.74695823822685659</v>
      </c>
      <c r="AG17" s="127">
        <f t="shared" si="19"/>
        <v>2.7969582382279481</v>
      </c>
    </row>
    <row r="18" spans="1:33" ht="13.5" hidden="1">
      <c r="A18" s="11">
        <v>15</v>
      </c>
      <c r="B18" s="16" t="s">
        <v>39</v>
      </c>
      <c r="C18" s="17" t="s">
        <v>40</v>
      </c>
      <c r="D18" s="21" t="s">
        <v>67</v>
      </c>
      <c r="E18" s="21" t="s">
        <v>68</v>
      </c>
      <c r="F18" s="17" t="s">
        <v>75</v>
      </c>
      <c r="G18" s="17" t="s">
        <v>76</v>
      </c>
      <c r="H18" s="15">
        <v>45409.26</v>
      </c>
      <c r="I18" s="28">
        <v>45964.02</v>
      </c>
      <c r="J18" s="29">
        <v>47011.17</v>
      </c>
      <c r="K18" s="29">
        <v>49267.44</v>
      </c>
      <c r="L18" s="30">
        <f t="shared" si="3"/>
        <v>554.75999999999476</v>
      </c>
      <c r="M18" s="31">
        <f t="shared" si="4"/>
        <v>1.2161146635925662E-3</v>
      </c>
      <c r="N18" s="30">
        <f t="shared" si="5"/>
        <v>116.48056914324012</v>
      </c>
      <c r="O18" s="29">
        <v>51108.78</v>
      </c>
      <c r="P18" s="29">
        <v>52468.71</v>
      </c>
      <c r="Q18" s="30">
        <f t="shared" si="0"/>
        <v>671.24056914323489</v>
      </c>
      <c r="R18" s="33">
        <f t="shared" si="1"/>
        <v>1047.1500000000015</v>
      </c>
      <c r="S18" s="31">
        <f t="shared" si="6"/>
        <v>3.0506817836060251E-3</v>
      </c>
      <c r="T18" s="33">
        <f t="shared" si="2"/>
        <v>266.50103215680537</v>
      </c>
      <c r="U18" s="33">
        <f t="shared" si="7"/>
        <v>1313.6510321568069</v>
      </c>
      <c r="V18" s="125">
        <f t="shared" si="8"/>
        <v>2256.2700000000041</v>
      </c>
      <c r="W18" s="126">
        <f t="shared" si="9"/>
        <v>6.3712580856372623E-3</v>
      </c>
      <c r="X18" s="127">
        <f t="shared" si="10"/>
        <v>870.09997136411482</v>
      </c>
      <c r="Y18" s="127">
        <f t="shared" si="11"/>
        <v>3126.369971364119</v>
      </c>
      <c r="Z18" s="125">
        <f t="shared" si="12"/>
        <v>1841.3399999999965</v>
      </c>
      <c r="AA18" s="126">
        <f t="shared" si="13"/>
        <v>5.3481528912872342E-3</v>
      </c>
      <c r="AB18" s="127">
        <f t="shared" si="14"/>
        <v>615.01314143931711</v>
      </c>
      <c r="AC18" s="127">
        <f t="shared" si="15"/>
        <v>2456.3531414393137</v>
      </c>
      <c r="AD18" s="125">
        <f t="shared" si="16"/>
        <v>1359.9300000000003</v>
      </c>
      <c r="AE18" s="126">
        <f t="shared" si="17"/>
        <v>3.6765705779731248E-3</v>
      </c>
      <c r="AF18" s="127">
        <f t="shared" si="18"/>
        <v>495.51752044454071</v>
      </c>
      <c r="AG18" s="127">
        <f t="shared" si="19"/>
        <v>1855.4475204445409</v>
      </c>
    </row>
    <row r="19" spans="1:33" ht="13.5" hidden="1">
      <c r="A19" s="16">
        <v>16</v>
      </c>
      <c r="B19" s="16" t="s">
        <v>39</v>
      </c>
      <c r="C19" s="17" t="s">
        <v>40</v>
      </c>
      <c r="D19" s="21" t="s">
        <v>67</v>
      </c>
      <c r="E19" s="21" t="s">
        <v>68</v>
      </c>
      <c r="F19" s="17" t="s">
        <v>77</v>
      </c>
      <c r="G19" s="17" t="s">
        <v>78</v>
      </c>
      <c r="H19" s="15">
        <v>58379.35</v>
      </c>
      <c r="I19" s="28">
        <v>59793.09</v>
      </c>
      <c r="J19" s="29">
        <v>60990.46</v>
      </c>
      <c r="K19" s="29">
        <v>63153.63</v>
      </c>
      <c r="L19" s="30">
        <f t="shared" si="3"/>
        <v>1413.739999999998</v>
      </c>
      <c r="M19" s="31">
        <f t="shared" si="4"/>
        <v>3.0991238454599617E-3</v>
      </c>
      <c r="N19" s="30">
        <f t="shared" si="5"/>
        <v>296.83690212085514</v>
      </c>
      <c r="O19" s="29">
        <v>65187</v>
      </c>
      <c r="P19" s="29">
        <v>66887.039999999994</v>
      </c>
      <c r="Q19" s="30">
        <f t="shared" si="0"/>
        <v>1710.576902120853</v>
      </c>
      <c r="R19" s="33">
        <f t="shared" si="1"/>
        <v>1197.3700000000026</v>
      </c>
      <c r="S19" s="31">
        <f t="shared" si="6"/>
        <v>3.4883205340556262E-3</v>
      </c>
      <c r="T19" s="33">
        <f t="shared" si="2"/>
        <v>304.7322168491566</v>
      </c>
      <c r="U19" s="33">
        <f t="shared" si="7"/>
        <v>1502.1022168491593</v>
      </c>
      <c r="V19" s="125">
        <f t="shared" si="8"/>
        <v>2163.1699999999983</v>
      </c>
      <c r="W19" s="126">
        <f t="shared" si="9"/>
        <v>6.1083621876406279E-3</v>
      </c>
      <c r="X19" s="127">
        <f t="shared" si="10"/>
        <v>834.19721711307022</v>
      </c>
      <c r="Y19" s="127">
        <f t="shared" si="11"/>
        <v>2997.3672171130684</v>
      </c>
      <c r="Z19" s="125">
        <f t="shared" si="12"/>
        <v>2033.3700000000026</v>
      </c>
      <c r="AA19" s="126">
        <f t="shared" si="13"/>
        <v>5.9059020303457036E-3</v>
      </c>
      <c r="AB19" s="127">
        <f t="shared" si="14"/>
        <v>679.15174351747544</v>
      </c>
      <c r="AC19" s="127">
        <f t="shared" si="15"/>
        <v>2712.5217435174782</v>
      </c>
      <c r="AD19" s="125">
        <f t="shared" si="16"/>
        <v>1700.0399999999936</v>
      </c>
      <c r="AE19" s="126">
        <f t="shared" si="17"/>
        <v>4.5960579186997905E-3</v>
      </c>
      <c r="AF19" s="127">
        <f t="shared" si="18"/>
        <v>619.44335771439239</v>
      </c>
      <c r="AG19" s="127">
        <f t="shared" si="19"/>
        <v>2319.4833577143859</v>
      </c>
    </row>
    <row r="20" spans="1:33" ht="13.5" hidden="1">
      <c r="A20" s="11">
        <v>17</v>
      </c>
      <c r="B20" s="16" t="s">
        <v>39</v>
      </c>
      <c r="C20" s="17" t="s">
        <v>40</v>
      </c>
      <c r="D20" s="21" t="s">
        <v>67</v>
      </c>
      <c r="E20" s="21" t="s">
        <v>68</v>
      </c>
      <c r="F20" s="17" t="s">
        <v>79</v>
      </c>
      <c r="G20" s="17" t="s">
        <v>80</v>
      </c>
      <c r="H20" s="15">
        <v>154662.78</v>
      </c>
      <c r="I20" s="28">
        <v>160441.17000000001</v>
      </c>
      <c r="J20" s="29">
        <v>165068.82</v>
      </c>
      <c r="K20" s="29">
        <v>171698.92</v>
      </c>
      <c r="L20" s="30">
        <f t="shared" si="3"/>
        <v>5778.390000000014</v>
      </c>
      <c r="M20" s="31">
        <f t="shared" si="4"/>
        <v>1.2667071906692501E-2</v>
      </c>
      <c r="N20" s="30">
        <f t="shared" si="5"/>
        <v>1213.2636742584455</v>
      </c>
      <c r="O20" s="29">
        <v>175903.53</v>
      </c>
      <c r="P20" s="29">
        <v>180533.42</v>
      </c>
      <c r="Q20" s="30">
        <f t="shared" si="0"/>
        <v>6991.6536742584594</v>
      </c>
      <c r="R20" s="33">
        <f t="shared" si="1"/>
        <v>4627.6499999999942</v>
      </c>
      <c r="S20" s="31">
        <f t="shared" si="6"/>
        <v>1.3481819754480623E-2</v>
      </c>
      <c r="T20" s="33">
        <f t="shared" si="2"/>
        <v>1177.7429226571523</v>
      </c>
      <c r="U20" s="33">
        <f t="shared" si="7"/>
        <v>5805.3929226571463</v>
      </c>
      <c r="V20" s="125">
        <f t="shared" si="8"/>
        <v>6630.1000000000058</v>
      </c>
      <c r="W20" s="126">
        <f t="shared" si="9"/>
        <v>1.8722084783108214E-2</v>
      </c>
      <c r="X20" s="127">
        <f t="shared" si="10"/>
        <v>2556.8082809864118</v>
      </c>
      <c r="Y20" s="127">
        <f t="shared" si="11"/>
        <v>9186.9082809864176</v>
      </c>
      <c r="Z20" s="125">
        <f t="shared" si="12"/>
        <v>4204.609999999986</v>
      </c>
      <c r="AA20" s="126">
        <f t="shared" si="13"/>
        <v>1.2212246042683689E-2</v>
      </c>
      <c r="AB20" s="127">
        <f t="shared" si="14"/>
        <v>1404.3524849442056</v>
      </c>
      <c r="AC20" s="127">
        <f t="shared" si="15"/>
        <v>5608.9624849441916</v>
      </c>
      <c r="AD20" s="125">
        <f t="shared" si="16"/>
        <v>4629.890000000014</v>
      </c>
      <c r="AE20" s="126">
        <f t="shared" si="17"/>
        <v>1.2516907012310957E-2</v>
      </c>
      <c r="AF20" s="127">
        <f t="shared" si="18"/>
        <v>1686.9924280889318</v>
      </c>
      <c r="AG20" s="127">
        <f t="shared" si="19"/>
        <v>6316.8824280889457</v>
      </c>
    </row>
    <row r="21" spans="1:33" ht="13.5" hidden="1">
      <c r="A21" s="16">
        <v>18</v>
      </c>
      <c r="B21" s="16" t="s">
        <v>39</v>
      </c>
      <c r="C21" s="17" t="s">
        <v>40</v>
      </c>
      <c r="D21" s="21" t="s">
        <v>67</v>
      </c>
      <c r="E21" s="21" t="s">
        <v>68</v>
      </c>
      <c r="F21" s="17" t="s">
        <v>81</v>
      </c>
      <c r="G21" s="17" t="s">
        <v>82</v>
      </c>
      <c r="H21" s="15">
        <v>69707.05</v>
      </c>
      <c r="I21" s="28">
        <v>70909.100000000006</v>
      </c>
      <c r="J21" s="29">
        <v>72995.05</v>
      </c>
      <c r="K21" s="29">
        <v>76908.350000000006</v>
      </c>
      <c r="L21" s="30">
        <f t="shared" si="3"/>
        <v>1202.0500000000029</v>
      </c>
      <c r="M21" s="31">
        <f t="shared" si="4"/>
        <v>2.6350685546388734E-3</v>
      </c>
      <c r="N21" s="30">
        <f t="shared" si="5"/>
        <v>252.38926407569656</v>
      </c>
      <c r="O21" s="29">
        <v>79236.75</v>
      </c>
      <c r="P21" s="29">
        <v>80627.899999999994</v>
      </c>
      <c r="Q21" s="30">
        <f t="shared" si="0"/>
        <v>1454.4392640756994</v>
      </c>
      <c r="R21" s="33">
        <f t="shared" si="1"/>
        <v>2085.9499999999971</v>
      </c>
      <c r="S21" s="31">
        <f t="shared" si="6"/>
        <v>6.0770373552146021E-3</v>
      </c>
      <c r="T21" s="33">
        <f t="shared" si="2"/>
        <v>530.87697849160736</v>
      </c>
      <c r="U21" s="33">
        <f t="shared" si="7"/>
        <v>2616.8269784916047</v>
      </c>
      <c r="V21" s="125">
        <f t="shared" si="8"/>
        <v>3913.3000000000029</v>
      </c>
      <c r="W21" s="126">
        <f t="shared" si="9"/>
        <v>1.1050381499786936E-2</v>
      </c>
      <c r="X21" s="127">
        <f t="shared" si="10"/>
        <v>1509.1111515639468</v>
      </c>
      <c r="Y21" s="127">
        <f t="shared" si="11"/>
        <v>5422.4111515639497</v>
      </c>
      <c r="Z21" s="125">
        <f t="shared" si="12"/>
        <v>2328.3999999999942</v>
      </c>
      <c r="AA21" s="126">
        <f t="shared" si="13"/>
        <v>6.7628135988319306E-3</v>
      </c>
      <c r="AB21" s="127">
        <f t="shared" si="14"/>
        <v>777.69265780752335</v>
      </c>
      <c r="AC21" s="127">
        <f t="shared" si="15"/>
        <v>3106.0926578075178</v>
      </c>
      <c r="AD21" s="125">
        <f t="shared" si="16"/>
        <v>1391.1499999999942</v>
      </c>
      <c r="AE21" s="126">
        <f t="shared" si="17"/>
        <v>3.760973843909091E-3</v>
      </c>
      <c r="AF21" s="127">
        <f t="shared" si="18"/>
        <v>506.89314785791896</v>
      </c>
      <c r="AG21" s="127">
        <f t="shared" si="19"/>
        <v>1898.043147857913</v>
      </c>
    </row>
    <row r="22" spans="1:33" ht="27" hidden="1">
      <c r="A22" s="11">
        <v>19</v>
      </c>
      <c r="B22" s="16" t="s">
        <v>83</v>
      </c>
      <c r="C22" s="17" t="s">
        <v>84</v>
      </c>
      <c r="D22" s="18" t="s">
        <v>41</v>
      </c>
      <c r="E22" s="18" t="s">
        <v>83</v>
      </c>
      <c r="F22" s="17" t="s">
        <v>85</v>
      </c>
      <c r="G22" s="17" t="s">
        <v>86</v>
      </c>
      <c r="H22" s="15">
        <v>97165.68</v>
      </c>
      <c r="I22" s="28">
        <v>100332</v>
      </c>
      <c r="J22" s="29">
        <v>102955.77</v>
      </c>
      <c r="K22" s="29">
        <v>106131.48</v>
      </c>
      <c r="L22" s="30">
        <f t="shared" si="3"/>
        <v>3166.320000000007</v>
      </c>
      <c r="M22" s="31">
        <f t="shared" si="4"/>
        <v>6.9410342880280827E-3</v>
      </c>
      <c r="N22" s="30">
        <f t="shared" si="5"/>
        <v>664.81858044853334</v>
      </c>
      <c r="O22" s="29">
        <v>108907.2</v>
      </c>
      <c r="P22" s="29">
        <v>111148.83</v>
      </c>
      <c r="Q22" s="30">
        <f t="shared" si="0"/>
        <v>3831.1385804485403</v>
      </c>
      <c r="R22" s="33">
        <f t="shared" si="1"/>
        <v>2623.7700000000041</v>
      </c>
      <c r="S22" s="31">
        <f t="shared" si="6"/>
        <v>7.6438784733533702E-3</v>
      </c>
      <c r="T22" s="33">
        <f t="shared" si="2"/>
        <v>667.75286553221736</v>
      </c>
      <c r="U22" s="33">
        <f t="shared" si="7"/>
        <v>3291.5228655322217</v>
      </c>
      <c r="V22" s="125">
        <f t="shared" si="8"/>
        <v>3175.7099999999919</v>
      </c>
      <c r="W22" s="126">
        <f t="shared" si="9"/>
        <v>8.9675739229520494E-3</v>
      </c>
      <c r="X22" s="127">
        <f t="shared" si="10"/>
        <v>1224.6695564186559</v>
      </c>
      <c r="Y22" s="127">
        <f t="shared" si="11"/>
        <v>4400.3795564186476</v>
      </c>
      <c r="Z22" s="125">
        <f t="shared" si="12"/>
        <v>2775.7200000000012</v>
      </c>
      <c r="AA22" s="126">
        <f t="shared" si="13"/>
        <v>8.0620498894304338E-3</v>
      </c>
      <c r="AB22" s="127">
        <f t="shared" si="14"/>
        <v>927.09889371650274</v>
      </c>
      <c r="AC22" s="127">
        <f t="shared" si="15"/>
        <v>3702.8188937165041</v>
      </c>
      <c r="AD22" s="125">
        <f t="shared" si="16"/>
        <v>2241.6300000000047</v>
      </c>
      <c r="AE22" s="126">
        <f t="shared" si="17"/>
        <v>6.0602464131991433E-3</v>
      </c>
      <c r="AF22" s="127">
        <f t="shared" si="18"/>
        <v>816.78243685638074</v>
      </c>
      <c r="AG22" s="127">
        <f t="shared" si="19"/>
        <v>3058.4124368563853</v>
      </c>
    </row>
    <row r="23" spans="1:33" ht="13.5" hidden="1" customHeight="1">
      <c r="A23" s="16">
        <v>20</v>
      </c>
      <c r="B23" s="16" t="s">
        <v>49</v>
      </c>
      <c r="C23" s="17" t="s">
        <v>50</v>
      </c>
      <c r="D23" s="21" t="s">
        <v>67</v>
      </c>
      <c r="E23" s="18" t="s">
        <v>49</v>
      </c>
      <c r="F23" s="17" t="s">
        <v>87</v>
      </c>
      <c r="G23" s="17" t="s">
        <v>88</v>
      </c>
      <c r="H23" s="15">
        <v>2938675.7</v>
      </c>
      <c r="I23" s="28">
        <v>3004044</v>
      </c>
      <c r="J23" s="29">
        <v>3065787.9</v>
      </c>
      <c r="K23" s="29">
        <v>3138309.8</v>
      </c>
      <c r="L23" s="30">
        <f t="shared" si="3"/>
        <v>65368.299999999814</v>
      </c>
      <c r="M23" s="31">
        <f t="shared" si="4"/>
        <v>0.14329682775275518</v>
      </c>
      <c r="N23" s="30">
        <f t="shared" si="5"/>
        <v>13725.100562272175</v>
      </c>
      <c r="O23" s="29">
        <v>3212801.25</v>
      </c>
      <c r="P23" s="29">
        <v>3285561.6</v>
      </c>
      <c r="Q23" s="30">
        <f t="shared" si="0"/>
        <v>79093.400562271985</v>
      </c>
      <c r="R23" s="33">
        <f t="shared" si="1"/>
        <v>61743.899999999907</v>
      </c>
      <c r="S23" s="31">
        <f t="shared" si="6"/>
        <v>0.17987966478421574</v>
      </c>
      <c r="T23" s="33">
        <f t="shared" si="2"/>
        <v>15713.902573066447</v>
      </c>
      <c r="U23" s="33">
        <f t="shared" si="7"/>
        <v>77457.80257306635</v>
      </c>
      <c r="V23" s="125">
        <f t="shared" si="8"/>
        <v>72521.899999999907</v>
      </c>
      <c r="W23" s="126">
        <f t="shared" si="9"/>
        <v>0.20478743313556247</v>
      </c>
      <c r="X23" s="127">
        <f t="shared" si="10"/>
        <v>27967.08865218746</v>
      </c>
      <c r="Y23" s="127">
        <f t="shared" si="11"/>
        <v>100488.98865218737</v>
      </c>
      <c r="Z23" s="125">
        <f t="shared" si="12"/>
        <v>74491.450000000186</v>
      </c>
      <c r="AA23" s="126">
        <f t="shared" si="13"/>
        <v>0.21635964226795712</v>
      </c>
      <c r="AB23" s="127">
        <f t="shared" si="14"/>
        <v>24880.370097249841</v>
      </c>
      <c r="AC23" s="127">
        <f t="shared" si="15"/>
        <v>99371.82009725002</v>
      </c>
      <c r="AD23" s="125">
        <f t="shared" si="16"/>
        <v>72760.350000000093</v>
      </c>
      <c r="AE23" s="126">
        <f t="shared" si="17"/>
        <v>0.19670759675352933</v>
      </c>
      <c r="AF23" s="127">
        <f t="shared" si="18"/>
        <v>26511.679438410047</v>
      </c>
      <c r="AG23" s="127">
        <f t="shared" si="19"/>
        <v>99272.029438410143</v>
      </c>
    </row>
    <row r="24" spans="1:33" ht="27" hidden="1">
      <c r="A24" s="11">
        <v>21</v>
      </c>
      <c r="B24" s="16" t="s">
        <v>49</v>
      </c>
      <c r="C24" s="17" t="s">
        <v>50</v>
      </c>
      <c r="D24" s="21" t="s">
        <v>67</v>
      </c>
      <c r="E24" s="18" t="s">
        <v>49</v>
      </c>
      <c r="F24" s="17" t="s">
        <v>89</v>
      </c>
      <c r="G24" s="17" t="s">
        <v>90</v>
      </c>
      <c r="H24" s="15">
        <v>1048141.5</v>
      </c>
      <c r="I24" s="28">
        <v>1060074.7</v>
      </c>
      <c r="J24" s="29">
        <v>1072820.7</v>
      </c>
      <c r="K24" s="29">
        <v>1088491.8999999999</v>
      </c>
      <c r="L24" s="30">
        <f t="shared" si="3"/>
        <v>11933.199999999953</v>
      </c>
      <c r="M24" s="31">
        <f t="shared" si="4"/>
        <v>2.6159311240145092E-2</v>
      </c>
      <c r="N24" s="30">
        <f t="shared" si="5"/>
        <v>2505.5626355543309</v>
      </c>
      <c r="O24" s="29">
        <v>1103296.5</v>
      </c>
      <c r="P24" s="29">
        <v>1120544.6000000001</v>
      </c>
      <c r="Q24" s="30">
        <f t="shared" si="0"/>
        <v>14438.762635554285</v>
      </c>
      <c r="R24" s="33">
        <f t="shared" si="1"/>
        <v>12746</v>
      </c>
      <c r="S24" s="31">
        <f t="shared" si="6"/>
        <v>3.7133161451408436E-2</v>
      </c>
      <c r="T24" s="33">
        <f t="shared" si="2"/>
        <v>3243.8735194295346</v>
      </c>
      <c r="U24" s="33">
        <f t="shared" si="7"/>
        <v>15989.873519429535</v>
      </c>
      <c r="V24" s="125">
        <f t="shared" si="8"/>
        <v>15671.199999999953</v>
      </c>
      <c r="W24" s="126">
        <f t="shared" si="9"/>
        <v>4.4252354421961106E-2</v>
      </c>
      <c r="X24" s="127">
        <f t="shared" si="10"/>
        <v>6043.3860625019388</v>
      </c>
      <c r="Y24" s="127">
        <f t="shared" si="11"/>
        <v>21714.58606250189</v>
      </c>
      <c r="Z24" s="125">
        <f t="shared" si="12"/>
        <v>14804.600000000093</v>
      </c>
      <c r="AA24" s="126">
        <f t="shared" si="13"/>
        <v>4.2999806822396534E-2</v>
      </c>
      <c r="AB24" s="127">
        <f t="shared" si="14"/>
        <v>4944.7812754584102</v>
      </c>
      <c r="AC24" s="127">
        <f t="shared" si="15"/>
        <v>19749.381275458501</v>
      </c>
      <c r="AD24" s="125">
        <f t="shared" si="16"/>
        <v>17248.100000000093</v>
      </c>
      <c r="AE24" s="126">
        <f t="shared" si="17"/>
        <v>4.663023610475435E-2</v>
      </c>
      <c r="AF24" s="127">
        <f t="shared" si="18"/>
        <v>6284.6879945140754</v>
      </c>
      <c r="AG24" s="127">
        <f t="shared" si="19"/>
        <v>23532.787994514169</v>
      </c>
    </row>
    <row r="25" spans="1:33" ht="27" hidden="1">
      <c r="A25" s="16">
        <v>22</v>
      </c>
      <c r="B25" s="16" t="s">
        <v>49</v>
      </c>
      <c r="C25" s="17" t="s">
        <v>50</v>
      </c>
      <c r="D25" s="21" t="s">
        <v>67</v>
      </c>
      <c r="E25" s="18" t="s">
        <v>49</v>
      </c>
      <c r="F25" s="17" t="s">
        <v>91</v>
      </c>
      <c r="G25" s="17" t="s">
        <v>92</v>
      </c>
      <c r="H25" s="15">
        <v>659648.52</v>
      </c>
      <c r="I25" s="28">
        <v>693900.64</v>
      </c>
      <c r="J25" s="29">
        <v>715881.28</v>
      </c>
      <c r="K25" s="29">
        <v>721752.8</v>
      </c>
      <c r="L25" s="30">
        <f t="shared" si="3"/>
        <v>34252.119999999995</v>
      </c>
      <c r="M25" s="31">
        <f t="shared" si="4"/>
        <v>7.5085632329534566E-2</v>
      </c>
      <c r="N25" s="30">
        <f t="shared" si="5"/>
        <v>7191.7701924482562</v>
      </c>
      <c r="O25" s="29">
        <v>727854.24</v>
      </c>
      <c r="P25" s="29">
        <v>733570.4</v>
      </c>
      <c r="Q25" s="30">
        <f t="shared" si="0"/>
        <v>41443.890192448249</v>
      </c>
      <c r="R25" s="33">
        <f t="shared" si="1"/>
        <v>21980.640000000014</v>
      </c>
      <c r="S25" s="31">
        <f t="shared" si="6"/>
        <v>6.4036611793918619E-2</v>
      </c>
      <c r="T25" s="33">
        <f t="shared" si="2"/>
        <v>5594.1013679674907</v>
      </c>
      <c r="U25" s="33">
        <f t="shared" si="7"/>
        <v>27574.741367967505</v>
      </c>
      <c r="V25" s="125">
        <f t="shared" si="8"/>
        <v>5871.5200000000186</v>
      </c>
      <c r="W25" s="126">
        <f t="shared" si="9"/>
        <v>1.6580005617670292E-2</v>
      </c>
      <c r="X25" s="127">
        <f t="shared" si="10"/>
        <v>2264.2721765851757</v>
      </c>
      <c r="Y25" s="127">
        <f t="shared" si="11"/>
        <v>8135.7921765851943</v>
      </c>
      <c r="Z25" s="125">
        <f t="shared" si="12"/>
        <v>6101.4399999999441</v>
      </c>
      <c r="AA25" s="126">
        <f t="shared" si="13"/>
        <v>1.7721569062213033E-2</v>
      </c>
      <c r="AB25" s="127">
        <f t="shared" si="14"/>
        <v>2037.8994545838791</v>
      </c>
      <c r="AC25" s="127">
        <f t="shared" si="15"/>
        <v>8139.3394545838237</v>
      </c>
      <c r="AD25" s="125">
        <f t="shared" si="16"/>
        <v>5716.1600000000326</v>
      </c>
      <c r="AE25" s="126">
        <f t="shared" si="17"/>
        <v>1.5453637815907417E-2</v>
      </c>
      <c r="AF25" s="127">
        <f t="shared" si="18"/>
        <v>2082.7964892783316</v>
      </c>
      <c r="AG25" s="127">
        <f t="shared" si="19"/>
        <v>7798.9564892783637</v>
      </c>
    </row>
    <row r="26" spans="1:33" ht="27" hidden="1">
      <c r="A26" s="11">
        <v>23</v>
      </c>
      <c r="B26" s="16" t="s">
        <v>49</v>
      </c>
      <c r="C26" s="17" t="s">
        <v>50</v>
      </c>
      <c r="D26" s="21" t="s">
        <v>67</v>
      </c>
      <c r="E26" s="18" t="s">
        <v>49</v>
      </c>
      <c r="F26" s="17" t="s">
        <v>93</v>
      </c>
      <c r="G26" s="17" t="s">
        <v>94</v>
      </c>
      <c r="H26" s="15">
        <v>108258.41</v>
      </c>
      <c r="I26" s="28">
        <v>111809.04</v>
      </c>
      <c r="J26" s="29">
        <v>114951.27</v>
      </c>
      <c r="K26" s="29">
        <v>118279.42</v>
      </c>
      <c r="L26" s="30">
        <f t="shared" si="3"/>
        <v>3550.6299999999901</v>
      </c>
      <c r="M26" s="31">
        <f t="shared" si="4"/>
        <v>7.7834977431532589E-3</v>
      </c>
      <c r="N26" s="30">
        <f t="shared" si="5"/>
        <v>745.51049682216706</v>
      </c>
      <c r="O26" s="29">
        <v>121661.73</v>
      </c>
      <c r="P26" s="29">
        <v>124959.55</v>
      </c>
      <c r="Q26" s="30">
        <f t="shared" si="0"/>
        <v>4296.1404968221568</v>
      </c>
      <c r="R26" s="33">
        <f t="shared" si="1"/>
        <v>3142.2300000000105</v>
      </c>
      <c r="S26" s="31">
        <f t="shared" si="6"/>
        <v>9.1543177394837211E-3</v>
      </c>
      <c r="T26" s="33">
        <f t="shared" si="2"/>
        <v>799.70160748133526</v>
      </c>
      <c r="U26" s="33">
        <f t="shared" si="7"/>
        <v>3941.931607481346</v>
      </c>
      <c r="V26" s="125">
        <f t="shared" si="8"/>
        <v>3328.1499999999942</v>
      </c>
      <c r="W26" s="126">
        <f t="shared" si="9"/>
        <v>9.3980341881572584E-3</v>
      </c>
      <c r="X26" s="127">
        <f t="shared" si="10"/>
        <v>1283.4559780945845</v>
      </c>
      <c r="Y26" s="127">
        <f t="shared" si="11"/>
        <v>4611.6059780945789</v>
      </c>
      <c r="Z26" s="125">
        <f t="shared" si="12"/>
        <v>3382.3099999999977</v>
      </c>
      <c r="AA26" s="126">
        <f t="shared" si="13"/>
        <v>9.8238842395916813E-3</v>
      </c>
      <c r="AB26" s="127">
        <f t="shared" si="14"/>
        <v>1129.7017924020654</v>
      </c>
      <c r="AC26" s="127">
        <f t="shared" si="15"/>
        <v>4512.0117924020633</v>
      </c>
      <c r="AD26" s="125">
        <f t="shared" si="16"/>
        <v>3297.820000000007</v>
      </c>
      <c r="AE26" s="126">
        <f t="shared" si="17"/>
        <v>8.9156559407111789E-3</v>
      </c>
      <c r="AF26" s="127">
        <f t="shared" si="18"/>
        <v>1201.6262522868224</v>
      </c>
      <c r="AG26" s="127">
        <f t="shared" si="19"/>
        <v>4499.4462522868289</v>
      </c>
    </row>
    <row r="27" spans="1:33" ht="27" hidden="1">
      <c r="A27" s="16">
        <v>24</v>
      </c>
      <c r="B27" s="16" t="s">
        <v>49</v>
      </c>
      <c r="C27" s="17" t="s">
        <v>50</v>
      </c>
      <c r="D27" s="21" t="s">
        <v>67</v>
      </c>
      <c r="E27" s="18" t="s">
        <v>49</v>
      </c>
      <c r="F27" s="17" t="s">
        <v>95</v>
      </c>
      <c r="G27" s="17" t="s">
        <v>96</v>
      </c>
      <c r="H27" s="15">
        <v>234198</v>
      </c>
      <c r="I27" s="28">
        <v>239020.9</v>
      </c>
      <c r="J27" s="29">
        <v>243288.48</v>
      </c>
      <c r="K27" s="29">
        <v>248579.1</v>
      </c>
      <c r="L27" s="30">
        <f t="shared" si="3"/>
        <v>4822.8999999999942</v>
      </c>
      <c r="M27" s="31">
        <f t="shared" si="4"/>
        <v>1.0572498758094736E-2</v>
      </c>
      <c r="N27" s="30">
        <f t="shared" si="5"/>
        <v>1012.6435520241859</v>
      </c>
      <c r="O27" s="29">
        <v>254158.44</v>
      </c>
      <c r="P27" s="29">
        <v>260133.36</v>
      </c>
      <c r="Q27" s="30">
        <f t="shared" si="0"/>
        <v>5835.5435520241799</v>
      </c>
      <c r="R27" s="33">
        <f t="shared" si="1"/>
        <v>4267.5800000000163</v>
      </c>
      <c r="S27" s="31">
        <f t="shared" si="6"/>
        <v>1.2432821053413009E-2</v>
      </c>
      <c r="T27" s="33">
        <f t="shared" si="2"/>
        <v>1086.104640989106</v>
      </c>
      <c r="U27" s="33">
        <f t="shared" si="7"/>
        <v>5353.6846409891223</v>
      </c>
      <c r="V27" s="125">
        <f t="shared" si="8"/>
        <v>5290.6199999999953</v>
      </c>
      <c r="W27" s="126">
        <f t="shared" si="9"/>
        <v>1.4939659461427099E-2</v>
      </c>
      <c r="X27" s="127">
        <f t="shared" si="10"/>
        <v>2040.2559580628206</v>
      </c>
      <c r="Y27" s="127">
        <f t="shared" si="11"/>
        <v>7330.8759580628157</v>
      </c>
      <c r="Z27" s="125">
        <f t="shared" si="12"/>
        <v>5579.3399999999965</v>
      </c>
      <c r="AA27" s="126">
        <f t="shared" si="13"/>
        <v>1.6205135038870905E-2</v>
      </c>
      <c r="AB27" s="127">
        <f t="shared" si="14"/>
        <v>1863.5164720030216</v>
      </c>
      <c r="AC27" s="127">
        <f t="shared" si="15"/>
        <v>7442.8564720030181</v>
      </c>
      <c r="AD27" s="125">
        <f t="shared" si="16"/>
        <v>5974.9199999999837</v>
      </c>
      <c r="AE27" s="126">
        <f t="shared" si="17"/>
        <v>1.6153195442223583E-2</v>
      </c>
      <c r="AF27" s="127">
        <f t="shared" si="18"/>
        <v>2177.0808374361077</v>
      </c>
      <c r="AG27" s="127">
        <f t="shared" si="19"/>
        <v>8152.0008374360914</v>
      </c>
    </row>
    <row r="28" spans="1:33" ht="27" hidden="1">
      <c r="A28" s="11">
        <v>25</v>
      </c>
      <c r="B28" s="16" t="s">
        <v>49</v>
      </c>
      <c r="C28" s="17" t="s">
        <v>50</v>
      </c>
      <c r="D28" s="21" t="s">
        <v>67</v>
      </c>
      <c r="E28" s="18" t="s">
        <v>49</v>
      </c>
      <c r="F28" s="17" t="s">
        <v>97</v>
      </c>
      <c r="G28" s="17" t="s">
        <v>98</v>
      </c>
      <c r="H28" s="15">
        <v>52071.57</v>
      </c>
      <c r="I28" s="28">
        <v>53133.43</v>
      </c>
      <c r="J28" s="29">
        <v>54106.06</v>
      </c>
      <c r="K28" s="29">
        <v>55229.36</v>
      </c>
      <c r="L28" s="30">
        <f t="shared" si="3"/>
        <v>1061.8600000000006</v>
      </c>
      <c r="M28" s="31">
        <f t="shared" si="4"/>
        <v>2.3277516704203896E-3</v>
      </c>
      <c r="N28" s="30">
        <f t="shared" si="5"/>
        <v>222.95417324688549</v>
      </c>
      <c r="O28" s="29">
        <v>56279.43</v>
      </c>
      <c r="P28" s="29">
        <v>57270.8</v>
      </c>
      <c r="Q28" s="30">
        <f t="shared" si="0"/>
        <v>1284.8141732468862</v>
      </c>
      <c r="R28" s="33">
        <f t="shared" si="1"/>
        <v>972.62999999999738</v>
      </c>
      <c r="S28" s="31">
        <f t="shared" si="6"/>
        <v>2.8335812664744458E-3</v>
      </c>
      <c r="T28" s="33">
        <f t="shared" si="2"/>
        <v>247.53559557529729</v>
      </c>
      <c r="U28" s="33">
        <f t="shared" si="7"/>
        <v>1220.1655955752947</v>
      </c>
      <c r="V28" s="125">
        <f t="shared" si="8"/>
        <v>1123.3000000000029</v>
      </c>
      <c r="W28" s="126">
        <f t="shared" si="9"/>
        <v>3.1719759636906673E-3</v>
      </c>
      <c r="X28" s="127">
        <f t="shared" si="10"/>
        <v>433.18543340704383</v>
      </c>
      <c r="Y28" s="127">
        <f t="shared" si="11"/>
        <v>1556.4854334070467</v>
      </c>
      <c r="Z28" s="125">
        <f t="shared" si="12"/>
        <v>1050.0699999999997</v>
      </c>
      <c r="AA28" s="126">
        <f t="shared" si="13"/>
        <v>3.0499174006723335E-3</v>
      </c>
      <c r="AB28" s="127">
        <f t="shared" si="14"/>
        <v>350.72656295479635</v>
      </c>
      <c r="AC28" s="127">
        <f t="shared" si="15"/>
        <v>1400.7965629547962</v>
      </c>
      <c r="AD28" s="125">
        <f t="shared" si="16"/>
        <v>991.37000000000262</v>
      </c>
      <c r="AE28" s="126">
        <f t="shared" si="17"/>
        <v>2.6801686659498839E-3</v>
      </c>
      <c r="AF28" s="127">
        <f t="shared" si="18"/>
        <v>361.22536030759341</v>
      </c>
      <c r="AG28" s="127">
        <f t="shared" si="19"/>
        <v>1352.5953603075959</v>
      </c>
    </row>
    <row r="29" spans="1:33" ht="27" hidden="1">
      <c r="A29" s="16">
        <v>26</v>
      </c>
      <c r="B29" s="16" t="s">
        <v>83</v>
      </c>
      <c r="C29" s="17" t="s">
        <v>84</v>
      </c>
      <c r="D29" s="21" t="s">
        <v>67</v>
      </c>
      <c r="E29" s="18" t="s">
        <v>83</v>
      </c>
      <c r="F29" s="17" t="s">
        <v>99</v>
      </c>
      <c r="G29" s="17" t="s">
        <v>100</v>
      </c>
      <c r="H29" s="15">
        <v>154489.26</v>
      </c>
      <c r="I29" s="28">
        <v>157194.06</v>
      </c>
      <c r="J29" s="29">
        <v>159615.01</v>
      </c>
      <c r="K29" s="29">
        <v>162350.06</v>
      </c>
      <c r="L29" s="30">
        <f t="shared" si="3"/>
        <v>2704.7999999999884</v>
      </c>
      <c r="M29" s="31">
        <f t="shared" si="4"/>
        <v>5.9293152752274677E-3</v>
      </c>
      <c r="N29" s="30">
        <f t="shared" si="5"/>
        <v>567.91521273818853</v>
      </c>
      <c r="O29" s="29">
        <v>167403.51</v>
      </c>
      <c r="P29" s="29">
        <v>173089.5</v>
      </c>
      <c r="Q29" s="30">
        <f t="shared" si="0"/>
        <v>3272.7152127381769</v>
      </c>
      <c r="R29" s="33">
        <f t="shared" si="1"/>
        <v>2420.9500000000116</v>
      </c>
      <c r="S29" s="31">
        <f t="shared" si="6"/>
        <v>7.0529991539139874E-3</v>
      </c>
      <c r="T29" s="33">
        <f t="shared" si="2"/>
        <v>616.13491266773644</v>
      </c>
      <c r="U29" s="33">
        <f t="shared" si="7"/>
        <v>3037.0849126677481</v>
      </c>
      <c r="V29" s="125">
        <f t="shared" si="8"/>
        <v>2735.0499999999884</v>
      </c>
      <c r="W29" s="126">
        <f t="shared" si="9"/>
        <v>7.7232376564516161E-3</v>
      </c>
      <c r="X29" s="127">
        <f t="shared" si="10"/>
        <v>1054.7349947831631</v>
      </c>
      <c r="Y29" s="127">
        <f t="shared" si="11"/>
        <v>3789.7849947831514</v>
      </c>
      <c r="Z29" s="125">
        <f t="shared" si="12"/>
        <v>5053.4500000000116</v>
      </c>
      <c r="AA29" s="126">
        <f t="shared" si="13"/>
        <v>1.467769299992157E-2</v>
      </c>
      <c r="AB29" s="127">
        <f t="shared" si="14"/>
        <v>1687.8676179339666</v>
      </c>
      <c r="AC29" s="127">
        <f t="shared" si="15"/>
        <v>6741.317617933978</v>
      </c>
      <c r="AD29" s="125">
        <f t="shared" si="16"/>
        <v>5685.9899999999907</v>
      </c>
      <c r="AE29" s="126">
        <f t="shared" si="17"/>
        <v>1.5372073224834639E-2</v>
      </c>
      <c r="AF29" s="127">
        <f t="shared" si="18"/>
        <v>2071.8034502308565</v>
      </c>
      <c r="AG29" s="127">
        <f t="shared" si="19"/>
        <v>7757.7934502308472</v>
      </c>
    </row>
    <row r="30" spans="1:33" ht="27" hidden="1">
      <c r="A30" s="11">
        <v>27</v>
      </c>
      <c r="B30" s="16" t="s">
        <v>83</v>
      </c>
      <c r="C30" s="17" t="s">
        <v>84</v>
      </c>
      <c r="D30" s="21" t="s">
        <v>67</v>
      </c>
      <c r="E30" s="18" t="s">
        <v>83</v>
      </c>
      <c r="F30" s="17" t="s">
        <v>101</v>
      </c>
      <c r="G30" s="17" t="s">
        <v>102</v>
      </c>
      <c r="H30" s="15">
        <v>161042.26999999999</v>
      </c>
      <c r="I30" s="28">
        <v>165659.39000000001</v>
      </c>
      <c r="J30" s="29">
        <v>169814.04</v>
      </c>
      <c r="K30" s="29">
        <v>175801.06</v>
      </c>
      <c r="L30" s="30">
        <f t="shared" si="3"/>
        <v>4617.1200000000244</v>
      </c>
      <c r="M30" s="31">
        <f t="shared" si="4"/>
        <v>1.0121399047455822E-2</v>
      </c>
      <c r="N30" s="30">
        <f t="shared" si="5"/>
        <v>969.43681123845386</v>
      </c>
      <c r="O30" s="29">
        <v>179177.84</v>
      </c>
      <c r="P30" s="29">
        <v>183238.92</v>
      </c>
      <c r="Q30" s="30">
        <f t="shared" si="0"/>
        <v>5586.5568112384781</v>
      </c>
      <c r="R30" s="33">
        <f t="shared" si="1"/>
        <v>4154.6499999999942</v>
      </c>
      <c r="S30" s="31">
        <f t="shared" si="6"/>
        <v>1.2103819961093193E-2</v>
      </c>
      <c r="T30" s="33">
        <f t="shared" si="2"/>
        <v>1057.3638096263844</v>
      </c>
      <c r="U30" s="33">
        <f t="shared" si="7"/>
        <v>5212.0138096263781</v>
      </c>
      <c r="V30" s="125">
        <f t="shared" si="8"/>
        <v>5987.0199999999895</v>
      </c>
      <c r="W30" s="126">
        <f t="shared" si="9"/>
        <v>1.690615466405699E-2</v>
      </c>
      <c r="X30" s="127">
        <f t="shared" si="10"/>
        <v>2308.8131874981113</v>
      </c>
      <c r="Y30" s="127">
        <f t="shared" si="11"/>
        <v>8295.8331874981013</v>
      </c>
      <c r="Z30" s="125">
        <f t="shared" si="12"/>
        <v>3376.7799999999988</v>
      </c>
      <c r="AA30" s="126">
        <f t="shared" si="13"/>
        <v>9.8078224120699779E-3</v>
      </c>
      <c r="AB30" s="127">
        <f t="shared" si="14"/>
        <v>1127.8547556396213</v>
      </c>
      <c r="AC30" s="127">
        <f t="shared" si="15"/>
        <v>4504.6347556396204</v>
      </c>
      <c r="AD30" s="125">
        <f t="shared" si="16"/>
        <v>4061.0800000000163</v>
      </c>
      <c r="AE30" s="126">
        <f t="shared" si="17"/>
        <v>1.0979129251354964E-2</v>
      </c>
      <c r="AF30" s="127">
        <f t="shared" si="18"/>
        <v>1479.7352010227903</v>
      </c>
      <c r="AG30" s="127">
        <f t="shared" si="19"/>
        <v>5540.8152010228068</v>
      </c>
    </row>
    <row r="31" spans="1:33" ht="27" hidden="1">
      <c r="A31" s="16">
        <v>28</v>
      </c>
      <c r="B31" s="16" t="s">
        <v>83</v>
      </c>
      <c r="C31" s="17" t="s">
        <v>84</v>
      </c>
      <c r="D31" s="21" t="s">
        <v>67</v>
      </c>
      <c r="E31" s="18" t="s">
        <v>83</v>
      </c>
      <c r="F31" s="17" t="s">
        <v>103</v>
      </c>
      <c r="G31" s="17" t="s">
        <v>104</v>
      </c>
      <c r="H31" s="15">
        <v>73442.33</v>
      </c>
      <c r="I31" s="28">
        <v>75948.89</v>
      </c>
      <c r="J31" s="29">
        <v>78045.600000000006</v>
      </c>
      <c r="K31" s="29">
        <v>80711.19</v>
      </c>
      <c r="L31" s="30">
        <f t="shared" si="3"/>
        <v>2506.5599999999977</v>
      </c>
      <c r="M31" s="31">
        <f t="shared" si="4"/>
        <v>5.4947443420120569E-3</v>
      </c>
      <c r="N31" s="30">
        <f t="shared" si="5"/>
        <v>526.29161329526721</v>
      </c>
      <c r="O31" s="29">
        <v>83541.789999999994</v>
      </c>
      <c r="P31" s="29">
        <v>86039.42</v>
      </c>
      <c r="Q31" s="30">
        <f t="shared" si="0"/>
        <v>3032.851613295265</v>
      </c>
      <c r="R31" s="33">
        <f t="shared" si="1"/>
        <v>2096.7100000000064</v>
      </c>
      <c r="S31" s="31">
        <f t="shared" si="6"/>
        <v>6.1083846655250913E-3</v>
      </c>
      <c r="T31" s="33">
        <f t="shared" si="2"/>
        <v>533.61541243708768</v>
      </c>
      <c r="U31" s="33">
        <f t="shared" si="7"/>
        <v>2630.3254124370942</v>
      </c>
      <c r="V31" s="125">
        <f t="shared" si="8"/>
        <v>2665.5899999999965</v>
      </c>
      <c r="W31" s="126">
        <f t="shared" si="9"/>
        <v>7.5270964204167835E-3</v>
      </c>
      <c r="X31" s="127">
        <f t="shared" si="10"/>
        <v>1027.9486864020987</v>
      </c>
      <c r="Y31" s="127">
        <f t="shared" si="11"/>
        <v>3693.5386864020952</v>
      </c>
      <c r="Z31" s="125">
        <f t="shared" si="12"/>
        <v>2830.5999999999913</v>
      </c>
      <c r="AA31" s="126">
        <f t="shared" si="13"/>
        <v>8.2214482790129075E-3</v>
      </c>
      <c r="AB31" s="127">
        <f t="shared" si="14"/>
        <v>945.42898006784685</v>
      </c>
      <c r="AC31" s="127">
        <f t="shared" si="15"/>
        <v>3776.0289800678383</v>
      </c>
      <c r="AD31" s="125">
        <f t="shared" si="16"/>
        <v>2497.6300000000047</v>
      </c>
      <c r="AE31" s="126">
        <f t="shared" si="17"/>
        <v>6.7523423798747225E-3</v>
      </c>
      <c r="AF31" s="127">
        <f t="shared" si="18"/>
        <v>910.06112416661176</v>
      </c>
      <c r="AG31" s="127">
        <f t="shared" si="19"/>
        <v>3407.6911241666166</v>
      </c>
    </row>
    <row r="32" spans="1:33" ht="13.5" hidden="1">
      <c r="A32" s="11">
        <v>29</v>
      </c>
      <c r="B32" s="16" t="s">
        <v>105</v>
      </c>
      <c r="C32" s="17" t="s">
        <v>106</v>
      </c>
      <c r="D32" s="20" t="s">
        <v>41</v>
      </c>
      <c r="E32" s="20" t="s">
        <v>105</v>
      </c>
      <c r="F32" s="17" t="s">
        <v>107</v>
      </c>
      <c r="G32" s="17" t="s">
        <v>108</v>
      </c>
      <c r="H32" s="15">
        <v>172140.44</v>
      </c>
      <c r="I32" s="28">
        <v>176423.16</v>
      </c>
      <c r="J32" s="29">
        <v>176769.46</v>
      </c>
      <c r="K32" s="29">
        <v>176920.36</v>
      </c>
      <c r="L32" s="30">
        <f t="shared" si="3"/>
        <v>4282.7200000000012</v>
      </c>
      <c r="M32" s="31">
        <f t="shared" si="4"/>
        <v>9.3883455765758263E-3</v>
      </c>
      <c r="N32" s="30">
        <f t="shared" si="5"/>
        <v>899.22428271890931</v>
      </c>
      <c r="O32" s="29">
        <v>177647.3</v>
      </c>
      <c r="P32" s="29">
        <v>177650.66</v>
      </c>
      <c r="Q32" s="30">
        <f t="shared" si="0"/>
        <v>5181.9442827189105</v>
      </c>
      <c r="R32" s="33">
        <f t="shared" si="1"/>
        <v>346.29999999998836</v>
      </c>
      <c r="S32" s="31">
        <f t="shared" si="6"/>
        <v>1.0088823011628989E-3</v>
      </c>
      <c r="T32" s="33">
        <f t="shared" si="2"/>
        <v>88.133798821466343</v>
      </c>
      <c r="U32" s="33">
        <f t="shared" si="7"/>
        <v>434.43379882145473</v>
      </c>
      <c r="V32" s="125">
        <f t="shared" si="8"/>
        <v>150.89999999999418</v>
      </c>
      <c r="W32" s="126">
        <f t="shared" si="9"/>
        <v>4.2611161125336239E-4</v>
      </c>
      <c r="X32" s="127">
        <f t="shared" si="10"/>
        <v>58.192541530419497</v>
      </c>
      <c r="Y32" s="127">
        <f t="shared" si="11"/>
        <v>209.09254153041368</v>
      </c>
      <c r="Z32" s="125">
        <f t="shared" si="12"/>
        <v>726.94000000000233</v>
      </c>
      <c r="AA32" s="126">
        <f t="shared" si="13"/>
        <v>2.1113896742548151E-3</v>
      </c>
      <c r="AB32" s="127">
        <f t="shared" si="14"/>
        <v>242.80016348849176</v>
      </c>
      <c r="AC32" s="127">
        <f t="shared" si="15"/>
        <v>969.74016348849409</v>
      </c>
      <c r="AD32" s="125">
        <f t="shared" si="16"/>
        <v>3.360000000015134</v>
      </c>
      <c r="AE32" s="126">
        <f t="shared" si="17"/>
        <v>9.0837595626578852E-6</v>
      </c>
      <c r="AF32" s="127">
        <f t="shared" si="18"/>
        <v>1.2242827709522957</v>
      </c>
      <c r="AG32" s="127">
        <f t="shared" si="19"/>
        <v>4.5842827709674294</v>
      </c>
    </row>
    <row r="33" spans="1:33" ht="13.5" hidden="1">
      <c r="A33" s="16">
        <v>30</v>
      </c>
      <c r="B33" s="16" t="s">
        <v>109</v>
      </c>
      <c r="C33" s="17" t="s">
        <v>110</v>
      </c>
      <c r="D33" s="20" t="s">
        <v>41</v>
      </c>
      <c r="E33" s="20" t="s">
        <v>109</v>
      </c>
      <c r="F33" s="17" t="s">
        <v>111</v>
      </c>
      <c r="G33" s="17" t="s">
        <v>112</v>
      </c>
      <c r="H33" s="15">
        <v>246845.9</v>
      </c>
      <c r="I33" s="28">
        <v>250309.64</v>
      </c>
      <c r="J33" s="29">
        <v>253705</v>
      </c>
      <c r="K33" s="29">
        <v>258780.14</v>
      </c>
      <c r="L33" s="30">
        <f t="shared" si="3"/>
        <v>3463.7400000000198</v>
      </c>
      <c r="M33" s="31">
        <f t="shared" si="4"/>
        <v>7.5930222165840706E-3</v>
      </c>
      <c r="N33" s="30">
        <f t="shared" si="5"/>
        <v>727.266577554641</v>
      </c>
      <c r="O33" s="29">
        <v>263221.15999999997</v>
      </c>
      <c r="P33" s="29">
        <v>266194.24</v>
      </c>
      <c r="Q33" s="30">
        <f t="shared" si="0"/>
        <v>4191.0065775546609</v>
      </c>
      <c r="R33" s="33">
        <f t="shared" si="1"/>
        <v>3395.359999999986</v>
      </c>
      <c r="S33" s="31">
        <f t="shared" si="6"/>
        <v>9.8917661278560814E-3</v>
      </c>
      <c r="T33" s="33">
        <f t="shared" si="2"/>
        <v>864.12352054999349</v>
      </c>
      <c r="U33" s="33">
        <f t="shared" si="7"/>
        <v>4259.4835205499794</v>
      </c>
      <c r="V33" s="125">
        <f t="shared" si="8"/>
        <v>5075.140000000014</v>
      </c>
      <c r="W33" s="126">
        <f t="shared" si="9"/>
        <v>1.4331186764323918E-2</v>
      </c>
      <c r="X33" s="127">
        <f t="shared" si="10"/>
        <v>1957.1590140669678</v>
      </c>
      <c r="Y33" s="127">
        <f t="shared" si="11"/>
        <v>7032.2990140669817</v>
      </c>
      <c r="Z33" s="125">
        <f t="shared" si="12"/>
        <v>4441.0199999999604</v>
      </c>
      <c r="AA33" s="126">
        <f t="shared" si="13"/>
        <v>1.289889643046057E-2</v>
      </c>
      <c r="AB33" s="127">
        <f t="shared" si="14"/>
        <v>1483.3141415462744</v>
      </c>
      <c r="AC33" s="127">
        <f t="shared" si="15"/>
        <v>5924.3341415462346</v>
      </c>
      <c r="AD33" s="125">
        <f t="shared" si="16"/>
        <v>2973.0800000000163</v>
      </c>
      <c r="AE33" s="126">
        <f t="shared" si="17"/>
        <v>8.0377213929837526E-3</v>
      </c>
      <c r="AF33" s="127">
        <f t="shared" si="18"/>
        <v>1083.3007799543084</v>
      </c>
      <c r="AG33" s="127">
        <f t="shared" si="19"/>
        <v>4056.3807799543247</v>
      </c>
    </row>
    <row r="34" spans="1:33" ht="27" hidden="1">
      <c r="A34" s="11">
        <v>31</v>
      </c>
      <c r="B34" s="16" t="s">
        <v>49</v>
      </c>
      <c r="C34" s="17" t="s">
        <v>50</v>
      </c>
      <c r="D34" s="18" t="s">
        <v>41</v>
      </c>
      <c r="E34" s="20" t="s">
        <v>49</v>
      </c>
      <c r="F34" s="17" t="s">
        <v>113</v>
      </c>
      <c r="G34" s="17" t="s">
        <v>114</v>
      </c>
      <c r="H34" s="15">
        <v>153165.06</v>
      </c>
      <c r="I34" s="28">
        <v>157167.29999999999</v>
      </c>
      <c r="J34" s="29">
        <v>160735.67999999999</v>
      </c>
      <c r="K34" s="29">
        <v>165598.29</v>
      </c>
      <c r="L34" s="30">
        <f t="shared" si="3"/>
        <v>4002.2399999999907</v>
      </c>
      <c r="M34" s="31">
        <f t="shared" si="4"/>
        <v>8.7734925935841566E-3</v>
      </c>
      <c r="N34" s="30">
        <f t="shared" si="5"/>
        <v>840.33310449175247</v>
      </c>
      <c r="O34" s="29">
        <v>170388.48000000001</v>
      </c>
      <c r="P34" s="29">
        <v>174538.68</v>
      </c>
      <c r="Q34" s="30">
        <f t="shared" si="0"/>
        <v>4842.5731044917429</v>
      </c>
      <c r="R34" s="33">
        <f t="shared" si="1"/>
        <v>3568.3800000000047</v>
      </c>
      <c r="S34" s="31">
        <f t="shared" si="6"/>
        <v>1.0395828546993332E-2</v>
      </c>
      <c r="T34" s="33">
        <f t="shared" si="2"/>
        <v>908.15733479224673</v>
      </c>
      <c r="U34" s="33">
        <f t="shared" si="7"/>
        <v>4476.5373347922514</v>
      </c>
      <c r="V34" s="125">
        <f t="shared" si="8"/>
        <v>4862.6100000000151</v>
      </c>
      <c r="W34" s="126">
        <f t="shared" si="9"/>
        <v>1.3731044280959569E-2</v>
      </c>
      <c r="X34" s="127">
        <f t="shared" si="10"/>
        <v>1875.1996976225644</v>
      </c>
      <c r="Y34" s="127">
        <f t="shared" si="11"/>
        <v>6737.8096976225797</v>
      </c>
      <c r="Z34" s="125">
        <f t="shared" si="12"/>
        <v>4790.1900000000023</v>
      </c>
      <c r="AA34" s="126">
        <f t="shared" si="13"/>
        <v>1.3913057066220934E-2</v>
      </c>
      <c r="AB34" s="127">
        <f t="shared" si="14"/>
        <v>1599.9379799446108</v>
      </c>
      <c r="AC34" s="127">
        <f t="shared" si="15"/>
        <v>6390.1279799446129</v>
      </c>
      <c r="AD34" s="125">
        <f t="shared" si="16"/>
        <v>4150.1999999999825</v>
      </c>
      <c r="AE34" s="126">
        <f t="shared" si="17"/>
        <v>1.1220065159753807E-2</v>
      </c>
      <c r="AF34" s="127">
        <f t="shared" si="18"/>
        <v>1512.2078440426519</v>
      </c>
      <c r="AG34" s="127">
        <f t="shared" si="19"/>
        <v>5662.4078440426347</v>
      </c>
    </row>
    <row r="35" spans="1:33" ht="27" hidden="1">
      <c r="A35" s="16">
        <v>32</v>
      </c>
      <c r="B35" s="16" t="s">
        <v>49</v>
      </c>
      <c r="C35" s="17" t="s">
        <v>50</v>
      </c>
      <c r="D35" s="21" t="s">
        <v>67</v>
      </c>
      <c r="E35" s="20" t="s">
        <v>49</v>
      </c>
      <c r="F35" s="17" t="s">
        <v>115</v>
      </c>
      <c r="G35" s="17" t="s">
        <v>116</v>
      </c>
      <c r="H35" s="15">
        <v>48412</v>
      </c>
      <c r="I35" s="28">
        <v>49330</v>
      </c>
      <c r="J35" s="29">
        <v>50176.5</v>
      </c>
      <c r="K35" s="29">
        <v>51200.5</v>
      </c>
      <c r="L35" s="30">
        <f t="shared" si="3"/>
        <v>918</v>
      </c>
      <c r="M35" s="31">
        <f t="shared" si="4"/>
        <v>2.0123896120448235E-3</v>
      </c>
      <c r="N35" s="30">
        <f t="shared" si="5"/>
        <v>192.74850831620057</v>
      </c>
      <c r="O35" s="29">
        <v>52100</v>
      </c>
      <c r="P35" s="29">
        <v>52984</v>
      </c>
      <c r="Q35" s="30">
        <f t="shared" si="0"/>
        <v>1110.7485083162005</v>
      </c>
      <c r="R35" s="33">
        <f t="shared" si="1"/>
        <v>846.5</v>
      </c>
      <c r="S35" s="31">
        <f t="shared" si="6"/>
        <v>2.4661243659671456E-3</v>
      </c>
      <c r="T35" s="33">
        <f t="shared" si="2"/>
        <v>215.43534710474663</v>
      </c>
      <c r="U35" s="33">
        <f t="shared" si="7"/>
        <v>1061.9353471047466</v>
      </c>
      <c r="V35" s="125">
        <f t="shared" si="8"/>
        <v>1024</v>
      </c>
      <c r="W35" s="126">
        <f t="shared" si="9"/>
        <v>2.89157249783605E-3</v>
      </c>
      <c r="X35" s="127">
        <f t="shared" si="10"/>
        <v>394.8917331156519</v>
      </c>
      <c r="Y35" s="127">
        <f t="shared" si="11"/>
        <v>1418.891733115652</v>
      </c>
      <c r="Z35" s="125">
        <f t="shared" si="12"/>
        <v>899.5</v>
      </c>
      <c r="AA35" s="126">
        <f t="shared" si="13"/>
        <v>2.6125884006825877E-3</v>
      </c>
      <c r="AB35" s="127">
        <f t="shared" si="14"/>
        <v>300.43572654950566</v>
      </c>
      <c r="AC35" s="127">
        <f t="shared" si="15"/>
        <v>1199.9357265495057</v>
      </c>
      <c r="AD35" s="125">
        <f t="shared" si="16"/>
        <v>884</v>
      </c>
      <c r="AE35" s="126">
        <f t="shared" si="17"/>
        <v>2.3898938849266078E-3</v>
      </c>
      <c r="AF35" s="127">
        <f t="shared" si="18"/>
        <v>322.10296711814129</v>
      </c>
      <c r="AG35" s="127">
        <f t="shared" si="19"/>
        <v>1206.1029671181414</v>
      </c>
    </row>
    <row r="36" spans="1:33" ht="27" hidden="1">
      <c r="A36" s="11">
        <v>33</v>
      </c>
      <c r="B36" s="16" t="s">
        <v>49</v>
      </c>
      <c r="C36" s="17" t="s">
        <v>50</v>
      </c>
      <c r="D36" s="21" t="s">
        <v>67</v>
      </c>
      <c r="E36" s="20" t="s">
        <v>49</v>
      </c>
      <c r="F36" s="17" t="s">
        <v>117</v>
      </c>
      <c r="G36" s="17" t="s">
        <v>118</v>
      </c>
      <c r="H36" s="15">
        <v>246518.18</v>
      </c>
      <c r="I36" s="28">
        <v>254959.87</v>
      </c>
      <c r="J36" s="29">
        <v>261583.69</v>
      </c>
      <c r="K36" s="29">
        <v>269117.27</v>
      </c>
      <c r="L36" s="30">
        <f t="shared" si="3"/>
        <v>8441.6900000000023</v>
      </c>
      <c r="M36" s="31">
        <f t="shared" si="4"/>
        <v>1.8505413141724044E-2</v>
      </c>
      <c r="N36" s="30">
        <f t="shared" si="5"/>
        <v>1772.4653106402918</v>
      </c>
      <c r="O36" s="29">
        <v>276022.11</v>
      </c>
      <c r="P36" s="29">
        <v>282835.17</v>
      </c>
      <c r="Q36" s="30">
        <f t="shared" si="0"/>
        <v>10214.155310640293</v>
      </c>
      <c r="R36" s="33">
        <f t="shared" si="1"/>
        <v>6623.820000000007</v>
      </c>
      <c r="S36" s="31">
        <f t="shared" si="6"/>
        <v>1.9297299347643848E-2</v>
      </c>
      <c r="T36" s="33">
        <f t="shared" si="2"/>
        <v>1685.7707747895624</v>
      </c>
      <c r="U36" s="33">
        <f t="shared" si="7"/>
        <v>8309.590774789569</v>
      </c>
      <c r="V36" s="125">
        <f t="shared" si="8"/>
        <v>7533.5800000000163</v>
      </c>
      <c r="W36" s="126">
        <f t="shared" si="9"/>
        <v>2.1273332752195076E-2</v>
      </c>
      <c r="X36" s="127">
        <f t="shared" si="10"/>
        <v>2905.2231081693549</v>
      </c>
      <c r="Y36" s="127">
        <f t="shared" si="11"/>
        <v>10438.803108169372</v>
      </c>
      <c r="Z36" s="125">
        <f t="shared" si="12"/>
        <v>6904.8399999999674</v>
      </c>
      <c r="AA36" s="126">
        <f t="shared" si="13"/>
        <v>2.0055036011749943E-2</v>
      </c>
      <c r="AB36" s="127">
        <f t="shared" si="14"/>
        <v>2306.2374898366638</v>
      </c>
      <c r="AC36" s="127">
        <f t="shared" si="15"/>
        <v>9211.0774898366308</v>
      </c>
      <c r="AD36" s="125">
        <f t="shared" si="16"/>
        <v>6813.0599999999977</v>
      </c>
      <c r="AE36" s="126">
        <f t="shared" si="17"/>
        <v>1.8419106823119986E-2</v>
      </c>
      <c r="AF36" s="127">
        <f t="shared" si="18"/>
        <v>2482.4738022103202</v>
      </c>
      <c r="AG36" s="127">
        <f t="shared" si="19"/>
        <v>9295.5338022103169</v>
      </c>
    </row>
    <row r="37" spans="1:33" ht="27" hidden="1">
      <c r="A37" s="16">
        <v>34</v>
      </c>
      <c r="B37" s="16" t="s">
        <v>49</v>
      </c>
      <c r="C37" s="17" t="s">
        <v>50</v>
      </c>
      <c r="D37" s="21" t="s">
        <v>67</v>
      </c>
      <c r="E37" s="20" t="s">
        <v>49</v>
      </c>
      <c r="F37" s="17" t="s">
        <v>119</v>
      </c>
      <c r="G37" s="17" t="s">
        <v>120</v>
      </c>
      <c r="H37" s="15">
        <v>170657.08</v>
      </c>
      <c r="I37" s="28">
        <v>174657.74</v>
      </c>
      <c r="J37" s="29">
        <v>178461.8</v>
      </c>
      <c r="K37" s="29">
        <v>183475.08</v>
      </c>
      <c r="L37" s="30">
        <f t="shared" si="3"/>
        <v>4000.6600000000035</v>
      </c>
      <c r="M37" s="31">
        <f t="shared" si="4"/>
        <v>8.7700290036200994E-3</v>
      </c>
      <c r="N37" s="30">
        <f t="shared" si="5"/>
        <v>840.00135869312828</v>
      </c>
      <c r="O37" s="29">
        <v>188363.82</v>
      </c>
      <c r="P37" s="29">
        <v>192396.04</v>
      </c>
      <c r="Q37" s="30">
        <f t="shared" si="0"/>
        <v>4840.6613586931317</v>
      </c>
      <c r="R37" s="33">
        <f t="shared" si="1"/>
        <v>3804.0599999999977</v>
      </c>
      <c r="S37" s="31">
        <f t="shared" si="6"/>
        <v>1.1082439522269314E-2</v>
      </c>
      <c r="T37" s="33">
        <f t="shared" si="2"/>
        <v>968.13820024486949</v>
      </c>
      <c r="U37" s="33">
        <f t="shared" si="7"/>
        <v>4772.1982002448676</v>
      </c>
      <c r="V37" s="125">
        <f t="shared" si="8"/>
        <v>5013.2799999999988</v>
      </c>
      <c r="W37" s="126">
        <f t="shared" si="9"/>
        <v>1.4156506417921396E-2</v>
      </c>
      <c r="X37" s="127">
        <f t="shared" si="10"/>
        <v>1933.3035427676123</v>
      </c>
      <c r="Y37" s="127">
        <f t="shared" si="11"/>
        <v>6946.5835427676111</v>
      </c>
      <c r="Z37" s="125">
        <f t="shared" si="12"/>
        <v>4888.7400000000198</v>
      </c>
      <c r="AA37" s="126">
        <f t="shared" si="13"/>
        <v>1.4199294516901662E-2</v>
      </c>
      <c r="AB37" s="127">
        <f t="shared" si="14"/>
        <v>1632.8539786677445</v>
      </c>
      <c r="AC37" s="127">
        <f t="shared" si="15"/>
        <v>6521.5939786677645</v>
      </c>
      <c r="AD37" s="125">
        <f t="shared" si="16"/>
        <v>4032.2200000000012</v>
      </c>
      <c r="AE37" s="126">
        <f t="shared" si="17"/>
        <v>1.090110624511173E-2</v>
      </c>
      <c r="AF37" s="127">
        <f t="shared" si="18"/>
        <v>1469.2194865080453</v>
      </c>
      <c r="AG37" s="127">
        <f t="shared" si="19"/>
        <v>5501.4394865080467</v>
      </c>
    </row>
    <row r="38" spans="1:33" ht="24" hidden="1" customHeight="1">
      <c r="A38" s="11">
        <v>35</v>
      </c>
      <c r="B38" s="16" t="s">
        <v>49</v>
      </c>
      <c r="C38" s="17" t="s">
        <v>50</v>
      </c>
      <c r="D38" s="18" t="s">
        <v>121</v>
      </c>
      <c r="E38" s="20" t="s">
        <v>49</v>
      </c>
      <c r="F38" s="17" t="s">
        <v>122</v>
      </c>
      <c r="G38" s="17" t="s">
        <v>123</v>
      </c>
      <c r="H38" s="15">
        <v>46084.9</v>
      </c>
      <c r="I38" s="28">
        <v>48255.9</v>
      </c>
      <c r="J38" s="29">
        <v>50034.2</v>
      </c>
      <c r="K38" s="29">
        <v>52501</v>
      </c>
      <c r="L38" s="30">
        <f t="shared" si="3"/>
        <v>2171</v>
      </c>
      <c r="M38" s="31">
        <f t="shared" si="4"/>
        <v>4.759147982297725E-3</v>
      </c>
      <c r="N38" s="30">
        <f t="shared" si="5"/>
        <v>455.835524569141</v>
      </c>
      <c r="O38" s="29">
        <v>54907.4</v>
      </c>
      <c r="P38" s="29">
        <v>57505.4</v>
      </c>
      <c r="Q38" s="30">
        <f t="shared" si="0"/>
        <v>2626.8355245691409</v>
      </c>
      <c r="R38" s="33">
        <f t="shared" si="1"/>
        <v>1778.2999999999956</v>
      </c>
      <c r="S38" s="31">
        <f t="shared" si="6"/>
        <v>5.1807548257523503E-3</v>
      </c>
      <c r="T38" s="33">
        <f t="shared" si="2"/>
        <v>452.57965476239815</v>
      </c>
      <c r="U38" s="33">
        <f t="shared" si="7"/>
        <v>2230.8796547623938</v>
      </c>
      <c r="V38" s="125">
        <f t="shared" si="8"/>
        <v>2466.8000000000029</v>
      </c>
      <c r="W38" s="126">
        <f t="shared" si="9"/>
        <v>6.9657529664667742E-3</v>
      </c>
      <c r="X38" s="127">
        <f t="shared" si="10"/>
        <v>951.28801489227658</v>
      </c>
      <c r="Y38" s="127">
        <f t="shared" si="11"/>
        <v>3418.0880148922797</v>
      </c>
      <c r="Z38" s="125">
        <f t="shared" si="12"/>
        <v>2406.4000000000015</v>
      </c>
      <c r="AA38" s="126">
        <f t="shared" si="13"/>
        <v>6.9893637881073738E-3</v>
      </c>
      <c r="AB38" s="127">
        <f t="shared" si="14"/>
        <v>803.74489423983425</v>
      </c>
      <c r="AC38" s="127">
        <f t="shared" si="15"/>
        <v>3210.1448942398356</v>
      </c>
      <c r="AD38" s="125">
        <f t="shared" si="16"/>
        <v>2598</v>
      </c>
      <c r="AE38" s="126">
        <f t="shared" si="17"/>
        <v>7.0236926618091932E-3</v>
      </c>
      <c r="AF38" s="127">
        <f t="shared" si="18"/>
        <v>946.63292824992197</v>
      </c>
      <c r="AG38" s="127">
        <f t="shared" si="19"/>
        <v>3544.6329282499219</v>
      </c>
    </row>
    <row r="39" spans="1:33" ht="27" hidden="1">
      <c r="A39" s="16">
        <v>36</v>
      </c>
      <c r="B39" s="16" t="s">
        <v>39</v>
      </c>
      <c r="C39" s="17" t="s">
        <v>40</v>
      </c>
      <c r="D39" s="18" t="s">
        <v>121</v>
      </c>
      <c r="E39" s="18" t="s">
        <v>124</v>
      </c>
      <c r="F39" s="17" t="s">
        <v>125</v>
      </c>
      <c r="G39" s="17" t="s">
        <v>126</v>
      </c>
      <c r="H39" s="15">
        <v>6233.3</v>
      </c>
      <c r="I39" s="28">
        <v>6602.6</v>
      </c>
      <c r="J39" s="29">
        <v>6888.9</v>
      </c>
      <c r="K39" s="29">
        <v>7264</v>
      </c>
      <c r="L39" s="30">
        <f t="shared" si="3"/>
        <v>369.30000000000018</v>
      </c>
      <c r="M39" s="31">
        <f t="shared" si="4"/>
        <v>8.0955935046639837E-4</v>
      </c>
      <c r="N39" s="30">
        <f t="shared" si="5"/>
        <v>77.540331286680725</v>
      </c>
      <c r="O39" s="29">
        <v>7601.7</v>
      </c>
      <c r="P39" s="29">
        <v>7916.5</v>
      </c>
      <c r="Q39" s="30">
        <f t="shared" si="0"/>
        <v>446.84033128668091</v>
      </c>
      <c r="R39" s="33">
        <f t="shared" si="1"/>
        <v>286.29999999999927</v>
      </c>
      <c r="S39" s="31">
        <f t="shared" si="6"/>
        <v>8.3408317303767512E-4</v>
      </c>
      <c r="T39" s="33">
        <f t="shared" si="2"/>
        <v>72.863721058580992</v>
      </c>
      <c r="U39" s="33">
        <f t="shared" si="7"/>
        <v>359.16372105858028</v>
      </c>
      <c r="V39" s="125">
        <f t="shared" si="8"/>
        <v>375.10000000000036</v>
      </c>
      <c r="W39" s="126">
        <f t="shared" si="9"/>
        <v>1.0592078554084994E-3</v>
      </c>
      <c r="X39" s="127">
        <f t="shared" si="10"/>
        <v>144.65223544109489</v>
      </c>
      <c r="Y39" s="127">
        <f t="shared" si="11"/>
        <v>519.75223544109531</v>
      </c>
      <c r="Z39" s="125">
        <f t="shared" si="12"/>
        <v>337.69999999999982</v>
      </c>
      <c r="AA39" s="126">
        <f t="shared" si="13"/>
        <v>9.8084613997833172E-4</v>
      </c>
      <c r="AB39" s="127">
        <f t="shared" si="14"/>
        <v>112.79282363064816</v>
      </c>
      <c r="AC39" s="127">
        <f t="shared" si="15"/>
        <v>450.49282363064799</v>
      </c>
      <c r="AD39" s="125">
        <f t="shared" si="16"/>
        <v>314.80000000000018</v>
      </c>
      <c r="AE39" s="126">
        <f t="shared" si="17"/>
        <v>8.510617590213762E-4</v>
      </c>
      <c r="AF39" s="127">
        <f t="shared" si="18"/>
        <v>114.70363580179971</v>
      </c>
      <c r="AG39" s="127">
        <f t="shared" si="19"/>
        <v>429.50363580179987</v>
      </c>
    </row>
    <row r="40" spans="1:33" ht="27" hidden="1">
      <c r="A40" s="11">
        <v>37</v>
      </c>
      <c r="B40" s="16" t="s">
        <v>49</v>
      </c>
      <c r="C40" s="17" t="s">
        <v>50</v>
      </c>
      <c r="D40" s="18" t="s">
        <v>121</v>
      </c>
      <c r="E40" s="20" t="s">
        <v>49</v>
      </c>
      <c r="F40" s="17" t="s">
        <v>128</v>
      </c>
      <c r="G40" s="17" t="s">
        <v>129</v>
      </c>
      <c r="H40" s="15">
        <v>29939.7</v>
      </c>
      <c r="I40" s="28">
        <v>32471.599999999999</v>
      </c>
      <c r="J40" s="29">
        <v>34300.699999999997</v>
      </c>
      <c r="K40" s="29">
        <v>35839.9</v>
      </c>
      <c r="L40" s="30">
        <f t="shared" si="3"/>
        <v>2531.8999999999978</v>
      </c>
      <c r="M40" s="31">
        <f t="shared" si="4"/>
        <v>5.5502933101702441E-3</v>
      </c>
      <c r="N40" s="30">
        <f t="shared" si="5"/>
        <v>531.61214401501934</v>
      </c>
      <c r="O40" s="29">
        <v>36602.300000000003</v>
      </c>
      <c r="P40" s="29">
        <v>38869.5</v>
      </c>
      <c r="Q40" s="30">
        <f t="shared" si="0"/>
        <v>3063.5121440150169</v>
      </c>
      <c r="R40" s="33">
        <f t="shared" si="1"/>
        <v>1829.0999999999985</v>
      </c>
      <c r="S40" s="31">
        <f t="shared" si="6"/>
        <v>5.3287514208984086E-3</v>
      </c>
      <c r="T40" s="33">
        <f t="shared" si="2"/>
        <v>465.50832060164419</v>
      </c>
      <c r="U40" s="33">
        <f t="shared" si="7"/>
        <v>2294.6083206016428</v>
      </c>
      <c r="V40" s="125">
        <f t="shared" si="8"/>
        <v>1539.2000000000044</v>
      </c>
      <c r="W40" s="126">
        <f t="shared" si="9"/>
        <v>4.3463949108098251E-3</v>
      </c>
      <c r="X40" s="127">
        <f t="shared" si="10"/>
        <v>593.57163633946595</v>
      </c>
      <c r="Y40" s="127">
        <f t="shared" si="11"/>
        <v>2132.7716363394702</v>
      </c>
      <c r="Z40" s="125">
        <f t="shared" si="12"/>
        <v>762.40000000000146</v>
      </c>
      <c r="AA40" s="126">
        <f t="shared" si="13"/>
        <v>2.214382875686947E-3</v>
      </c>
      <c r="AB40" s="127">
        <f t="shared" si="14"/>
        <v>254.64391097425636</v>
      </c>
      <c r="AC40" s="127">
        <f t="shared" si="15"/>
        <v>1017.0439109742579</v>
      </c>
      <c r="AD40" s="125">
        <f t="shared" si="16"/>
        <v>2267.1999999999971</v>
      </c>
      <c r="AE40" s="126">
        <f t="shared" si="17"/>
        <v>6.1293749048705864E-3</v>
      </c>
      <c r="AF40" s="127">
        <f t="shared" si="18"/>
        <v>826.09937449123197</v>
      </c>
      <c r="AG40" s="127">
        <f t="shared" si="19"/>
        <v>3093.2993744912292</v>
      </c>
    </row>
    <row r="41" spans="1:33" ht="27" hidden="1">
      <c r="A41" s="16">
        <v>38</v>
      </c>
      <c r="B41" s="16" t="s">
        <v>49</v>
      </c>
      <c r="C41" s="17" t="s">
        <v>50</v>
      </c>
      <c r="D41" s="18" t="s">
        <v>121</v>
      </c>
      <c r="E41" s="20" t="s">
        <v>49</v>
      </c>
      <c r="F41" s="17" t="s">
        <v>130</v>
      </c>
      <c r="G41" s="17" t="s">
        <v>131</v>
      </c>
      <c r="H41" s="15">
        <v>12291.1</v>
      </c>
      <c r="I41" s="28">
        <v>12945.8</v>
      </c>
      <c r="J41" s="29">
        <v>13590.3</v>
      </c>
      <c r="K41" s="29">
        <v>14571.6</v>
      </c>
      <c r="L41" s="30">
        <f t="shared" si="3"/>
        <v>654.69999999999891</v>
      </c>
      <c r="M41" s="31">
        <f t="shared" si="4"/>
        <v>1.4351976895487404E-3</v>
      </c>
      <c r="N41" s="30">
        <f t="shared" si="5"/>
        <v>137.46454073487615</v>
      </c>
      <c r="O41" s="29">
        <v>15251.3</v>
      </c>
      <c r="P41" s="29">
        <v>16070.7</v>
      </c>
      <c r="Q41" s="30">
        <f t="shared" si="0"/>
        <v>792.16454073487512</v>
      </c>
      <c r="R41" s="33">
        <f t="shared" si="1"/>
        <v>644.5</v>
      </c>
      <c r="S41" s="31">
        <f t="shared" si="6"/>
        <v>1.8776339679454524E-3</v>
      </c>
      <c r="T41" s="33">
        <f t="shared" si="2"/>
        <v>164.02608530302328</v>
      </c>
      <c r="U41" s="33">
        <f t="shared" si="7"/>
        <v>808.52608530302325</v>
      </c>
      <c r="V41" s="125">
        <f t="shared" si="8"/>
        <v>981.30000000000109</v>
      </c>
      <c r="W41" s="126">
        <f t="shared" si="9"/>
        <v>2.7709961837173035E-3</v>
      </c>
      <c r="X41" s="127">
        <f t="shared" si="10"/>
        <v>378.42505635389608</v>
      </c>
      <c r="Y41" s="127">
        <f t="shared" si="11"/>
        <v>1359.7250563538971</v>
      </c>
      <c r="Z41" s="125">
        <f t="shared" si="12"/>
        <v>679.69999999999891</v>
      </c>
      <c r="AA41" s="126">
        <f t="shared" si="13"/>
        <v>1.9741815852628705E-3</v>
      </c>
      <c r="AB41" s="127">
        <f t="shared" si="14"/>
        <v>227.02186029538487</v>
      </c>
      <c r="AC41" s="127">
        <f t="shared" si="15"/>
        <v>906.72186029538375</v>
      </c>
      <c r="AD41" s="125">
        <f t="shared" si="16"/>
        <v>819.40000000000146</v>
      </c>
      <c r="AE41" s="126">
        <f t="shared" si="17"/>
        <v>2.2152477933358211E-3</v>
      </c>
      <c r="AF41" s="127">
        <f t="shared" si="18"/>
        <v>298.56467336720073</v>
      </c>
      <c r="AG41" s="127">
        <f t="shared" si="19"/>
        <v>1117.9646733672021</v>
      </c>
    </row>
    <row r="42" spans="1:33" ht="27" hidden="1">
      <c r="A42" s="11">
        <v>39</v>
      </c>
      <c r="B42" s="16" t="s">
        <v>49</v>
      </c>
      <c r="C42" s="17" t="s">
        <v>50</v>
      </c>
      <c r="D42" s="18" t="s">
        <v>121</v>
      </c>
      <c r="E42" s="20" t="s">
        <v>49</v>
      </c>
      <c r="F42" s="17" t="s">
        <v>132</v>
      </c>
      <c r="G42" s="17" t="s">
        <v>133</v>
      </c>
      <c r="H42" s="15">
        <v>12209.8</v>
      </c>
      <c r="I42" s="28">
        <v>12809.9</v>
      </c>
      <c r="J42" s="29">
        <v>13455.5</v>
      </c>
      <c r="K42" s="29">
        <v>13814</v>
      </c>
      <c r="L42" s="30">
        <f t="shared" si="3"/>
        <v>600.10000000000036</v>
      </c>
      <c r="M42" s="31">
        <f t="shared" si="4"/>
        <v>1.3155065426885613E-3</v>
      </c>
      <c r="N42" s="30">
        <f t="shared" si="5"/>
        <v>126.00041376966452</v>
      </c>
      <c r="O42" s="29">
        <v>14107.3</v>
      </c>
      <c r="P42" s="29">
        <v>14450.5</v>
      </c>
      <c r="Q42" s="30">
        <f t="shared" si="0"/>
        <v>726.1004137696649</v>
      </c>
      <c r="R42" s="33">
        <f t="shared" si="1"/>
        <v>645.60000000000036</v>
      </c>
      <c r="S42" s="31">
        <f t="shared" si="6"/>
        <v>1.8808386186277498E-3</v>
      </c>
      <c r="T42" s="33">
        <f t="shared" si="2"/>
        <v>164.30603672867633</v>
      </c>
      <c r="U42" s="33">
        <f t="shared" si="7"/>
        <v>809.90603672867667</v>
      </c>
      <c r="V42" s="125">
        <f t="shared" si="8"/>
        <v>358.5</v>
      </c>
      <c r="W42" s="126">
        <f t="shared" si="9"/>
        <v>1.0123327543693592E-3</v>
      </c>
      <c r="X42" s="127">
        <f t="shared" si="10"/>
        <v>138.25067023629023</v>
      </c>
      <c r="Y42" s="127">
        <f t="shared" si="11"/>
        <v>496.75067023629026</v>
      </c>
      <c r="Z42" s="125">
        <f t="shared" si="12"/>
        <v>293.29999999999927</v>
      </c>
      <c r="AA42" s="126">
        <f t="shared" si="13"/>
        <v>8.518868014677054E-4</v>
      </c>
      <c r="AB42" s="127">
        <f t="shared" si="14"/>
        <v>97.963089046103164</v>
      </c>
      <c r="AC42" s="127">
        <f t="shared" si="15"/>
        <v>391.26308904610244</v>
      </c>
      <c r="AD42" s="125">
        <f t="shared" si="16"/>
        <v>343.20000000000073</v>
      </c>
      <c r="AE42" s="126">
        <f t="shared" si="17"/>
        <v>9.278411553244497E-4</v>
      </c>
      <c r="AF42" s="127">
        <f t="shared" si="18"/>
        <v>125.05174017527865</v>
      </c>
      <c r="AG42" s="127">
        <f t="shared" si="19"/>
        <v>468.25174017527939</v>
      </c>
    </row>
    <row r="43" spans="1:33" ht="27" hidden="1">
      <c r="A43" s="16">
        <v>40</v>
      </c>
      <c r="B43" s="16" t="s">
        <v>49</v>
      </c>
      <c r="C43" s="17" t="s">
        <v>50</v>
      </c>
      <c r="D43" s="18" t="s">
        <v>121</v>
      </c>
      <c r="E43" s="20" t="s">
        <v>49</v>
      </c>
      <c r="F43" s="17" t="s">
        <v>134</v>
      </c>
      <c r="G43" s="17" t="s">
        <v>135</v>
      </c>
      <c r="H43" s="15">
        <v>35121.800000000003</v>
      </c>
      <c r="I43" s="28">
        <v>36738</v>
      </c>
      <c r="J43" s="29">
        <v>38302.5</v>
      </c>
      <c r="K43" s="29">
        <v>39697.800000000003</v>
      </c>
      <c r="L43" s="30">
        <f t="shared" si="3"/>
        <v>1616.1999999999971</v>
      </c>
      <c r="M43" s="31">
        <f t="shared" si="4"/>
        <v>3.5429456328832658E-3</v>
      </c>
      <c r="N43" s="30">
        <f t="shared" si="5"/>
        <v>339.34655679808583</v>
      </c>
      <c r="O43" s="29">
        <v>40707.4</v>
      </c>
      <c r="P43" s="29">
        <v>41797.699999999997</v>
      </c>
      <c r="Q43" s="30">
        <f t="shared" si="0"/>
        <v>1955.546556798083</v>
      </c>
      <c r="R43" s="33">
        <f t="shared" si="1"/>
        <v>1564.5</v>
      </c>
      <c r="S43" s="31">
        <f t="shared" si="6"/>
        <v>4.5578872658660358E-3</v>
      </c>
      <c r="T43" s="33">
        <f t="shared" si="2"/>
        <v>398.16727766730787</v>
      </c>
      <c r="U43" s="33">
        <f t="shared" si="7"/>
        <v>1962.6672776673079</v>
      </c>
      <c r="V43" s="125">
        <f t="shared" si="8"/>
        <v>1395.3000000000029</v>
      </c>
      <c r="W43" s="126">
        <f t="shared" si="9"/>
        <v>3.9400499084283683E-3</v>
      </c>
      <c r="X43" s="127">
        <f t="shared" si="10"/>
        <v>538.07855001588894</v>
      </c>
      <c r="Y43" s="127">
        <f t="shared" si="11"/>
        <v>1933.378550015892</v>
      </c>
      <c r="Z43" s="125">
        <f t="shared" si="12"/>
        <v>1009.5999999999985</v>
      </c>
      <c r="AA43" s="126">
        <f t="shared" si="13"/>
        <v>2.9323727063136594E-3</v>
      </c>
      <c r="AB43" s="127">
        <f t="shared" si="14"/>
        <v>337.20946028280213</v>
      </c>
      <c r="AC43" s="127">
        <f t="shared" si="15"/>
        <v>1346.8094602828007</v>
      </c>
      <c r="AD43" s="125">
        <f t="shared" si="16"/>
        <v>1090.2999999999956</v>
      </c>
      <c r="AE43" s="126">
        <f t="shared" si="17"/>
        <v>2.9476259080717985E-3</v>
      </c>
      <c r="AF43" s="127">
        <f t="shared" si="18"/>
        <v>397.27247177478284</v>
      </c>
      <c r="AG43" s="127">
        <f t="shared" si="19"/>
        <v>1487.5724717747785</v>
      </c>
    </row>
    <row r="44" spans="1:33" ht="27" hidden="1">
      <c r="A44" s="11">
        <v>41</v>
      </c>
      <c r="B44" s="16" t="s">
        <v>49</v>
      </c>
      <c r="C44" s="17" t="s">
        <v>50</v>
      </c>
      <c r="D44" s="18" t="s">
        <v>121</v>
      </c>
      <c r="E44" s="20" t="s">
        <v>49</v>
      </c>
      <c r="F44" s="17" t="s">
        <v>136</v>
      </c>
      <c r="G44" s="17" t="s">
        <v>137</v>
      </c>
      <c r="H44" s="15">
        <v>1157.5999999999999</v>
      </c>
      <c r="I44" s="28">
        <v>1215.3</v>
      </c>
      <c r="J44" s="29">
        <v>1266.9000000000001</v>
      </c>
      <c r="K44" s="29">
        <v>1323</v>
      </c>
      <c r="L44" s="30">
        <f t="shared" si="3"/>
        <v>57.700000000000045</v>
      </c>
      <c r="M44" s="31">
        <f t="shared" si="4"/>
        <v>1.2648679805554074E-4</v>
      </c>
      <c r="N44" s="30">
        <f t="shared" si="5"/>
        <v>12.115020620745948</v>
      </c>
      <c r="O44" s="29">
        <v>1378.1</v>
      </c>
      <c r="P44" s="29">
        <v>1431.4</v>
      </c>
      <c r="Q44" s="30">
        <f t="shared" si="0"/>
        <v>69.815020620745997</v>
      </c>
      <c r="R44" s="33">
        <f t="shared" si="1"/>
        <v>51.600000000000136</v>
      </c>
      <c r="S44" s="31">
        <f t="shared" si="6"/>
        <v>1.5032725018772008E-4</v>
      </c>
      <c r="T44" s="33">
        <f t="shared" si="2"/>
        <v>13.132266876083822</v>
      </c>
      <c r="U44" s="33">
        <f t="shared" si="7"/>
        <v>64.732266876083955</v>
      </c>
      <c r="V44" s="125">
        <f t="shared" si="8"/>
        <v>56.099999999999909</v>
      </c>
      <c r="W44" s="126">
        <f t="shared" si="9"/>
        <v>1.5841525110215054E-4</v>
      </c>
      <c r="X44" s="127">
        <f t="shared" si="10"/>
        <v>21.634205300574255</v>
      </c>
      <c r="Y44" s="127">
        <f t="shared" si="11"/>
        <v>77.73420530057416</v>
      </c>
      <c r="Z44" s="125">
        <f t="shared" si="12"/>
        <v>55.099999999999909</v>
      </c>
      <c r="AA44" s="126">
        <f t="shared" si="13"/>
        <v>1.6003737729584252E-4</v>
      </c>
      <c r="AB44" s="127">
        <f t="shared" si="14"/>
        <v>18.4035670182076</v>
      </c>
      <c r="AC44" s="127">
        <f t="shared" si="15"/>
        <v>73.503567018207505</v>
      </c>
      <c r="AD44" s="125">
        <f t="shared" si="16"/>
        <v>53.300000000000182</v>
      </c>
      <c r="AE44" s="126">
        <f t="shared" si="17"/>
        <v>1.4409654306175184E-4</v>
      </c>
      <c r="AF44" s="127">
        <f t="shared" si="18"/>
        <v>19.420914193887999</v>
      </c>
      <c r="AG44" s="127">
        <f t="shared" si="19"/>
        <v>72.720914193888177</v>
      </c>
    </row>
    <row r="45" spans="1:33" ht="27" hidden="1">
      <c r="A45" s="16">
        <v>42</v>
      </c>
      <c r="B45" s="16" t="s">
        <v>49</v>
      </c>
      <c r="C45" s="17" t="s">
        <v>50</v>
      </c>
      <c r="D45" s="119" t="s">
        <v>138</v>
      </c>
      <c r="E45" s="20" t="s">
        <v>49</v>
      </c>
      <c r="F45" s="17" t="s">
        <v>139</v>
      </c>
      <c r="G45" s="17" t="s">
        <v>140</v>
      </c>
      <c r="H45" s="15">
        <v>988.3</v>
      </c>
      <c r="I45" s="28">
        <v>1033</v>
      </c>
      <c r="J45" s="29">
        <v>1066.5</v>
      </c>
      <c r="K45" s="29">
        <v>1119.0999999999999</v>
      </c>
      <c r="L45" s="30">
        <f t="shared" si="3"/>
        <v>44.700000000000045</v>
      </c>
      <c r="M45" s="31">
        <f t="shared" si="4"/>
        <v>9.7988905945973538E-5</v>
      </c>
      <c r="N45" s="30">
        <f t="shared" si="5"/>
        <v>9.3854665814097764</v>
      </c>
      <c r="O45" s="29">
        <v>1168.5</v>
      </c>
      <c r="P45" s="29">
        <v>1216.2</v>
      </c>
      <c r="Q45" s="30">
        <f t="shared" si="0"/>
        <v>54.085466581409818</v>
      </c>
      <c r="R45" s="33">
        <f t="shared" si="1"/>
        <v>33.5</v>
      </c>
      <c r="S45" s="31">
        <f t="shared" si="6"/>
        <v>9.7596179869934301E-5</v>
      </c>
      <c r="T45" s="33">
        <f t="shared" si="2"/>
        <v>8.5257934176125367</v>
      </c>
      <c r="U45" s="33">
        <f t="shared" si="7"/>
        <v>42.025793417612533</v>
      </c>
      <c r="V45" s="125">
        <f t="shared" si="8"/>
        <v>52.599999999999909</v>
      </c>
      <c r="W45" s="126">
        <f t="shared" si="9"/>
        <v>1.4853194666618748E-4</v>
      </c>
      <c r="X45" s="127">
        <f t="shared" si="10"/>
        <v>20.284477697151615</v>
      </c>
      <c r="Y45" s="127">
        <f t="shared" si="11"/>
        <v>72.884477697151524</v>
      </c>
      <c r="Z45" s="125">
        <f t="shared" si="12"/>
        <v>49.400000000000091</v>
      </c>
      <c r="AA45" s="126">
        <f t="shared" si="13"/>
        <v>1.4348178654110069E-4</v>
      </c>
      <c r="AB45" s="127">
        <f t="shared" si="14"/>
        <v>16.499749740462043</v>
      </c>
      <c r="AC45" s="127">
        <f t="shared" si="15"/>
        <v>65.899749740462141</v>
      </c>
      <c r="AD45" s="125">
        <f t="shared" si="16"/>
        <v>47.700000000000045</v>
      </c>
      <c r="AE45" s="126">
        <f t="shared" si="17"/>
        <v>1.289569437907232E-4</v>
      </c>
      <c r="AF45" s="127">
        <f t="shared" si="18"/>
        <v>17.380442908976647</v>
      </c>
      <c r="AG45" s="127">
        <f t="shared" si="19"/>
        <v>65.080442908976693</v>
      </c>
    </row>
    <row r="46" spans="1:33" ht="13.5" hidden="1">
      <c r="A46" s="11">
        <v>43</v>
      </c>
      <c r="B46" s="16" t="s">
        <v>39</v>
      </c>
      <c r="C46" s="17" t="s">
        <v>40</v>
      </c>
      <c r="D46" s="18" t="s">
        <v>121</v>
      </c>
      <c r="E46" s="18" t="s">
        <v>124</v>
      </c>
      <c r="F46" s="19" t="s">
        <v>141</v>
      </c>
      <c r="G46" s="19" t="s">
        <v>142</v>
      </c>
      <c r="H46" s="15">
        <v>3143.4</v>
      </c>
      <c r="I46" s="28">
        <v>3354.1</v>
      </c>
      <c r="J46" s="29">
        <v>3439.2</v>
      </c>
      <c r="K46" s="29">
        <v>3566.7</v>
      </c>
      <c r="L46" s="30">
        <f t="shared" si="3"/>
        <v>210.69999999999982</v>
      </c>
      <c r="M46" s="31">
        <f t="shared" si="4"/>
        <v>4.6188506672967749E-4</v>
      </c>
      <c r="N46" s="30">
        <f t="shared" si="5"/>
        <v>44.239772006779333</v>
      </c>
      <c r="O46" s="29">
        <v>3638.3</v>
      </c>
      <c r="P46" s="29">
        <v>3856.9</v>
      </c>
      <c r="Q46" s="30">
        <f t="shared" si="0"/>
        <v>254.93977200677915</v>
      </c>
      <c r="R46" s="33">
        <f t="shared" si="1"/>
        <v>85.099999999999909</v>
      </c>
      <c r="S46" s="31">
        <f t="shared" si="6"/>
        <v>2.479234300576537E-4</v>
      </c>
      <c r="T46" s="33">
        <f t="shared" si="2"/>
        <v>21.658060293696302</v>
      </c>
      <c r="U46" s="33">
        <f t="shared" si="7"/>
        <v>106.75806029369622</v>
      </c>
      <c r="V46" s="125">
        <f t="shared" si="8"/>
        <v>127.5</v>
      </c>
      <c r="W46" s="126">
        <f t="shared" si="9"/>
        <v>3.6003466159579726E-4</v>
      </c>
      <c r="X46" s="127">
        <f t="shared" si="10"/>
        <v>49.168648410396109</v>
      </c>
      <c r="Y46" s="127">
        <f t="shared" si="11"/>
        <v>176.66864841039612</v>
      </c>
      <c r="Z46" s="125">
        <f t="shared" si="12"/>
        <v>71.600000000000364</v>
      </c>
      <c r="AA46" s="126">
        <f t="shared" si="13"/>
        <v>2.0796145579641382E-4</v>
      </c>
      <c r="AB46" s="127">
        <f t="shared" si="14"/>
        <v>23.914617032734537</v>
      </c>
      <c r="AC46" s="127">
        <f t="shared" si="15"/>
        <v>95.514617032734904</v>
      </c>
      <c r="AD46" s="125">
        <f t="shared" si="16"/>
        <v>218.59999999999991</v>
      </c>
      <c r="AE46" s="126">
        <f t="shared" si="17"/>
        <v>5.9098507154406812E-4</v>
      </c>
      <c r="AF46" s="127">
        <f t="shared" si="18"/>
        <v>79.65125408600187</v>
      </c>
      <c r="AG46" s="127">
        <f t="shared" si="19"/>
        <v>298.25125408600178</v>
      </c>
    </row>
    <row r="47" spans="1:33" ht="13.5" hidden="1">
      <c r="A47" s="16">
        <v>44</v>
      </c>
      <c r="B47" s="16" t="s">
        <v>39</v>
      </c>
      <c r="C47" s="17" t="s">
        <v>40</v>
      </c>
      <c r="D47" s="18" t="s">
        <v>121</v>
      </c>
      <c r="E47" s="18" t="s">
        <v>124</v>
      </c>
      <c r="F47" s="19" t="s">
        <v>43</v>
      </c>
      <c r="G47" s="19" t="s">
        <v>44</v>
      </c>
      <c r="H47" s="15">
        <v>2584.4</v>
      </c>
      <c r="I47" s="28">
        <v>2624.6</v>
      </c>
      <c r="J47" s="29">
        <v>2665.1</v>
      </c>
      <c r="K47" s="29">
        <v>2709.8</v>
      </c>
      <c r="L47" s="30">
        <f t="shared" si="3"/>
        <v>40.199999999999818</v>
      </c>
      <c r="M47" s="31">
        <f t="shared" si="4"/>
        <v>8.8124250984968999E-5</v>
      </c>
      <c r="N47" s="30">
        <f t="shared" si="5"/>
        <v>8.4406209524087448</v>
      </c>
      <c r="O47" s="29">
        <v>2752.7</v>
      </c>
      <c r="P47" s="29">
        <v>2792.5</v>
      </c>
      <c r="Q47" s="30">
        <f t="shared" si="0"/>
        <v>48.640620952408561</v>
      </c>
      <c r="R47" s="33">
        <f t="shared" si="1"/>
        <v>40.5</v>
      </c>
      <c r="S47" s="31">
        <f t="shared" si="6"/>
        <v>1.1798941148454743E-4</v>
      </c>
      <c r="T47" s="33">
        <f t="shared" si="2"/>
        <v>10.307302489949485</v>
      </c>
      <c r="U47" s="33">
        <f t="shared" si="7"/>
        <v>50.807302489949485</v>
      </c>
      <c r="V47" s="125">
        <f t="shared" si="8"/>
        <v>44.700000000000273</v>
      </c>
      <c r="W47" s="126">
        <f t="shared" si="9"/>
        <v>1.2622391665358617E-4</v>
      </c>
      <c r="X47" s="127">
        <f t="shared" si="10"/>
        <v>17.237949677997801</v>
      </c>
      <c r="Y47" s="127">
        <f t="shared" si="11"/>
        <v>61.937949677998077</v>
      </c>
      <c r="Z47" s="125">
        <f t="shared" si="12"/>
        <v>42.899999999999636</v>
      </c>
      <c r="AA47" s="126">
        <f t="shared" si="13"/>
        <v>1.2460260410148089E-4</v>
      </c>
      <c r="AB47" s="127">
        <f t="shared" si="14"/>
        <v>14.328730037769521</v>
      </c>
      <c r="AC47" s="127">
        <f t="shared" si="15"/>
        <v>57.228730037769154</v>
      </c>
      <c r="AD47" s="125">
        <f t="shared" si="16"/>
        <v>39.800000000000182</v>
      </c>
      <c r="AE47" s="126">
        <f t="shared" si="17"/>
        <v>1.0759929481909437E-4</v>
      </c>
      <c r="AF47" s="127">
        <f t="shared" si="18"/>
        <v>14.501920917762536</v>
      </c>
      <c r="AG47" s="127">
        <f t="shared" si="19"/>
        <v>54.301920917762715</v>
      </c>
    </row>
    <row r="48" spans="1:33" ht="27" hidden="1">
      <c r="A48" s="11">
        <v>45</v>
      </c>
      <c r="B48" s="16" t="s">
        <v>49</v>
      </c>
      <c r="C48" s="17" t="s">
        <v>50</v>
      </c>
      <c r="D48" s="18" t="s">
        <v>121</v>
      </c>
      <c r="E48" s="20" t="s">
        <v>49</v>
      </c>
      <c r="F48" s="17" t="s">
        <v>191</v>
      </c>
      <c r="G48" s="17" t="s">
        <v>192</v>
      </c>
      <c r="H48" s="15">
        <v>43858.400000000001</v>
      </c>
      <c r="I48" s="28">
        <v>46896.6</v>
      </c>
      <c r="J48" s="29">
        <v>48568.800000000003</v>
      </c>
      <c r="K48" s="29">
        <v>49727.4</v>
      </c>
      <c r="L48" s="30">
        <f t="shared" si="3"/>
        <v>3038.1999999999971</v>
      </c>
      <c r="M48" s="31">
        <f t="shared" si="4"/>
        <v>6.6601766005605417E-3</v>
      </c>
      <c r="N48" s="30">
        <f t="shared" si="5"/>
        <v>637.91777556239663</v>
      </c>
      <c r="O48" s="29">
        <v>50793.4</v>
      </c>
      <c r="P48" s="29">
        <v>53455.199999999997</v>
      </c>
      <c r="Q48" s="30">
        <f t="shared" si="0"/>
        <v>3676.1177755623939</v>
      </c>
      <c r="R48" s="33">
        <f t="shared" si="1"/>
        <v>1672.2000000000044</v>
      </c>
      <c r="S48" s="31">
        <f t="shared" si="6"/>
        <v>4.8716517008508819E-3</v>
      </c>
      <c r="T48" s="33">
        <f t="shared" si="2"/>
        <v>425.57706725169317</v>
      </c>
      <c r="U48" s="33">
        <f t="shared" si="7"/>
        <v>2097.7770672516976</v>
      </c>
      <c r="V48" s="125">
        <f t="shared" si="8"/>
        <v>1158.5999999999985</v>
      </c>
      <c r="W48" s="126">
        <f t="shared" si="9"/>
        <v>3.2716561484305109E-3</v>
      </c>
      <c r="X48" s="127">
        <f t="shared" si="10"/>
        <v>446.79840037870474</v>
      </c>
      <c r="Y48" s="127">
        <f t="shared" si="11"/>
        <v>1605.3984003787032</v>
      </c>
      <c r="Z48" s="125">
        <f t="shared" si="12"/>
        <v>1066</v>
      </c>
      <c r="AA48" s="126">
        <f t="shared" si="13"/>
        <v>3.0961859200974301E-3</v>
      </c>
      <c r="AB48" s="127">
        <f t="shared" si="14"/>
        <v>356.04723124154867</v>
      </c>
      <c r="AC48" s="127">
        <f t="shared" si="15"/>
        <v>1422.0472312415486</v>
      </c>
      <c r="AD48" s="125">
        <f t="shared" si="16"/>
        <v>2661.7999999999956</v>
      </c>
      <c r="AE48" s="126">
        <f t="shared" si="17"/>
        <v>7.1961759535041107E-3</v>
      </c>
      <c r="AF48" s="127">
        <f t="shared" si="18"/>
        <v>969.87972610301699</v>
      </c>
      <c r="AG48" s="127">
        <f t="shared" si="19"/>
        <v>3631.6797261030124</v>
      </c>
    </row>
    <row r="49" spans="1:33" ht="27" hidden="1">
      <c r="A49" s="16">
        <v>46</v>
      </c>
      <c r="B49" s="16" t="s">
        <v>49</v>
      </c>
      <c r="C49" s="17" t="s">
        <v>50</v>
      </c>
      <c r="D49" s="18" t="s">
        <v>121</v>
      </c>
      <c r="E49" s="20" t="s">
        <v>49</v>
      </c>
      <c r="F49" s="17" t="s">
        <v>193</v>
      </c>
      <c r="G49" s="17" t="s">
        <v>145</v>
      </c>
      <c r="H49" s="15">
        <v>265353.59999999998</v>
      </c>
      <c r="I49" s="28">
        <v>279632.09999999998</v>
      </c>
      <c r="J49" s="29">
        <v>291436</v>
      </c>
      <c r="K49" s="29">
        <v>307139.90000000002</v>
      </c>
      <c r="L49" s="30">
        <f t="shared" si="3"/>
        <v>14278.5</v>
      </c>
      <c r="M49" s="31">
        <f t="shared" si="4"/>
        <v>3.1300550191265812E-2</v>
      </c>
      <c r="N49" s="30">
        <f t="shared" si="5"/>
        <v>2997.9951808201199</v>
      </c>
      <c r="O49" s="29">
        <v>321863.59999999998</v>
      </c>
      <c r="P49" s="29">
        <v>336544.5</v>
      </c>
      <c r="Q49" s="30">
        <f t="shared" si="0"/>
        <v>17276.495180820119</v>
      </c>
      <c r="R49" s="33">
        <f t="shared" si="1"/>
        <v>11803.900000000023</v>
      </c>
      <c r="S49" s="31">
        <f t="shared" si="6"/>
        <v>3.4388523807961785E-2</v>
      </c>
      <c r="T49" s="33">
        <f t="shared" si="2"/>
        <v>3004.1078484225918</v>
      </c>
      <c r="U49" s="33">
        <f t="shared" si="7"/>
        <v>14808.007848422614</v>
      </c>
      <c r="V49" s="125">
        <f t="shared" si="8"/>
        <v>15703.900000000023</v>
      </c>
      <c r="W49" s="126">
        <f t="shared" si="9"/>
        <v>4.4344692723405868E-2</v>
      </c>
      <c r="X49" s="127">
        <f t="shared" si="10"/>
        <v>6055.9963746825142</v>
      </c>
      <c r="Y49" s="127">
        <f t="shared" si="11"/>
        <v>21759.896374682539</v>
      </c>
      <c r="Z49" s="125">
        <f t="shared" si="12"/>
        <v>14723.699999999953</v>
      </c>
      <c r="AA49" s="126">
        <f t="shared" si="13"/>
        <v>4.2764833613263026E-2</v>
      </c>
      <c r="AB49" s="127">
        <f t="shared" si="14"/>
        <v>4917.7604302356231</v>
      </c>
      <c r="AC49" s="127">
        <f t="shared" si="15"/>
        <v>19641.460430235576</v>
      </c>
      <c r="AD49" s="125">
        <f t="shared" si="16"/>
        <v>14680.900000000023</v>
      </c>
      <c r="AE49" s="126">
        <f t="shared" si="17"/>
        <v>3.9689811238935627E-2</v>
      </c>
      <c r="AF49" s="127">
        <f t="shared" si="18"/>
        <v>5349.2776583311406</v>
      </c>
      <c r="AG49" s="127">
        <f t="shared" si="19"/>
        <v>20030.177658331166</v>
      </c>
    </row>
    <row r="50" spans="1:33" ht="27" hidden="1">
      <c r="A50" s="11">
        <v>47</v>
      </c>
      <c r="B50" s="16" t="s">
        <v>49</v>
      </c>
      <c r="C50" s="17" t="s">
        <v>50</v>
      </c>
      <c r="D50" s="119" t="s">
        <v>138</v>
      </c>
      <c r="E50" s="20" t="s">
        <v>49</v>
      </c>
      <c r="F50" s="17" t="s">
        <v>61</v>
      </c>
      <c r="G50" s="17" t="s">
        <v>62</v>
      </c>
      <c r="H50" s="15">
        <v>55946.9</v>
      </c>
      <c r="I50" s="28">
        <v>59849.4</v>
      </c>
      <c r="J50" s="29">
        <v>61699.9</v>
      </c>
      <c r="K50" s="29">
        <v>63664.7</v>
      </c>
      <c r="L50" s="30">
        <f t="shared" si="3"/>
        <v>3902.5</v>
      </c>
      <c r="M50" s="31">
        <f t="shared" si="4"/>
        <v>8.5548479967373896E-3</v>
      </c>
      <c r="N50" s="30">
        <f t="shared" si="5"/>
        <v>819.39112603918602</v>
      </c>
      <c r="O50" s="29">
        <v>64893.2</v>
      </c>
      <c r="P50" s="29">
        <v>68460.600000000006</v>
      </c>
      <c r="Q50" s="30">
        <f t="shared" si="0"/>
        <v>4721.891126039186</v>
      </c>
      <c r="R50" s="33">
        <f t="shared" si="1"/>
        <v>1850.5</v>
      </c>
      <c r="S50" s="31">
        <f t="shared" si="6"/>
        <v>5.3910964432630866E-3</v>
      </c>
      <c r="T50" s="33">
        <f t="shared" si="2"/>
        <v>470.95464833707456</v>
      </c>
      <c r="U50" s="33">
        <f t="shared" si="7"/>
        <v>2321.4546483370746</v>
      </c>
      <c r="V50" s="125">
        <f t="shared" si="8"/>
        <v>1964.7999999999956</v>
      </c>
      <c r="W50" s="126">
        <f t="shared" si="9"/>
        <v>5.5482047302229083E-3</v>
      </c>
      <c r="X50" s="127">
        <f t="shared" si="10"/>
        <v>757.69851291565533</v>
      </c>
      <c r="Y50" s="127">
        <f t="shared" si="11"/>
        <v>2722.4985129156512</v>
      </c>
      <c r="Z50" s="125">
        <f t="shared" si="12"/>
        <v>1228.5</v>
      </c>
      <c r="AA50" s="126">
        <f t="shared" si="13"/>
        <v>3.5681654810878921E-3</v>
      </c>
      <c r="AB50" s="127">
        <f t="shared" si="14"/>
        <v>410.32272380885797</v>
      </c>
      <c r="AC50" s="127">
        <f t="shared" si="15"/>
        <v>1638.822723808858</v>
      </c>
      <c r="AD50" s="125">
        <f t="shared" si="16"/>
        <v>3567.4000000000087</v>
      </c>
      <c r="AE50" s="126">
        <f t="shared" si="17"/>
        <v>9.6444654356190058E-3</v>
      </c>
      <c r="AF50" s="127">
        <f t="shared" si="18"/>
        <v>1299.8530824629638</v>
      </c>
      <c r="AG50" s="127">
        <f t="shared" si="19"/>
        <v>4867.2530824629721</v>
      </c>
    </row>
    <row r="51" spans="1:33" ht="13.5" hidden="1">
      <c r="A51" s="16">
        <v>48</v>
      </c>
      <c r="B51" s="16" t="s">
        <v>39</v>
      </c>
      <c r="C51" s="17" t="s">
        <v>40</v>
      </c>
      <c r="D51" s="18" t="s">
        <v>121</v>
      </c>
      <c r="E51" s="18" t="s">
        <v>124</v>
      </c>
      <c r="F51" s="19" t="s">
        <v>146</v>
      </c>
      <c r="G51" s="19" t="s">
        <v>147</v>
      </c>
      <c r="H51" s="15">
        <v>7463.1</v>
      </c>
      <c r="I51" s="28">
        <v>7725.2</v>
      </c>
      <c r="J51" s="29">
        <v>7925.8</v>
      </c>
      <c r="K51" s="29">
        <v>8241.9</v>
      </c>
      <c r="L51" s="30">
        <f t="shared" si="3"/>
        <v>262.09999999999945</v>
      </c>
      <c r="M51" s="31">
        <f t="shared" si="4"/>
        <v>5.7456134783981166E-4</v>
      </c>
      <c r="N51" s="30">
        <f t="shared" si="5"/>
        <v>55.032008746923815</v>
      </c>
      <c r="O51" s="29">
        <v>8491.6</v>
      </c>
      <c r="P51" s="29">
        <v>8775.6</v>
      </c>
      <c r="Q51" s="30">
        <f t="shared" si="0"/>
        <v>317.13200874692325</v>
      </c>
      <c r="R51" s="33">
        <f t="shared" si="1"/>
        <v>200.60000000000036</v>
      </c>
      <c r="S51" s="31">
        <f t="shared" si="6"/>
        <v>5.8441175169877176E-4</v>
      </c>
      <c r="T51" s="33">
        <f t="shared" si="2"/>
        <v>51.05295998725606</v>
      </c>
      <c r="U51" s="33">
        <f t="shared" si="7"/>
        <v>251.65295998725642</v>
      </c>
      <c r="V51" s="125">
        <f t="shared" si="8"/>
        <v>316.09999999999945</v>
      </c>
      <c r="W51" s="126">
        <f t="shared" si="9"/>
        <v>8.9260358063083384E-4</v>
      </c>
      <c r="X51" s="127">
        <f t="shared" si="10"/>
        <v>121.89968441197007</v>
      </c>
      <c r="Y51" s="127">
        <f t="shared" si="11"/>
        <v>437.9996844119695</v>
      </c>
      <c r="Z51" s="125">
        <f t="shared" si="12"/>
        <v>249.70000000000073</v>
      </c>
      <c r="AA51" s="126">
        <f t="shared" si="13"/>
        <v>7.2525105464196109E-4</v>
      </c>
      <c r="AB51" s="127">
        <f t="shared" si="14"/>
        <v>83.400556886505598</v>
      </c>
      <c r="AC51" s="127">
        <f t="shared" si="15"/>
        <v>333.1005568865063</v>
      </c>
      <c r="AD51" s="125">
        <f t="shared" si="16"/>
        <v>284</v>
      </c>
      <c r="AE51" s="126">
        <f t="shared" si="17"/>
        <v>7.6779396303072018E-4</v>
      </c>
      <c r="AF51" s="127">
        <f t="shared" si="18"/>
        <v>103.48104373478748</v>
      </c>
      <c r="AG51" s="127">
        <f t="shared" si="19"/>
        <v>387.48104373478748</v>
      </c>
    </row>
    <row r="52" spans="1:33" ht="27" hidden="1">
      <c r="A52" s="11">
        <v>49</v>
      </c>
      <c r="B52" s="16" t="s">
        <v>49</v>
      </c>
      <c r="C52" s="17" t="s">
        <v>50</v>
      </c>
      <c r="D52" s="18" t="s">
        <v>121</v>
      </c>
      <c r="E52" s="20" t="s">
        <v>49</v>
      </c>
      <c r="F52" s="17" t="s">
        <v>148</v>
      </c>
      <c r="G52" s="17" t="s">
        <v>149</v>
      </c>
      <c r="H52" s="15">
        <v>199773.6</v>
      </c>
      <c r="I52" s="28">
        <v>207841.5</v>
      </c>
      <c r="J52" s="29">
        <v>223549</v>
      </c>
      <c r="K52" s="29">
        <v>223850.5</v>
      </c>
      <c r="L52" s="30">
        <f t="shared" si="3"/>
        <v>8067.8999999999942</v>
      </c>
      <c r="M52" s="31">
        <f t="shared" si="4"/>
        <v>1.7686011057752093E-2</v>
      </c>
      <c r="N52" s="30">
        <f t="shared" si="5"/>
        <v>1693.9822333815616</v>
      </c>
      <c r="O52" s="29">
        <v>233396.1</v>
      </c>
      <c r="P52" s="29">
        <v>254146.2</v>
      </c>
      <c r="Q52" s="30">
        <f t="shared" si="0"/>
        <v>9761.8822333815551</v>
      </c>
      <c r="R52" s="33">
        <f t="shared" si="1"/>
        <v>15707.5</v>
      </c>
      <c r="S52" s="31">
        <f t="shared" si="6"/>
        <v>4.5760955083790834E-2</v>
      </c>
      <c r="T52" s="33">
        <f t="shared" si="2"/>
        <v>3997.5791076760875</v>
      </c>
      <c r="U52" s="33">
        <f t="shared" si="7"/>
        <v>19705.079107676087</v>
      </c>
      <c r="V52" s="125">
        <f t="shared" si="8"/>
        <v>301.5</v>
      </c>
      <c r="W52" s="126">
        <f t="shared" si="9"/>
        <v>8.5137608212653229E-4</v>
      </c>
      <c r="X52" s="127">
        <f t="shared" si="10"/>
        <v>116.26939212340727</v>
      </c>
      <c r="Y52" s="127">
        <f t="shared" si="11"/>
        <v>417.76939212340727</v>
      </c>
      <c r="Z52" s="125">
        <f t="shared" si="12"/>
        <v>9545.6000000000058</v>
      </c>
      <c r="AA52" s="126">
        <f t="shared" si="13"/>
        <v>2.7725095983941885E-2</v>
      </c>
      <c r="AB52" s="127">
        <f t="shared" si="14"/>
        <v>3188.2593344646621</v>
      </c>
      <c r="AC52" s="127">
        <f t="shared" si="15"/>
        <v>12733.859334464669</v>
      </c>
      <c r="AD52" s="125">
        <f t="shared" si="16"/>
        <v>20750.100000000006</v>
      </c>
      <c r="AE52" s="126">
        <f t="shared" si="17"/>
        <v>5.6097892648886448E-2</v>
      </c>
      <c r="AF52" s="127">
        <f t="shared" si="18"/>
        <v>7560.7112873282194</v>
      </c>
      <c r="AG52" s="127">
        <f t="shared" si="19"/>
        <v>28310.811287328226</v>
      </c>
    </row>
    <row r="53" spans="1:33" ht="27" hidden="1">
      <c r="A53" s="16">
        <v>50</v>
      </c>
      <c r="B53" s="16" t="s">
        <v>49</v>
      </c>
      <c r="C53" s="17" t="s">
        <v>50</v>
      </c>
      <c r="D53" s="18" t="s">
        <v>121</v>
      </c>
      <c r="E53" s="20" t="s">
        <v>49</v>
      </c>
      <c r="F53" s="17" t="s">
        <v>150</v>
      </c>
      <c r="G53" s="17" t="s">
        <v>151</v>
      </c>
      <c r="H53" s="15">
        <v>182539.1</v>
      </c>
      <c r="I53" s="28">
        <v>201468.9</v>
      </c>
      <c r="J53" s="29">
        <v>201470.5</v>
      </c>
      <c r="K53" s="29">
        <v>217057.5</v>
      </c>
      <c r="L53" s="30">
        <f t="shared" si="3"/>
        <v>18929.799999999988</v>
      </c>
      <c r="M53" s="31">
        <f t="shared" si="4"/>
        <v>4.1496876773514248E-2</v>
      </c>
      <c r="N53" s="30">
        <f t="shared" si="5"/>
        <v>3974.6086195250673</v>
      </c>
      <c r="O53" s="29">
        <v>219628.5</v>
      </c>
      <c r="P53" s="29">
        <v>219975.9</v>
      </c>
      <c r="Q53" s="30">
        <f t="shared" si="0"/>
        <v>22904.408619525057</v>
      </c>
      <c r="R53" s="33">
        <f t="shared" si="1"/>
        <v>1.6000000000058208</v>
      </c>
      <c r="S53" s="31">
        <f t="shared" si="6"/>
        <v>4.6613100833571032E-6</v>
      </c>
      <c r="T53" s="33">
        <f t="shared" si="2"/>
        <v>0.40720207367849809</v>
      </c>
      <c r="U53" s="33">
        <f t="shared" si="7"/>
        <v>2.007202073684319</v>
      </c>
      <c r="V53" s="125">
        <f t="shared" si="8"/>
        <v>15587</v>
      </c>
      <c r="W53" s="126">
        <f t="shared" si="9"/>
        <v>4.4014590355244639E-2</v>
      </c>
      <c r="X53" s="127">
        <f t="shared" si="10"/>
        <v>6010.9154727281893</v>
      </c>
      <c r="Y53" s="127">
        <f t="shared" si="11"/>
        <v>21597.915472728189</v>
      </c>
      <c r="Z53" s="125">
        <f t="shared" si="12"/>
        <v>2571</v>
      </c>
      <c r="AA53" s="126">
        <f t="shared" si="13"/>
        <v>7.467442777270631E-3</v>
      </c>
      <c r="AB53" s="127">
        <f t="shared" si="14"/>
        <v>858.72179317262817</v>
      </c>
      <c r="AC53" s="127">
        <f t="shared" si="15"/>
        <v>3429.7217931726282</v>
      </c>
      <c r="AD53" s="125">
        <f t="shared" si="16"/>
        <v>347.39999999999418</v>
      </c>
      <c r="AE53" s="126">
        <f t="shared" si="17"/>
        <v>9.3919585477770324E-4</v>
      </c>
      <c r="AF53" s="127">
        <f t="shared" si="18"/>
        <v>126.58209363895975</v>
      </c>
      <c r="AG53" s="127">
        <f t="shared" si="19"/>
        <v>473.98209363895393</v>
      </c>
    </row>
    <row r="54" spans="1:33" ht="13.5" hidden="1">
      <c r="A54" s="11">
        <v>51</v>
      </c>
      <c r="B54" s="16" t="s">
        <v>39</v>
      </c>
      <c r="C54" s="17" t="s">
        <v>40</v>
      </c>
      <c r="D54" s="18" t="s">
        <v>121</v>
      </c>
      <c r="E54" s="18" t="s">
        <v>124</v>
      </c>
      <c r="F54" s="19" t="s">
        <v>152</v>
      </c>
      <c r="G54" s="19" t="s">
        <v>153</v>
      </c>
      <c r="H54" s="15">
        <v>273236.3</v>
      </c>
      <c r="I54" s="28">
        <v>290382</v>
      </c>
      <c r="J54" s="29">
        <v>298692.2</v>
      </c>
      <c r="K54" s="29">
        <v>309221.3</v>
      </c>
      <c r="L54" s="30">
        <f t="shared" si="3"/>
        <v>17145.700000000012</v>
      </c>
      <c r="M54" s="31">
        <f t="shared" si="4"/>
        <v>3.7585869903308228E-2</v>
      </c>
      <c r="N54" s="30">
        <f t="shared" si="5"/>
        <v>3600.0088224804817</v>
      </c>
      <c r="O54" s="29">
        <v>310649.40000000002</v>
      </c>
      <c r="P54" s="29">
        <v>327813.3</v>
      </c>
      <c r="Q54" s="30">
        <f t="shared" si="0"/>
        <v>20745.708822480494</v>
      </c>
      <c r="R54" s="33">
        <f t="shared" si="1"/>
        <v>8310.2000000000116</v>
      </c>
      <c r="S54" s="31">
        <f t="shared" si="6"/>
        <v>2.4210261909108331E-2</v>
      </c>
      <c r="T54" s="33">
        <f t="shared" si="2"/>
        <v>2114.956670419218</v>
      </c>
      <c r="U54" s="33">
        <f t="shared" si="7"/>
        <v>10425.15667041923</v>
      </c>
      <c r="V54" s="125">
        <f t="shared" si="8"/>
        <v>10529.099999999977</v>
      </c>
      <c r="W54" s="126">
        <f t="shared" si="9"/>
        <v>2.9732085924770984E-2</v>
      </c>
      <c r="X54" s="127">
        <f t="shared" si="10"/>
        <v>4060.4048311992201</v>
      </c>
      <c r="Y54" s="127">
        <f t="shared" si="11"/>
        <v>14589.504831199196</v>
      </c>
      <c r="Z54" s="125">
        <f t="shared" si="12"/>
        <v>1428.1000000000349</v>
      </c>
      <c r="AA54" s="126">
        <f t="shared" si="13"/>
        <v>4.1479016064645859E-3</v>
      </c>
      <c r="AB54" s="127">
        <f t="shared" si="14"/>
        <v>476.9897288330846</v>
      </c>
      <c r="AC54" s="127">
        <f t="shared" si="15"/>
        <v>1905.0897288331196</v>
      </c>
      <c r="AD54" s="125">
        <f t="shared" si="16"/>
        <v>17163.899999999965</v>
      </c>
      <c r="AE54" s="126">
        <f t="shared" si="17"/>
        <v>4.6402601415714617E-2</v>
      </c>
      <c r="AF54" s="127">
        <f t="shared" si="18"/>
        <v>6254.0080512658988</v>
      </c>
      <c r="AG54" s="127">
        <f t="shared" si="19"/>
        <v>23417.908051265862</v>
      </c>
    </row>
    <row r="55" spans="1:33" ht="13.5" hidden="1">
      <c r="A55" s="16">
        <v>52</v>
      </c>
      <c r="B55" s="16" t="s">
        <v>39</v>
      </c>
      <c r="C55" s="17" t="s">
        <v>40</v>
      </c>
      <c r="D55" s="18" t="s">
        <v>121</v>
      </c>
      <c r="E55" s="18" t="s">
        <v>124</v>
      </c>
      <c r="F55" s="19" t="s">
        <v>154</v>
      </c>
      <c r="G55" s="19" t="s">
        <v>155</v>
      </c>
      <c r="H55" s="15">
        <v>36120.199999999997</v>
      </c>
      <c r="I55" s="28">
        <v>37951.300000000003</v>
      </c>
      <c r="J55" s="29">
        <v>38619.4</v>
      </c>
      <c r="K55" s="29">
        <v>38627.1</v>
      </c>
      <c r="L55" s="30">
        <f t="shared" si="3"/>
        <v>1831.1000000000058</v>
      </c>
      <c r="M55" s="31">
        <f t="shared" si="4"/>
        <v>4.0140377109099002E-3</v>
      </c>
      <c r="N55" s="30">
        <f t="shared" si="5"/>
        <v>384.46818472526797</v>
      </c>
      <c r="O55" s="29">
        <v>38637.9</v>
      </c>
      <c r="P55" s="29">
        <v>38643.9</v>
      </c>
      <c r="Q55" s="30">
        <f t="shared" si="0"/>
        <v>2215.5681847252736</v>
      </c>
      <c r="R55" s="33">
        <f t="shared" si="1"/>
        <v>668.09999999999854</v>
      </c>
      <c r="S55" s="31">
        <f t="shared" si="6"/>
        <v>1.9463882916747153E-3</v>
      </c>
      <c r="T55" s="33">
        <f t="shared" si="2"/>
        <v>170.03231588975891</v>
      </c>
      <c r="U55" s="33">
        <f t="shared" si="7"/>
        <v>838.13231588975748</v>
      </c>
      <c r="V55" s="125">
        <f t="shared" si="8"/>
        <v>7.6999999999970896</v>
      </c>
      <c r="W55" s="126">
        <f t="shared" si="9"/>
        <v>2.1743269759110518E-5</v>
      </c>
      <c r="X55" s="127">
        <f t="shared" si="10"/>
        <v>2.969400727528682</v>
      </c>
      <c r="Y55" s="127">
        <f t="shared" si="11"/>
        <v>10.669400727525773</v>
      </c>
      <c r="Z55" s="125">
        <f t="shared" si="12"/>
        <v>10.80000000000291</v>
      </c>
      <c r="AA55" s="126">
        <f t="shared" si="13"/>
        <v>3.1368487745836079E-5</v>
      </c>
      <c r="AB55" s="127">
        <f t="shared" si="14"/>
        <v>3.6072327367821413</v>
      </c>
      <c r="AC55" s="127">
        <f t="shared" si="15"/>
        <v>14.407232736785051</v>
      </c>
      <c r="AD55" s="125">
        <f t="shared" si="16"/>
        <v>6</v>
      </c>
      <c r="AE55" s="126">
        <f t="shared" si="17"/>
        <v>1.6220999218958877E-5</v>
      </c>
      <c r="AF55" s="127">
        <f t="shared" si="18"/>
        <v>2.1862192338335382</v>
      </c>
      <c r="AG55" s="127">
        <f t="shared" si="19"/>
        <v>8.1862192338335387</v>
      </c>
    </row>
    <row r="56" spans="1:33" ht="13.5" hidden="1">
      <c r="A56" s="11">
        <v>53</v>
      </c>
      <c r="B56" s="16" t="s">
        <v>39</v>
      </c>
      <c r="C56" s="17" t="s">
        <v>40</v>
      </c>
      <c r="D56" s="18" t="s">
        <v>121</v>
      </c>
      <c r="E56" s="18" t="s">
        <v>124</v>
      </c>
      <c r="F56" s="19" t="s">
        <v>156</v>
      </c>
      <c r="G56" s="19" t="s">
        <v>157</v>
      </c>
      <c r="H56" s="15">
        <v>453507.2</v>
      </c>
      <c r="I56" s="28">
        <v>488045.8</v>
      </c>
      <c r="J56" s="29">
        <v>500968.6</v>
      </c>
      <c r="K56" s="29">
        <v>501032.5</v>
      </c>
      <c r="L56" s="30">
        <f t="shared" si="3"/>
        <v>34538.599999999977</v>
      </c>
      <c r="M56" s="31">
        <f t="shared" si="4"/>
        <v>7.5713638185807508E-2</v>
      </c>
      <c r="N56" s="30">
        <f t="shared" si="5"/>
        <v>7251.9211648474075</v>
      </c>
      <c r="O56" s="29">
        <v>501090.2</v>
      </c>
      <c r="P56" s="29">
        <v>501218.8</v>
      </c>
      <c r="Q56" s="30">
        <f t="shared" si="0"/>
        <v>41790.521164847385</v>
      </c>
      <c r="R56" s="33">
        <f t="shared" si="1"/>
        <v>12922.799999999988</v>
      </c>
      <c r="S56" s="31">
        <f t="shared" si="6"/>
        <v>3.7648236215617484E-2</v>
      </c>
      <c r="T56" s="33">
        <f t="shared" si="2"/>
        <v>3288.8693485708413</v>
      </c>
      <c r="U56" s="33">
        <f t="shared" si="7"/>
        <v>16211.669348570829</v>
      </c>
      <c r="V56" s="125">
        <f t="shared" si="8"/>
        <v>63.900000000023283</v>
      </c>
      <c r="W56" s="126">
        <f t="shared" si="9"/>
        <v>1.8044090098807706E-4</v>
      </c>
      <c r="X56" s="127">
        <f t="shared" si="10"/>
        <v>24.642169673925146</v>
      </c>
      <c r="Y56" s="127">
        <f t="shared" si="11"/>
        <v>88.542169673948422</v>
      </c>
      <c r="Z56" s="125">
        <f t="shared" si="12"/>
        <v>57.700000000011642</v>
      </c>
      <c r="AA56" s="126">
        <f t="shared" si="13"/>
        <v>1.6758905027172398E-4</v>
      </c>
      <c r="AB56" s="127">
        <f t="shared" si="14"/>
        <v>19.271974899288466</v>
      </c>
      <c r="AC56" s="127">
        <f t="shared" si="15"/>
        <v>76.971974899300108</v>
      </c>
      <c r="AD56" s="125">
        <f t="shared" si="16"/>
        <v>128.59999999997672</v>
      </c>
      <c r="AE56" s="126">
        <f t="shared" si="17"/>
        <v>3.476700832596223E-4</v>
      </c>
      <c r="AF56" s="127">
        <f t="shared" si="18"/>
        <v>46.857965578490351</v>
      </c>
      <c r="AG56" s="127">
        <f t="shared" si="19"/>
        <v>175.45796557846705</v>
      </c>
    </row>
    <row r="57" spans="1:33" ht="13.5" hidden="1">
      <c r="A57" s="16">
        <v>54</v>
      </c>
      <c r="B57" s="16" t="s">
        <v>39</v>
      </c>
      <c r="C57" s="17" t="s">
        <v>40</v>
      </c>
      <c r="D57" s="18" t="s">
        <v>121</v>
      </c>
      <c r="E57" s="18" t="s">
        <v>124</v>
      </c>
      <c r="F57" s="19" t="s">
        <v>158</v>
      </c>
      <c r="G57" s="19" t="s">
        <v>159</v>
      </c>
      <c r="H57" s="15">
        <v>123910.7</v>
      </c>
      <c r="I57" s="28">
        <v>131267.4</v>
      </c>
      <c r="J57" s="29">
        <v>133627.20000000001</v>
      </c>
      <c r="K57" s="29">
        <v>133657.79999999999</v>
      </c>
      <c r="L57" s="30">
        <f t="shared" si="3"/>
        <v>7356.6999999999971</v>
      </c>
      <c r="M57" s="31">
        <f t="shared" si="4"/>
        <v>1.6126957144804083E-2</v>
      </c>
      <c r="N57" s="30">
        <f t="shared" si="5"/>
        <v>1544.6546308603401</v>
      </c>
      <c r="O57" s="29">
        <v>133665.4</v>
      </c>
      <c r="P57" s="29">
        <v>133721.60000000001</v>
      </c>
      <c r="Q57" s="30">
        <f t="shared" si="0"/>
        <v>8901.3546308603363</v>
      </c>
      <c r="R57" s="33">
        <f t="shared" si="1"/>
        <v>2359.8000000000175</v>
      </c>
      <c r="S57" s="31">
        <f t="shared" si="6"/>
        <v>6.8748497091663478E-3</v>
      </c>
      <c r="T57" s="33">
        <f t="shared" si="2"/>
        <v>600.57215841439438</v>
      </c>
      <c r="U57" s="33">
        <f t="shared" si="7"/>
        <v>2960.3721584144118</v>
      </c>
      <c r="V57" s="125">
        <f t="shared" si="8"/>
        <v>30.599999999976717</v>
      </c>
      <c r="W57" s="126">
        <f t="shared" si="9"/>
        <v>8.6408318782925584E-5</v>
      </c>
      <c r="X57" s="127">
        <f t="shared" si="10"/>
        <v>11.800475618486086</v>
      </c>
      <c r="Y57" s="127">
        <f t="shared" si="11"/>
        <v>42.400475618462806</v>
      </c>
      <c r="Z57" s="125">
        <f t="shared" si="12"/>
        <v>7.6000000000058208</v>
      </c>
      <c r="AA57" s="126">
        <f t="shared" si="13"/>
        <v>2.2074121006340048E-5</v>
      </c>
      <c r="AB57" s="127">
        <f t="shared" si="14"/>
        <v>2.5384230369960998</v>
      </c>
      <c r="AC57" s="127">
        <f t="shared" si="15"/>
        <v>10.138423037001921</v>
      </c>
      <c r="AD57" s="125">
        <f t="shared" si="16"/>
        <v>56.200000000011642</v>
      </c>
      <c r="AE57" s="126">
        <f t="shared" si="17"/>
        <v>1.5193669268427962E-4</v>
      </c>
      <c r="AF57" s="127">
        <f t="shared" si="18"/>
        <v>20.477586823578385</v>
      </c>
      <c r="AG57" s="127">
        <f t="shared" si="19"/>
        <v>76.677586823590019</v>
      </c>
    </row>
    <row r="58" spans="1:33" ht="13.5" hidden="1">
      <c r="A58" s="11">
        <v>55</v>
      </c>
      <c r="B58" s="16" t="s">
        <v>39</v>
      </c>
      <c r="C58" s="17" t="s">
        <v>40</v>
      </c>
      <c r="D58" s="18" t="s">
        <v>121</v>
      </c>
      <c r="E58" s="18" t="s">
        <v>124</v>
      </c>
      <c r="F58" s="19" t="s">
        <v>160</v>
      </c>
      <c r="G58" s="19" t="s">
        <v>161</v>
      </c>
      <c r="H58" s="15">
        <v>222644.6</v>
      </c>
      <c r="I58" s="28">
        <v>237320.5</v>
      </c>
      <c r="J58" s="29">
        <v>247263.8</v>
      </c>
      <c r="K58" s="29">
        <v>255733.5</v>
      </c>
      <c r="L58" s="30">
        <f t="shared" si="3"/>
        <v>14675.899999999994</v>
      </c>
      <c r="M58" s="31">
        <f t="shared" si="4"/>
        <v>3.2171708831599796E-2</v>
      </c>
      <c r="N58" s="30">
        <f t="shared" si="5"/>
        <v>3081.4355481456719</v>
      </c>
      <c r="O58" s="29">
        <v>264257.40000000002</v>
      </c>
      <c r="P58" s="29">
        <v>283004.7</v>
      </c>
      <c r="Q58" s="30">
        <f t="shared" si="0"/>
        <v>17757.335548145667</v>
      </c>
      <c r="R58" s="33">
        <f t="shared" si="1"/>
        <v>9943.2999999999884</v>
      </c>
      <c r="S58" s="31">
        <f t="shared" si="6"/>
        <v>2.8968002844797509E-2</v>
      </c>
      <c r="T58" s="33">
        <f t="shared" si="2"/>
        <v>2530.5827369954222</v>
      </c>
      <c r="U58" s="33">
        <f t="shared" si="7"/>
        <v>12473.882736995411</v>
      </c>
      <c r="V58" s="125">
        <f t="shared" si="8"/>
        <v>8469.7000000000116</v>
      </c>
      <c r="W58" s="126">
        <f t="shared" si="9"/>
        <v>2.3916749594650417E-2</v>
      </c>
      <c r="X58" s="127">
        <f t="shared" si="10"/>
        <v>3266.2251093453528</v>
      </c>
      <c r="Y58" s="127">
        <f t="shared" si="11"/>
        <v>11735.925109345364</v>
      </c>
      <c r="Z58" s="125">
        <f t="shared" si="12"/>
        <v>8523.9000000000233</v>
      </c>
      <c r="AA58" s="126">
        <f t="shared" si="13"/>
        <v>2.4757578953394518E-2</v>
      </c>
      <c r="AB58" s="127">
        <f t="shared" si="14"/>
        <v>2847.0084375045453</v>
      </c>
      <c r="AC58" s="127">
        <f t="shared" si="15"/>
        <v>11370.908437504568</v>
      </c>
      <c r="AD58" s="125">
        <f t="shared" si="16"/>
        <v>18747.299999999988</v>
      </c>
      <c r="AE58" s="126">
        <f t="shared" si="17"/>
        <v>5.0683323109597923E-2</v>
      </c>
      <c r="AF58" s="127">
        <f t="shared" si="18"/>
        <v>6830.951307074577</v>
      </c>
      <c r="AG58" s="127">
        <f t="shared" si="19"/>
        <v>25578.251307074566</v>
      </c>
    </row>
    <row r="59" spans="1:33" ht="27" hidden="1">
      <c r="A59" s="16">
        <v>56</v>
      </c>
      <c r="B59" s="16" t="s">
        <v>39</v>
      </c>
      <c r="C59" s="17" t="s">
        <v>40</v>
      </c>
      <c r="D59" s="18" t="s">
        <v>121</v>
      </c>
      <c r="E59" s="18" t="s">
        <v>124</v>
      </c>
      <c r="F59" s="19" t="s">
        <v>194</v>
      </c>
      <c r="G59" s="19" t="s">
        <v>163</v>
      </c>
      <c r="H59" s="15">
        <v>59315.4</v>
      </c>
      <c r="I59" s="28">
        <v>64794.2</v>
      </c>
      <c r="J59" s="29">
        <v>68007.8</v>
      </c>
      <c r="K59" s="29">
        <v>70543.100000000006</v>
      </c>
      <c r="L59" s="30">
        <f t="shared" si="3"/>
        <v>5478.7999999999956</v>
      </c>
      <c r="M59" s="31">
        <f t="shared" si="4"/>
        <v>1.201032702229975E-2</v>
      </c>
      <c r="N59" s="30">
        <f t="shared" si="5"/>
        <v>1150.3600515934629</v>
      </c>
      <c r="O59" s="29">
        <v>71914.899999999994</v>
      </c>
      <c r="P59" s="29">
        <v>76843.5</v>
      </c>
      <c r="Q59" s="30">
        <f t="shared" si="0"/>
        <v>6629.1600515934588</v>
      </c>
      <c r="R59" s="33">
        <f t="shared" si="1"/>
        <v>3213.6000000000058</v>
      </c>
      <c r="S59" s="31">
        <f t="shared" si="6"/>
        <v>9.3622413023886995E-3</v>
      </c>
      <c r="T59" s="33">
        <f t="shared" si="2"/>
        <v>817.86536498028954</v>
      </c>
      <c r="U59" s="33">
        <f t="shared" si="7"/>
        <v>4031.4653649802954</v>
      </c>
      <c r="V59" s="125">
        <f t="shared" si="8"/>
        <v>2535.3000000000029</v>
      </c>
      <c r="W59" s="126">
        <f t="shared" si="9"/>
        <v>7.1591833532849078E-3</v>
      </c>
      <c r="X59" s="127">
        <f t="shared" si="10"/>
        <v>977.70411227354816</v>
      </c>
      <c r="Y59" s="127">
        <f t="shared" si="11"/>
        <v>3513.0041122735511</v>
      </c>
      <c r="Z59" s="125">
        <f t="shared" si="12"/>
        <v>1371.7999999999884</v>
      </c>
      <c r="AA59" s="126">
        <f t="shared" si="13"/>
        <v>3.9843788416412933E-3</v>
      </c>
      <c r="AB59" s="127">
        <f t="shared" si="14"/>
        <v>458.18535817744123</v>
      </c>
      <c r="AC59" s="127">
        <f t="shared" si="15"/>
        <v>1829.9853581774296</v>
      </c>
      <c r="AD59" s="125">
        <f t="shared" si="16"/>
        <v>4928.6000000000058</v>
      </c>
      <c r="AE59" s="126">
        <f t="shared" si="17"/>
        <v>1.3324469458426802E-2</v>
      </c>
      <c r="AF59" s="127">
        <f t="shared" si="18"/>
        <v>1795.8333526453316</v>
      </c>
      <c r="AG59" s="127">
        <f t="shared" si="19"/>
        <v>6724.4333526453374</v>
      </c>
    </row>
    <row r="60" spans="1:33" ht="27" hidden="1">
      <c r="A60" s="11">
        <v>57</v>
      </c>
      <c r="B60" s="16" t="s">
        <v>83</v>
      </c>
      <c r="C60" s="17" t="s">
        <v>84</v>
      </c>
      <c r="D60" s="119" t="s">
        <v>138</v>
      </c>
      <c r="E60" s="18" t="s">
        <v>83</v>
      </c>
      <c r="F60" s="17" t="s">
        <v>164</v>
      </c>
      <c r="G60" s="17" t="s">
        <v>165</v>
      </c>
      <c r="H60" s="15">
        <v>14362.8</v>
      </c>
      <c r="I60" s="28">
        <v>15219.2</v>
      </c>
      <c r="J60" s="29">
        <v>16107.3</v>
      </c>
      <c r="K60" s="29">
        <v>17492.3</v>
      </c>
      <c r="L60" s="30">
        <f t="shared" si="3"/>
        <v>856.40000000000146</v>
      </c>
      <c r="M60" s="31">
        <f t="shared" si="4"/>
        <v>1.8773534463564158E-3</v>
      </c>
      <c r="N60" s="30">
        <f t="shared" si="5"/>
        <v>179.81462148365409</v>
      </c>
      <c r="O60" s="29">
        <v>18571.900000000001</v>
      </c>
      <c r="P60" s="29">
        <v>19542.099999999999</v>
      </c>
      <c r="Q60" s="30">
        <f t="shared" si="0"/>
        <v>1036.2146214836555</v>
      </c>
      <c r="R60" s="33">
        <f t="shared" si="1"/>
        <v>888.09999999999854</v>
      </c>
      <c r="S60" s="31">
        <f t="shared" si="6"/>
        <v>2.5873184281339852E-3</v>
      </c>
      <c r="T60" s="33">
        <f t="shared" si="2"/>
        <v>226.0226010203487</v>
      </c>
      <c r="U60" s="33">
        <f t="shared" si="7"/>
        <v>1114.1226010203472</v>
      </c>
      <c r="V60" s="125">
        <f t="shared" si="8"/>
        <v>1385</v>
      </c>
      <c r="W60" s="126">
        <f t="shared" si="9"/>
        <v>3.9109647553739546E-3</v>
      </c>
      <c r="X60" s="127">
        <f t="shared" si="10"/>
        <v>534.10649449724406</v>
      </c>
      <c r="Y60" s="127">
        <f t="shared" si="11"/>
        <v>1919.1064944972441</v>
      </c>
      <c r="Z60" s="125">
        <f t="shared" si="12"/>
        <v>1079.6000000000022</v>
      </c>
      <c r="AA60" s="126">
        <f t="shared" si="13"/>
        <v>3.1356869787403305E-3</v>
      </c>
      <c r="AB60" s="127">
        <f t="shared" si="14"/>
        <v>360.58967246564424</v>
      </c>
      <c r="AC60" s="127">
        <f t="shared" si="15"/>
        <v>1440.1896724656465</v>
      </c>
      <c r="AD60" s="125">
        <f t="shared" si="16"/>
        <v>970.19999999999709</v>
      </c>
      <c r="AE60" s="126">
        <f t="shared" si="17"/>
        <v>2.6229355737056423E-3</v>
      </c>
      <c r="AF60" s="127">
        <f t="shared" si="18"/>
        <v>353.51165011088204</v>
      </c>
      <c r="AG60" s="127">
        <f t="shared" si="19"/>
        <v>1323.7116501108792</v>
      </c>
    </row>
    <row r="61" spans="1:33" ht="27">
      <c r="A61" s="16">
        <v>58</v>
      </c>
      <c r="B61" s="16" t="s">
        <v>49</v>
      </c>
      <c r="C61" s="17" t="s">
        <v>50</v>
      </c>
      <c r="D61" s="119" t="s">
        <v>138</v>
      </c>
      <c r="E61" s="18" t="s">
        <v>49</v>
      </c>
      <c r="F61" s="17" t="s">
        <v>166</v>
      </c>
      <c r="G61" s="17" t="s">
        <v>167</v>
      </c>
      <c r="H61" s="15">
        <v>715943.7</v>
      </c>
      <c r="I61" s="28">
        <v>736111.6</v>
      </c>
      <c r="J61" s="29">
        <v>756046.5</v>
      </c>
      <c r="K61" s="29">
        <v>780421.4</v>
      </c>
      <c r="L61" s="30">
        <f t="shared" si="3"/>
        <v>20167.900000000023</v>
      </c>
      <c r="M61" s="31">
        <f t="shared" si="4"/>
        <v>4.4210972175118567E-2</v>
      </c>
      <c r="N61" s="30">
        <f t="shared" si="5"/>
        <v>4234.567146917545</v>
      </c>
      <c r="O61" s="29">
        <v>806476.5</v>
      </c>
      <c r="P61" s="29">
        <v>831467.3</v>
      </c>
      <c r="Q61" s="30">
        <f t="shared" si="0"/>
        <v>24402.467146917566</v>
      </c>
      <c r="R61" s="33">
        <f t="shared" si="1"/>
        <v>19934.900000000023</v>
      </c>
      <c r="S61" s="31">
        <f t="shared" si="6"/>
        <v>5.8076718987735983E-2</v>
      </c>
      <c r="T61" s="33">
        <f t="shared" si="2"/>
        <v>5073.4578865899812</v>
      </c>
      <c r="U61" s="33">
        <f t="shared" si="7"/>
        <v>25008.357886590005</v>
      </c>
      <c r="V61" s="125">
        <f t="shared" si="8"/>
        <v>24374.900000000023</v>
      </c>
      <c r="W61" s="126">
        <f t="shared" si="9"/>
        <v>6.8829873513187506E-2</v>
      </c>
      <c r="X61" s="127">
        <f t="shared" si="10"/>
        <v>9399.8501030475709</v>
      </c>
      <c r="Y61" s="127">
        <f t="shared" si="11"/>
        <v>33774.750103047598</v>
      </c>
      <c r="Z61" s="125">
        <f t="shared" si="12"/>
        <v>26055.099999999977</v>
      </c>
      <c r="AA61" s="126">
        <f t="shared" si="13"/>
        <v>7.5676767135769679E-2</v>
      </c>
      <c r="AB61" s="127">
        <f t="shared" si="14"/>
        <v>8702.4823777876809</v>
      </c>
      <c r="AC61" s="127">
        <f t="shared" si="15"/>
        <v>34757.582377787658</v>
      </c>
      <c r="AD61" s="125">
        <f t="shared" si="16"/>
        <v>24990.800000000047</v>
      </c>
      <c r="AE61" s="126">
        <f t="shared" si="17"/>
        <v>6.7562624546859712E-2</v>
      </c>
      <c r="AF61" s="127">
        <f t="shared" si="18"/>
        <v>9105.8946048145481</v>
      </c>
      <c r="AG61" s="127">
        <f t="shared" si="19"/>
        <v>34096.694604814591</v>
      </c>
    </row>
    <row r="62" spans="1:33" ht="27">
      <c r="A62" s="11">
        <v>59</v>
      </c>
      <c r="B62" s="16" t="s">
        <v>49</v>
      </c>
      <c r="C62" s="17" t="s">
        <v>50</v>
      </c>
      <c r="D62" s="119" t="s">
        <v>138</v>
      </c>
      <c r="E62" s="18" t="s">
        <v>49</v>
      </c>
      <c r="F62" s="17" t="s">
        <v>168</v>
      </c>
      <c r="G62" s="17" t="s">
        <v>169</v>
      </c>
      <c r="H62" s="15">
        <v>875337.1</v>
      </c>
      <c r="I62" s="28">
        <v>906540.9</v>
      </c>
      <c r="J62" s="29">
        <v>934819.6</v>
      </c>
      <c r="K62" s="29">
        <v>967834.3</v>
      </c>
      <c r="L62" s="30">
        <f t="shared" si="3"/>
        <v>31203.800000000047</v>
      </c>
      <c r="M62" s="31">
        <f t="shared" si="4"/>
        <v>6.8403271216039604E-2</v>
      </c>
      <c r="N62" s="30">
        <f t="shared" si="5"/>
        <v>6551.7275640490943</v>
      </c>
      <c r="O62" s="29">
        <v>995789.9</v>
      </c>
      <c r="P62" s="29">
        <v>1021463.6</v>
      </c>
      <c r="Q62" s="30">
        <f t="shared" si="0"/>
        <v>37755.527564049138</v>
      </c>
      <c r="R62" s="33">
        <f t="shared" si="1"/>
        <v>28278.699999999953</v>
      </c>
      <c r="S62" s="31">
        <f t="shared" si="6"/>
        <v>8.2384868408594228E-2</v>
      </c>
      <c r="T62" s="33">
        <f t="shared" si="2"/>
        <v>7196.9658005563961</v>
      </c>
      <c r="U62" s="33">
        <f t="shared" si="7"/>
        <v>35475.665800556351</v>
      </c>
      <c r="V62" s="125">
        <f t="shared" si="8"/>
        <v>33014.70000000007</v>
      </c>
      <c r="W62" s="126">
        <f t="shared" si="9"/>
        <v>9.322695170342582E-2</v>
      </c>
      <c r="X62" s="127">
        <f t="shared" si="10"/>
        <v>12731.671973919278</v>
      </c>
      <c r="Y62" s="127">
        <f t="shared" si="11"/>
        <v>45746.371973919348</v>
      </c>
      <c r="Z62" s="125">
        <f t="shared" si="12"/>
        <v>27955.599999999977</v>
      </c>
      <c r="AA62" s="126">
        <f t="shared" si="13"/>
        <v>8.1196749632153509E-2</v>
      </c>
      <c r="AB62" s="127">
        <f t="shared" si="14"/>
        <v>9337.2551385518109</v>
      </c>
      <c r="AC62" s="127">
        <f t="shared" si="15"/>
        <v>37292.855138551786</v>
      </c>
      <c r="AD62" s="125">
        <f t="shared" si="16"/>
        <v>25673.699999999953</v>
      </c>
      <c r="AE62" s="126">
        <f t="shared" si="17"/>
        <v>6.9408844607963954E-2</v>
      </c>
      <c r="AF62" s="127">
        <f t="shared" si="18"/>
        <v>9354.7227906120006</v>
      </c>
      <c r="AG62" s="127">
        <f t="shared" si="19"/>
        <v>35028.422790611956</v>
      </c>
    </row>
    <row r="63" spans="1:33" ht="40.5" hidden="1">
      <c r="A63" s="16">
        <v>60</v>
      </c>
      <c r="B63" s="16" t="s">
        <v>49</v>
      </c>
      <c r="C63" s="17" t="s">
        <v>50</v>
      </c>
      <c r="D63" s="18" t="s">
        <v>121</v>
      </c>
      <c r="E63" s="20" t="s">
        <v>49</v>
      </c>
      <c r="F63" s="17" t="s">
        <v>170</v>
      </c>
      <c r="G63" s="17" t="s">
        <v>171</v>
      </c>
      <c r="H63" s="15">
        <v>120195.9</v>
      </c>
      <c r="I63" s="28">
        <v>126819.9</v>
      </c>
      <c r="J63" s="29">
        <v>132123.20000000001</v>
      </c>
      <c r="K63" s="29">
        <v>139825.1</v>
      </c>
      <c r="L63" s="30">
        <f t="shared" si="3"/>
        <v>6624</v>
      </c>
      <c r="M63" s="31">
        <f t="shared" si="4"/>
        <v>1.4520772102597942E-2</v>
      </c>
      <c r="N63" s="34">
        <f t="shared" si="5"/>
        <v>1390.8127658894473</v>
      </c>
      <c r="O63" s="29">
        <v>146353</v>
      </c>
      <c r="P63" s="29">
        <v>150655.6</v>
      </c>
      <c r="Q63" s="34">
        <f t="shared" si="0"/>
        <v>8014.8127658894473</v>
      </c>
      <c r="R63" s="33">
        <f t="shared" si="1"/>
        <v>5303.3000000000175</v>
      </c>
      <c r="S63" s="31">
        <f t="shared" si="6"/>
        <v>1.5450203603111171E-2</v>
      </c>
      <c r="T63" s="33">
        <f t="shared" si="2"/>
        <v>1349.6967233320811</v>
      </c>
      <c r="U63" s="33">
        <f t="shared" si="7"/>
        <v>6652.9967233320986</v>
      </c>
      <c r="V63" s="125">
        <f t="shared" si="8"/>
        <v>7701.8999999999942</v>
      </c>
      <c r="W63" s="126">
        <f t="shared" si="9"/>
        <v>2.1748634981526814E-2</v>
      </c>
      <c r="X63" s="127">
        <f t="shared" si="10"/>
        <v>2970.1334368002317</v>
      </c>
      <c r="Y63" s="127">
        <f t="shared" si="11"/>
        <v>10672.033436800226</v>
      </c>
      <c r="Z63" s="125">
        <f t="shared" si="12"/>
        <v>6527.8999999999942</v>
      </c>
      <c r="AA63" s="126">
        <f t="shared" si="13"/>
        <v>1.8960217699628513E-2</v>
      </c>
      <c r="AB63" s="127">
        <f t="shared" si="14"/>
        <v>2180.3383872623858</v>
      </c>
      <c r="AC63" s="127">
        <f t="shared" si="15"/>
        <v>8708.2383872623795</v>
      </c>
      <c r="AD63" s="125">
        <f t="shared" si="16"/>
        <v>4302.6000000000058</v>
      </c>
      <c r="AE63" s="126">
        <f t="shared" si="17"/>
        <v>1.1632078539915425E-2</v>
      </c>
      <c r="AF63" s="127">
        <f t="shared" si="18"/>
        <v>1567.7378125820323</v>
      </c>
      <c r="AG63" s="127">
        <f t="shared" si="19"/>
        <v>5870.3378125820382</v>
      </c>
    </row>
    <row r="64" spans="1:33" ht="27" hidden="1">
      <c r="A64" s="11">
        <v>61</v>
      </c>
      <c r="B64" s="16" t="s">
        <v>49</v>
      </c>
      <c r="C64" s="17" t="s">
        <v>50</v>
      </c>
      <c r="D64" s="18" t="s">
        <v>172</v>
      </c>
      <c r="E64" s="20" t="s">
        <v>49</v>
      </c>
      <c r="F64" s="17" t="s">
        <v>173</v>
      </c>
      <c r="G64" s="17" t="s">
        <v>174</v>
      </c>
      <c r="H64" s="15">
        <v>1767.8</v>
      </c>
      <c r="I64" s="28">
        <v>1846.7</v>
      </c>
      <c r="J64" s="29">
        <v>1915.4</v>
      </c>
      <c r="K64" s="29">
        <v>2000.9</v>
      </c>
      <c r="L64" s="30">
        <f t="shared" si="3"/>
        <v>78.900000000000091</v>
      </c>
      <c r="M64" s="31">
        <f t="shared" si="4"/>
        <v>1.7296028364960432E-4</v>
      </c>
      <c r="N64" s="30">
        <f t="shared" si="5"/>
        <v>16.566293361817259</v>
      </c>
      <c r="O64" s="29">
        <v>2096.3000000000002</v>
      </c>
      <c r="P64" s="29">
        <v>2227.6</v>
      </c>
      <c r="Q64" s="30">
        <f t="shared" si="0"/>
        <v>95.46629336181735</v>
      </c>
      <c r="R64" s="33">
        <f t="shared" si="1"/>
        <v>68.700000000000045</v>
      </c>
      <c r="S64" s="31">
        <f t="shared" si="6"/>
        <v>2.0014500170341761E-4</v>
      </c>
      <c r="T64" s="33">
        <f t="shared" si="2"/>
        <v>17.484239038506914</v>
      </c>
      <c r="U64" s="33">
        <f t="shared" si="7"/>
        <v>86.184239038506959</v>
      </c>
      <c r="V64" s="125">
        <f t="shared" si="8"/>
        <v>85.5</v>
      </c>
      <c r="W64" s="126">
        <f t="shared" si="9"/>
        <v>2.414350083642405E-4</v>
      </c>
      <c r="X64" s="127">
        <f t="shared" si="10"/>
        <v>32.971917169324449</v>
      </c>
      <c r="Y64" s="127">
        <f t="shared" si="11"/>
        <v>118.47191716932446</v>
      </c>
      <c r="Z64" s="125">
        <f t="shared" si="12"/>
        <v>95.400000000000091</v>
      </c>
      <c r="AA64" s="126">
        <f t="shared" si="13"/>
        <v>2.7708830842147758E-4</v>
      </c>
      <c r="AB64" s="127">
        <f t="shared" si="14"/>
        <v>31.863889174900354</v>
      </c>
      <c r="AC64" s="127">
        <f t="shared" si="15"/>
        <v>127.26388917490044</v>
      </c>
      <c r="AD64" s="125">
        <f t="shared" si="16"/>
        <v>131.29999999999973</v>
      </c>
      <c r="AE64" s="126">
        <f t="shared" si="17"/>
        <v>3.5496953290821599E-4</v>
      </c>
      <c r="AF64" s="127">
        <f t="shared" si="18"/>
        <v>47.841764233723829</v>
      </c>
      <c r="AG64" s="127">
        <f t="shared" si="19"/>
        <v>179.14176423372356</v>
      </c>
    </row>
    <row r="65" spans="1:33" ht="24.95" hidden="1" customHeight="1">
      <c r="A65" s="35">
        <v>62</v>
      </c>
      <c r="B65" s="36" t="s">
        <v>105</v>
      </c>
      <c r="C65" s="37" t="s">
        <v>106</v>
      </c>
      <c r="D65" s="120" t="s">
        <v>138</v>
      </c>
      <c r="E65" s="38" t="s">
        <v>105</v>
      </c>
      <c r="F65" s="39" t="s">
        <v>195</v>
      </c>
      <c r="G65" s="17" t="s">
        <v>196</v>
      </c>
      <c r="H65" s="40">
        <v>4.2</v>
      </c>
      <c r="I65" s="28">
        <v>60.8</v>
      </c>
      <c r="J65" s="29">
        <v>126.1</v>
      </c>
      <c r="K65" s="29">
        <v>232.5</v>
      </c>
      <c r="L65" s="30">
        <f t="shared" si="3"/>
        <v>56.599999999999994</v>
      </c>
      <c r="M65" s="31">
        <f t="shared" si="4"/>
        <v>1.2407543795396188E-4</v>
      </c>
      <c r="N65" s="30">
        <f t="shared" si="5"/>
        <v>11.884058355879032</v>
      </c>
      <c r="O65" s="29">
        <v>344.4</v>
      </c>
      <c r="P65" s="29">
        <v>463.6</v>
      </c>
      <c r="Q65" s="30">
        <f t="shared" si="0"/>
        <v>68.484058355879029</v>
      </c>
      <c r="R65" s="33">
        <f t="shared" si="1"/>
        <v>65.3</v>
      </c>
      <c r="S65" s="31">
        <f t="shared" si="6"/>
        <v>1.9023971777631967E-4</v>
      </c>
      <c r="T65" s="33">
        <f t="shared" si="2"/>
        <v>16.618934631943244</v>
      </c>
      <c r="U65" s="33">
        <f t="shared" si="7"/>
        <v>81.918934631943245</v>
      </c>
      <c r="V65" s="125">
        <f t="shared" si="8"/>
        <v>106.4</v>
      </c>
      <c r="W65" s="126">
        <f t="shared" si="9"/>
        <v>3.004524548532771E-4</v>
      </c>
      <c r="X65" s="127">
        <f t="shared" si="10"/>
        <v>41.031719144048211</v>
      </c>
      <c r="Y65" s="127">
        <f t="shared" si="11"/>
        <v>147.4317191440482</v>
      </c>
      <c r="Z65" s="125">
        <f t="shared" si="12"/>
        <v>111.89999999999998</v>
      </c>
      <c r="AA65" s="126">
        <f t="shared" si="13"/>
        <v>3.2501238692204726E-4</v>
      </c>
      <c r="AB65" s="127">
        <f t="shared" si="14"/>
        <v>37.374939189427103</v>
      </c>
      <c r="AC65" s="127">
        <f t="shared" si="15"/>
        <v>149.27493918942707</v>
      </c>
      <c r="AD65" s="125">
        <f t="shared" si="16"/>
        <v>119.20000000000005</v>
      </c>
      <c r="AE65" s="126">
        <f t="shared" si="17"/>
        <v>3.2225718448331648E-4</v>
      </c>
      <c r="AF65" s="127">
        <f t="shared" si="18"/>
        <v>43.43288877882631</v>
      </c>
      <c r="AG65" s="127">
        <f>AF65+AD65</f>
        <v>162.63288877882636</v>
      </c>
    </row>
    <row r="66" spans="1:33">
      <c r="G66" s="5"/>
      <c r="L66" s="44">
        <f>SUM(L4:L65)</f>
        <v>456174.08999999979</v>
      </c>
      <c r="M66" s="1"/>
      <c r="N66" s="1"/>
      <c r="O66" s="1"/>
      <c r="P66" s="1"/>
      <c r="Q66" s="45">
        <f>SUM(Q4:Q65)</f>
        <v>551954.99999999988</v>
      </c>
      <c r="R66" s="46">
        <f>SUM(R4:R65)</f>
        <v>343251.14</v>
      </c>
      <c r="U66" s="46">
        <f>SUM(U4:U65)</f>
        <v>430608.99999999983</v>
      </c>
      <c r="V66" s="46">
        <f>SUM(V4:V65)</f>
        <v>354132.57000000007</v>
      </c>
      <c r="Y66" s="46">
        <f>SUM(Y4:Y65)</f>
        <v>490699.00000000006</v>
      </c>
      <c r="Z66" s="130">
        <f>SUM(Z4:Z65)</f>
        <v>344294.5700000003</v>
      </c>
      <c r="AC66" s="130">
        <f>SUM(AC4:AC65)</f>
        <v>459289.99999999988</v>
      </c>
      <c r="AD66" s="130">
        <f>SUM(AD4:AD65)</f>
        <v>369890.90000000026</v>
      </c>
      <c r="AG66" s="130">
        <f>SUM(AG4:AG65)</f>
        <v>504667.99999999983</v>
      </c>
    </row>
    <row r="67" spans="1:33">
      <c r="G67" s="5"/>
    </row>
    <row r="68" spans="1:33">
      <c r="A68" s="41" t="s">
        <v>176</v>
      </c>
      <c r="B68" s="41"/>
      <c r="C68" s="42">
        <v>551955</v>
      </c>
      <c r="G68" s="5"/>
      <c r="H68" s="43"/>
      <c r="I68" s="43"/>
      <c r="J68" s="43"/>
      <c r="K68" s="43"/>
      <c r="L68" s="47">
        <f>C68-L66</f>
        <v>95780.910000000207</v>
      </c>
      <c r="M68" s="43"/>
      <c r="N68" s="43"/>
      <c r="O68" s="43"/>
      <c r="P68" s="43"/>
      <c r="Q68" s="115"/>
      <c r="R68" s="48">
        <f>C69-R66</f>
        <v>87357.859999999986</v>
      </c>
      <c r="S68" s="115"/>
      <c r="T68" s="115"/>
      <c r="U68" s="115"/>
      <c r="V68" s="122">
        <f>C70-V66</f>
        <v>136566.42999999993</v>
      </c>
      <c r="W68" s="115"/>
      <c r="X68" s="115"/>
      <c r="Y68" s="115"/>
      <c r="Z68" s="122">
        <f>C71-Z66</f>
        <v>114995.4299999997</v>
      </c>
      <c r="AA68" s="115"/>
      <c r="AB68" s="115"/>
      <c r="AC68" s="115"/>
      <c r="AD68" s="122">
        <f>C72-AD66</f>
        <v>134777.09999999974</v>
      </c>
    </row>
    <row r="69" spans="1:33">
      <c r="A69" s="41" t="s">
        <v>177</v>
      </c>
      <c r="B69" s="41"/>
      <c r="C69" s="42">
        <v>430609</v>
      </c>
      <c r="G69" s="5"/>
    </row>
    <row r="70" spans="1:33">
      <c r="A70" s="41" t="s">
        <v>178</v>
      </c>
      <c r="B70" s="41"/>
      <c r="C70" s="42">
        <v>490699</v>
      </c>
      <c r="G70" s="5"/>
    </row>
    <row r="71" spans="1:33">
      <c r="A71" s="41" t="s">
        <v>179</v>
      </c>
      <c r="B71" s="41"/>
      <c r="C71" s="42">
        <v>459290</v>
      </c>
      <c r="D71" s="6"/>
      <c r="G71" s="5"/>
    </row>
    <row r="72" spans="1:33">
      <c r="A72" s="41" t="s">
        <v>180</v>
      </c>
      <c r="B72" s="41"/>
      <c r="C72" s="42">
        <v>504668</v>
      </c>
      <c r="D72" s="6"/>
      <c r="G72" s="5"/>
      <c r="Q72" s="103">
        <f>SUM(Q61:Q62)</f>
        <v>62157.994710966705</v>
      </c>
      <c r="R72" s="103">
        <f t="shared" ref="R72:AG72" si="20">SUM(R61:R62)</f>
        <v>48213.599999999977</v>
      </c>
      <c r="S72" s="103">
        <f t="shared" si="20"/>
        <v>0.14046158739633022</v>
      </c>
      <c r="T72" s="103">
        <f t="shared" si="20"/>
        <v>12270.423687146376</v>
      </c>
      <c r="U72" s="103">
        <f t="shared" si="20"/>
        <v>60484.023687146357</v>
      </c>
      <c r="V72" s="103">
        <f t="shared" si="20"/>
        <v>57389.600000000093</v>
      </c>
      <c r="W72" s="103">
        <f t="shared" si="20"/>
        <v>0.16205682521661333</v>
      </c>
      <c r="X72" s="103">
        <f t="shared" si="20"/>
        <v>22131.522076966849</v>
      </c>
      <c r="Y72" s="103">
        <f t="shared" si="20"/>
        <v>79521.122076966945</v>
      </c>
      <c r="Z72" s="103">
        <f t="shared" si="20"/>
        <v>54010.699999999953</v>
      </c>
      <c r="AA72" s="103">
        <f t="shared" si="20"/>
        <v>0.15687351676792319</v>
      </c>
      <c r="AB72" s="103">
        <f t="shared" si="20"/>
        <v>18039.73751633949</v>
      </c>
      <c r="AC72" s="103">
        <f t="shared" si="20"/>
        <v>72050.437516339443</v>
      </c>
      <c r="AD72" s="103">
        <f t="shared" si="20"/>
        <v>50664.5</v>
      </c>
      <c r="AE72" s="103">
        <f t="shared" si="20"/>
        <v>0.13697146915482367</v>
      </c>
      <c r="AF72" s="103">
        <f t="shared" si="20"/>
        <v>18460.617395426547</v>
      </c>
      <c r="AG72" s="103">
        <f t="shared" si="20"/>
        <v>69125.117395426554</v>
      </c>
    </row>
    <row r="73" spans="1:33">
      <c r="A73" s="41" t="s">
        <v>181</v>
      </c>
      <c r="B73" s="41"/>
      <c r="C73" s="42"/>
      <c r="G73" s="5"/>
    </row>
    <row r="74" spans="1:33">
      <c r="A74" s="41" t="s">
        <v>182</v>
      </c>
      <c r="B74" s="41"/>
      <c r="C74" s="42"/>
      <c r="D74" s="6"/>
      <c r="G74" s="5"/>
    </row>
    <row r="75" spans="1:33">
      <c r="A75" s="41" t="s">
        <v>183</v>
      </c>
      <c r="B75" s="41"/>
      <c r="C75" s="42"/>
      <c r="D75" s="6"/>
      <c r="G75" s="5"/>
    </row>
    <row r="76" spans="1:33">
      <c r="A76" s="41" t="s">
        <v>184</v>
      </c>
      <c r="B76" s="41"/>
      <c r="C76" s="42"/>
      <c r="D76" s="6"/>
      <c r="G76" s="5"/>
    </row>
    <row r="77" spans="1:33">
      <c r="A77" s="41" t="s">
        <v>185</v>
      </c>
      <c r="B77" s="41"/>
      <c r="C77" s="42"/>
      <c r="G77" s="5"/>
    </row>
    <row r="78" spans="1:33">
      <c r="A78" s="41" t="s">
        <v>186</v>
      </c>
      <c r="B78" s="41"/>
      <c r="C78" s="42"/>
      <c r="G78" s="5"/>
    </row>
    <row r="79" spans="1:33">
      <c r="A79" s="41" t="s">
        <v>187</v>
      </c>
      <c r="B79" s="41"/>
      <c r="C79" s="42"/>
      <c r="G79" s="5"/>
    </row>
  </sheetData>
  <autoFilter ref="A3:G79" xr:uid="{00000000-0009-0000-0000-000001000000}"/>
  <mergeCells count="1">
    <mergeCell ref="A2:U2"/>
  </mergeCells>
  <pageMargins left="0.75" right="0.75" top="1" bottom="1" header="0.5" footer="0.5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93EA-48A5-43E9-8697-050178104ED9}">
  <sheetPr>
    <tabColor rgb="FFFF0000"/>
  </sheetPr>
  <dimension ref="A2:BT79"/>
  <sheetViews>
    <sheetView topLeftCell="D1" workbookViewId="0">
      <pane ySplit="1" topLeftCell="A2" activePane="bottomLeft" state="frozen"/>
      <selection activeCell="J32" sqref="J32"/>
      <selection pane="bottomLeft" activeCell="J32" sqref="J32"/>
    </sheetView>
  </sheetViews>
  <sheetFormatPr defaultColWidth="10.28515625" defaultRowHeight="12.75"/>
  <cols>
    <col min="1" max="1" width="11.5703125" customWidth="1"/>
    <col min="2" max="2" width="11.7109375" hidden="1" customWidth="1"/>
    <col min="3" max="3" width="34.140625" style="5" customWidth="1"/>
    <col min="4" max="4" width="16.5703125" style="3" customWidth="1"/>
    <col min="5" max="5" width="24.140625" style="6" hidden="1" customWidth="1"/>
    <col min="6" max="6" width="20.7109375" style="5" hidden="1" customWidth="1"/>
    <col min="7" max="7" width="48.7109375" style="7" customWidth="1"/>
    <col min="8" max="10" width="18.5703125" hidden="1" customWidth="1"/>
    <col min="11" max="11" width="16" hidden="1" customWidth="1"/>
    <col min="12" max="12" width="14.7109375" hidden="1" customWidth="1"/>
    <col min="13" max="22" width="18.5703125" hidden="1" customWidth="1"/>
    <col min="23" max="24" width="18.5703125" customWidth="1"/>
    <col min="25" max="27" width="15.140625" hidden="1" customWidth="1"/>
    <col min="28" max="28" width="15.140625" customWidth="1"/>
    <col min="29" max="31" width="15.140625" hidden="1" customWidth="1"/>
    <col min="32" max="32" width="15.140625" customWidth="1"/>
    <col min="33" max="35" width="15.140625" hidden="1" customWidth="1"/>
    <col min="36" max="36" width="15.140625" customWidth="1"/>
    <col min="37" max="39" width="15.140625" hidden="1" customWidth="1"/>
    <col min="40" max="40" width="15.140625" customWidth="1"/>
    <col min="41" max="42" width="15.140625" hidden="1" customWidth="1"/>
    <col min="43" max="43" width="13.28515625" hidden="1" customWidth="1"/>
    <col min="44" max="44" width="15.140625" customWidth="1"/>
    <col min="45" max="45" width="12.7109375" hidden="1" customWidth="1"/>
    <col min="46" max="46" width="6.7109375" hidden="1" customWidth="1"/>
    <col min="47" max="47" width="10.28515625" hidden="1" customWidth="1"/>
    <col min="48" max="48" width="11.7109375" customWidth="1"/>
    <col min="49" max="49" width="11.7109375" hidden="1" customWidth="1"/>
    <col min="50" max="50" width="10.28515625" hidden="1" customWidth="1"/>
    <col min="51" max="51" width="12.42578125" hidden="1" customWidth="1"/>
    <col min="52" max="52" width="11.7109375" customWidth="1"/>
    <col min="53" max="53" width="11.7109375" hidden="1" customWidth="1"/>
    <col min="54" max="54" width="10.28515625" hidden="1" customWidth="1"/>
    <col min="55" max="55" width="10.5703125" hidden="1" customWidth="1"/>
    <col min="56" max="56" width="11.7109375" customWidth="1"/>
    <col min="57" max="57" width="11.7109375" hidden="1" customWidth="1"/>
    <col min="58" max="58" width="10.28515625" hidden="1" customWidth="1"/>
    <col min="59" max="59" width="10.5703125" hidden="1" customWidth="1"/>
    <col min="60" max="60" width="11.7109375" customWidth="1"/>
    <col min="61" max="61" width="11.7109375" hidden="1" customWidth="1"/>
    <col min="62" max="62" width="10.28515625" hidden="1" customWidth="1"/>
    <col min="63" max="63" width="10.5703125" hidden="1" customWidth="1"/>
    <col min="64" max="64" width="11.7109375" customWidth="1"/>
    <col min="65" max="65" width="12.85546875" hidden="1" customWidth="1"/>
    <col min="66" max="66" width="10.28515625" hidden="1" customWidth="1"/>
    <col min="67" max="67" width="10.5703125" hidden="1" customWidth="1"/>
    <col min="68" max="68" width="11.7109375" customWidth="1"/>
    <col min="69" max="69" width="11.7109375" hidden="1" customWidth="1"/>
    <col min="70" max="70" width="10.28515625" hidden="1" customWidth="1"/>
    <col min="71" max="71" width="10.5703125" hidden="1" customWidth="1"/>
    <col min="72" max="72" width="11.28515625" customWidth="1"/>
  </cols>
  <sheetData>
    <row r="2" spans="1:72" ht="27" customHeight="1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</row>
    <row r="3" spans="1:72" ht="33.7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49" t="s">
        <v>7</v>
      </c>
      <c r="H3" s="50" t="s">
        <v>8</v>
      </c>
      <c r="I3" s="50" t="s">
        <v>9</v>
      </c>
      <c r="J3" s="50" t="s">
        <v>10</v>
      </c>
      <c r="K3" s="63" t="s">
        <v>11</v>
      </c>
      <c r="L3" s="63" t="s">
        <v>12</v>
      </c>
      <c r="M3" s="64" t="s">
        <v>13</v>
      </c>
      <c r="N3" s="64" t="s">
        <v>14</v>
      </c>
      <c r="O3" s="64" t="s">
        <v>15</v>
      </c>
      <c r="P3" s="64" t="s">
        <v>16</v>
      </c>
      <c r="Q3" s="64" t="s">
        <v>17</v>
      </c>
      <c r="R3" s="64" t="s">
        <v>18</v>
      </c>
      <c r="S3" s="64" t="s">
        <v>19</v>
      </c>
      <c r="T3" s="68" t="s">
        <v>20</v>
      </c>
      <c r="U3" s="69" t="s">
        <v>21</v>
      </c>
      <c r="V3" s="70" t="s">
        <v>22</v>
      </c>
      <c r="W3" s="22" t="s">
        <v>23</v>
      </c>
      <c r="X3" s="22" t="s">
        <v>24</v>
      </c>
      <c r="Y3" s="24" t="s">
        <v>25</v>
      </c>
      <c r="Z3" s="25" t="s">
        <v>26</v>
      </c>
      <c r="AA3" s="25" t="s">
        <v>27</v>
      </c>
      <c r="AB3" s="25" t="s">
        <v>25</v>
      </c>
      <c r="AC3" s="82" t="s">
        <v>28</v>
      </c>
      <c r="AD3" s="82" t="s">
        <v>26</v>
      </c>
      <c r="AE3" s="82" t="s">
        <v>27</v>
      </c>
      <c r="AF3" s="82" t="s">
        <v>28</v>
      </c>
      <c r="AG3" s="85" t="s">
        <v>29</v>
      </c>
      <c r="AH3" s="85" t="s">
        <v>26</v>
      </c>
      <c r="AI3" s="85" t="s">
        <v>27</v>
      </c>
      <c r="AJ3" s="85" t="s">
        <v>29</v>
      </c>
      <c r="AK3" s="86" t="s">
        <v>30</v>
      </c>
      <c r="AL3" s="86" t="s">
        <v>26</v>
      </c>
      <c r="AM3" s="86" t="s">
        <v>27</v>
      </c>
      <c r="AN3" s="86" t="s">
        <v>30</v>
      </c>
      <c r="AO3" s="87" t="s">
        <v>31</v>
      </c>
      <c r="AP3" s="87" t="s">
        <v>26</v>
      </c>
      <c r="AQ3" s="87" t="s">
        <v>27</v>
      </c>
      <c r="AR3" s="87" t="s">
        <v>31</v>
      </c>
      <c r="AS3" s="88" t="s">
        <v>32</v>
      </c>
      <c r="AT3" s="88" t="s">
        <v>26</v>
      </c>
      <c r="AU3" s="88" t="s">
        <v>27</v>
      </c>
      <c r="AV3" s="88" t="s">
        <v>32</v>
      </c>
      <c r="AW3" s="100" t="s">
        <v>33</v>
      </c>
      <c r="AX3" s="100" t="s">
        <v>26</v>
      </c>
      <c r="AY3" s="100" t="s">
        <v>27</v>
      </c>
      <c r="AZ3" s="100" t="s">
        <v>33</v>
      </c>
      <c r="BA3" s="101" t="s">
        <v>34</v>
      </c>
      <c r="BB3" s="101" t="s">
        <v>26</v>
      </c>
      <c r="BC3" s="101" t="s">
        <v>27</v>
      </c>
      <c r="BD3" s="101" t="s">
        <v>34</v>
      </c>
      <c r="BE3" s="105" t="s">
        <v>35</v>
      </c>
      <c r="BF3" s="105" t="s">
        <v>26</v>
      </c>
      <c r="BG3" s="105" t="s">
        <v>27</v>
      </c>
      <c r="BH3" s="105" t="s">
        <v>35</v>
      </c>
      <c r="BI3" s="106" t="s">
        <v>36</v>
      </c>
      <c r="BJ3" s="106" t="s">
        <v>26</v>
      </c>
      <c r="BK3" s="106" t="s">
        <v>27</v>
      </c>
      <c r="BL3" s="106" t="s">
        <v>36</v>
      </c>
      <c r="BM3" s="107" t="s">
        <v>37</v>
      </c>
      <c r="BN3" s="107" t="s">
        <v>26</v>
      </c>
      <c r="BO3" s="107" t="s">
        <v>27</v>
      </c>
      <c r="BP3" s="107" t="s">
        <v>37</v>
      </c>
      <c r="BQ3" s="108" t="s">
        <v>38</v>
      </c>
      <c r="BR3" s="109" t="s">
        <v>26</v>
      </c>
      <c r="BS3" s="109" t="s">
        <v>27</v>
      </c>
      <c r="BT3" s="109" t="s">
        <v>38</v>
      </c>
    </row>
    <row r="4" spans="1:72" ht="13.5" hidden="1" customHeight="1">
      <c r="A4" s="11">
        <v>1</v>
      </c>
      <c r="B4" s="11" t="s">
        <v>39</v>
      </c>
      <c r="C4" s="12" t="s">
        <v>40</v>
      </c>
      <c r="D4" s="13" t="s">
        <v>41</v>
      </c>
      <c r="E4" s="13" t="s">
        <v>42</v>
      </c>
      <c r="F4" s="51" t="s">
        <v>43</v>
      </c>
      <c r="G4" s="52" t="s">
        <v>44</v>
      </c>
      <c r="H4" s="53">
        <v>253556.64</v>
      </c>
      <c r="I4" s="53">
        <v>313476.74</v>
      </c>
      <c r="J4" s="53">
        <v>316470.98</v>
      </c>
      <c r="K4" s="53">
        <v>59920.1</v>
      </c>
      <c r="L4" s="53">
        <v>2994.24</v>
      </c>
      <c r="M4" s="53">
        <v>318823.67999999999</v>
      </c>
      <c r="N4" s="53">
        <v>322279.67999999999</v>
      </c>
      <c r="O4" s="53">
        <v>328844.42</v>
      </c>
      <c r="P4" s="53">
        <v>331230.02</v>
      </c>
      <c r="Q4" s="53">
        <v>338053.2</v>
      </c>
      <c r="R4" s="53">
        <v>339269.52</v>
      </c>
      <c r="S4" s="53">
        <v>344450.64</v>
      </c>
      <c r="T4" s="71">
        <v>361563.36</v>
      </c>
      <c r="U4" s="34">
        <v>366345.6</v>
      </c>
      <c r="V4" s="34">
        <v>370707.12</v>
      </c>
      <c r="W4" s="72">
        <v>375853.2</v>
      </c>
      <c r="X4" s="72">
        <v>384535.44</v>
      </c>
      <c r="Y4" s="30">
        <f t="shared" ref="Y4:Y64" si="0">M4-I4</f>
        <v>5346.9400000000023</v>
      </c>
      <c r="Z4" s="31">
        <f t="shared" ref="Z4:Z64" si="1">Y4/$Y$65</f>
        <v>1.2104705998928256E-2</v>
      </c>
      <c r="AA4" s="30">
        <f t="shared" ref="AA4:AA64" si="2">Z4*$Y$67</f>
        <v>1657.9323145197905</v>
      </c>
      <c r="AB4" s="30">
        <f t="shared" ref="AB4:AB64" si="3">Y4+AA4</f>
        <v>7004.8723145197928</v>
      </c>
      <c r="AC4" s="30">
        <f t="shared" ref="AC4:AC64" si="4">N4-M4</f>
        <v>3456</v>
      </c>
      <c r="AD4" s="31">
        <f t="shared" ref="AD4:AD64" si="5">AC4/$AC$65</f>
        <v>9.7235312523044539E-3</v>
      </c>
      <c r="AE4" s="30">
        <f t="shared" ref="AE4:AE64" si="6">AD4*$AC$67</f>
        <v>67.485488009430199</v>
      </c>
      <c r="AF4" s="30">
        <f t="shared" ref="AF4:AF64" si="7">AC4+AE4</f>
        <v>3523.4854880094304</v>
      </c>
      <c r="AG4" s="30">
        <f t="shared" ref="AG4:AG64" si="8">O4-N4</f>
        <v>6564.7399999999907</v>
      </c>
      <c r="AH4" s="31">
        <f t="shared" ref="AH4:AH64" si="9">AG4/$AG$65</f>
        <v>2.2626375899270287E-2</v>
      </c>
      <c r="AI4" s="30">
        <f t="shared" ref="AI4:AI64" si="10">AH4*$AG$67</f>
        <v>2128.9245326489345</v>
      </c>
      <c r="AJ4" s="30">
        <f t="shared" ref="AJ4:AJ64" si="11">AG4+AI4</f>
        <v>8693.6645326489252</v>
      </c>
      <c r="AK4" s="30">
        <f t="shared" ref="AK4:AK64" si="12">P4-O4</f>
        <v>2385.6000000000349</v>
      </c>
      <c r="AL4" s="31">
        <f t="shared" ref="AL4:AL64" si="13">AK4/$AK$65</f>
        <v>5.8005638918399993E-3</v>
      </c>
      <c r="AM4" s="30">
        <f t="shared" ref="AM4:AM64" si="14">AL4*$AK$67</f>
        <v>240.29207158036553</v>
      </c>
      <c r="AN4" s="30">
        <f t="shared" ref="AN4:AN64" si="15">AK4+AM4</f>
        <v>2625.8920715804006</v>
      </c>
      <c r="AO4" s="30">
        <f t="shared" ref="AO4:AO64" si="16">Q4-P4</f>
        <v>6823.179999999993</v>
      </c>
      <c r="AP4" s="31">
        <f t="shared" ref="AP4:AP64" si="17">AO4/$AO$65</f>
        <v>1.8839747366839906E-2</v>
      </c>
      <c r="AQ4" s="30">
        <f t="shared" ref="AQ4:AQ64" si="18">AP4*$AO$67</f>
        <v>1641.4619726790768</v>
      </c>
      <c r="AR4" s="30">
        <f t="shared" ref="AR4:AR64" si="19">AO4+AQ4</f>
        <v>8464.64197267907</v>
      </c>
      <c r="AS4" s="89">
        <f t="shared" ref="AS4:AS64" si="20">R4-Q4</f>
        <v>1216.320000000007</v>
      </c>
      <c r="AT4" s="90">
        <f t="shared" ref="AT4:AT64" si="21">AS4/$AS$65</f>
        <v>2.5677579391614699E-3</v>
      </c>
      <c r="AU4" s="91">
        <f t="shared" ref="AU4:AU64" si="22">AT4*$AS$67</f>
        <v>304.21124452766657</v>
      </c>
      <c r="AV4" s="91">
        <f t="shared" ref="AV4:AV64" si="23">+AS4+AU4</f>
        <v>1520.5312445276736</v>
      </c>
      <c r="AW4" s="102">
        <f t="shared" ref="AW4:AW64" si="24">S4-R4</f>
        <v>5181.1199999999953</v>
      </c>
      <c r="AX4" s="90">
        <f t="shared" ref="AX4:AX64" si="25">AW4/$AW$65</f>
        <v>1.1169592679332638E-2</v>
      </c>
      <c r="AY4" s="102">
        <f t="shared" ref="AY4:AY64" si="26">AX4*$AW$67</f>
        <v>1154.2059501614006</v>
      </c>
      <c r="AZ4" s="102">
        <f t="shared" ref="AZ4:AZ64" si="27">AW4+AY4</f>
        <v>6335.3259501613957</v>
      </c>
      <c r="BA4" s="102">
        <f t="shared" ref="BA4:BA64" si="28">T4-S4</f>
        <v>17112.719999999972</v>
      </c>
      <c r="BB4" s="90">
        <f>BA4/$BA$65</f>
        <v>4.8716021598918753E-2</v>
      </c>
      <c r="BC4" s="102">
        <f>BB4*$BA$67</f>
        <v>4211.0133941707509</v>
      </c>
      <c r="BD4" s="102">
        <f t="shared" ref="BD4:BD64" si="29">BA4+BC4</f>
        <v>21323.733394170722</v>
      </c>
      <c r="BE4" s="102">
        <f>U4-T4</f>
        <v>4782.2399999999907</v>
      </c>
      <c r="BF4" s="90">
        <f>BE4/$BE$65</f>
        <v>1.2404072014604193E-2</v>
      </c>
      <c r="BG4" s="102">
        <f>BF4*$BE$67</f>
        <v>963.87193633331435</v>
      </c>
      <c r="BH4" s="102">
        <f>BG4+BE4</f>
        <v>5746.1119363333055</v>
      </c>
      <c r="BI4" s="102">
        <f>V4-U4</f>
        <v>4361.5200000000186</v>
      </c>
      <c r="BJ4" s="90">
        <f>BI4/$BI$65</f>
        <v>9.0553095522043214E-3</v>
      </c>
      <c r="BK4" s="102">
        <f>BJ4*$BI$67</f>
        <v>1020.8020575678423</v>
      </c>
      <c r="BL4" s="102">
        <f>BK4+BI4</f>
        <v>5382.3220575678606</v>
      </c>
      <c r="BM4" s="91">
        <f>W4-V4</f>
        <v>5146.0800000000163</v>
      </c>
      <c r="BN4" s="90">
        <f>BM4/$BM$65</f>
        <v>1.3278070652532238E-2</v>
      </c>
      <c r="BO4" s="91">
        <f>BN4*$BM$67</f>
        <v>1303.3444773479423</v>
      </c>
      <c r="BP4" s="91">
        <f>BO4+BM4</f>
        <v>6449.4244773479586</v>
      </c>
      <c r="BQ4" s="91">
        <f>X4-W4</f>
        <v>8682.2399999999907</v>
      </c>
      <c r="BR4" s="90">
        <f>BQ4/$BQ$65</f>
        <v>1.6493082186715555E-2</v>
      </c>
      <c r="BS4" s="91">
        <f>BR4*$BQ$67</f>
        <v>1875.9055203190921</v>
      </c>
      <c r="BT4" s="91">
        <f>BS4+BQ4</f>
        <v>10558.145520319084</v>
      </c>
    </row>
    <row r="5" spans="1:72" ht="13.5" hidden="1">
      <c r="A5" s="16">
        <v>2</v>
      </c>
      <c r="B5" s="16" t="s">
        <v>39</v>
      </c>
      <c r="C5" s="17" t="s">
        <v>40</v>
      </c>
      <c r="D5" s="13" t="s">
        <v>41</v>
      </c>
      <c r="E5" s="18" t="s">
        <v>42</v>
      </c>
      <c r="F5" s="54" t="s">
        <v>45</v>
      </c>
      <c r="G5" s="55" t="s">
        <v>46</v>
      </c>
      <c r="H5" s="53">
        <v>347235.6</v>
      </c>
      <c r="I5" s="53">
        <v>420383.2</v>
      </c>
      <c r="J5" s="53">
        <v>425260.79999999999</v>
      </c>
      <c r="K5" s="53">
        <v>73147.600000000006</v>
      </c>
      <c r="L5" s="53">
        <v>4877.6000000000004</v>
      </c>
      <c r="M5" s="53">
        <v>428962</v>
      </c>
      <c r="N5" s="53">
        <v>434476.79999999999</v>
      </c>
      <c r="O5" s="53">
        <v>441850</v>
      </c>
      <c r="P5" s="53">
        <v>445489.6</v>
      </c>
      <c r="Q5" s="53">
        <v>456083.6</v>
      </c>
      <c r="R5" s="53">
        <v>457800</v>
      </c>
      <c r="S5" s="53">
        <v>463536.8</v>
      </c>
      <c r="T5" s="71">
        <v>470326</v>
      </c>
      <c r="U5" s="34">
        <v>477266</v>
      </c>
      <c r="V5" s="34">
        <v>480361.6</v>
      </c>
      <c r="W5" s="72">
        <v>483683.2</v>
      </c>
      <c r="X5" s="72">
        <v>491340</v>
      </c>
      <c r="Y5" s="30">
        <f t="shared" si="0"/>
        <v>8578.7999999999884</v>
      </c>
      <c r="Z5" s="31">
        <f t="shared" si="1"/>
        <v>1.9421173946894025E-2</v>
      </c>
      <c r="AA5" s="30">
        <f t="shared" si="2"/>
        <v>2660.0391513281152</v>
      </c>
      <c r="AB5" s="30">
        <f t="shared" si="3"/>
        <v>11238.839151328104</v>
      </c>
      <c r="AC5" s="30">
        <f t="shared" si="4"/>
        <v>5514.7999999999884</v>
      </c>
      <c r="AD5" s="31">
        <f t="shared" si="5"/>
        <v>1.5516009881426067E-2</v>
      </c>
      <c r="AE5" s="30">
        <f t="shared" si="6"/>
        <v>107.687780461344</v>
      </c>
      <c r="AF5" s="30">
        <f t="shared" si="7"/>
        <v>5622.4877804613325</v>
      </c>
      <c r="AG5" s="30">
        <f t="shared" si="8"/>
        <v>7373.2000000000116</v>
      </c>
      <c r="AH5" s="31">
        <f t="shared" si="9"/>
        <v>2.541285637824197E-2</v>
      </c>
      <c r="AI5" s="30">
        <f t="shared" si="10"/>
        <v>2391.1055676427659</v>
      </c>
      <c r="AJ5" s="30">
        <f t="shared" si="11"/>
        <v>9764.3055676427775</v>
      </c>
      <c r="AK5" s="30">
        <f t="shared" si="12"/>
        <v>3639.5999999999767</v>
      </c>
      <c r="AL5" s="31">
        <f t="shared" si="13"/>
        <v>8.8496530603371978E-3</v>
      </c>
      <c r="AM5" s="30">
        <f t="shared" si="14"/>
        <v>366.60254180243129</v>
      </c>
      <c r="AN5" s="30">
        <f t="shared" si="15"/>
        <v>4006.2025418024082</v>
      </c>
      <c r="AO5" s="30">
        <f t="shared" si="16"/>
        <v>10594</v>
      </c>
      <c r="AP5" s="31">
        <f t="shared" si="17"/>
        <v>2.9251504958729243E-2</v>
      </c>
      <c r="AQ5" s="30">
        <f t="shared" si="18"/>
        <v>2548.613423442172</v>
      </c>
      <c r="AR5" s="30">
        <f t="shared" si="19"/>
        <v>13142.613423442172</v>
      </c>
      <c r="AS5" s="92">
        <f t="shared" si="20"/>
        <v>1716.4000000000233</v>
      </c>
      <c r="AT5" s="93">
        <f t="shared" si="21"/>
        <v>3.6234705725276093E-3</v>
      </c>
      <c r="AU5" s="94">
        <f t="shared" si="22"/>
        <v>429.28520463964333</v>
      </c>
      <c r="AV5" s="94">
        <f t="shared" si="23"/>
        <v>2145.6852046396666</v>
      </c>
      <c r="AW5" s="103">
        <f t="shared" si="24"/>
        <v>5736.7999999999884</v>
      </c>
      <c r="AX5" s="93">
        <f t="shared" si="25"/>
        <v>1.2367542014621433E-2</v>
      </c>
      <c r="AY5" s="103">
        <f t="shared" si="26"/>
        <v>1277.9956254412009</v>
      </c>
      <c r="AZ5" s="103">
        <f t="shared" si="27"/>
        <v>7014.7956254411893</v>
      </c>
      <c r="BA5" s="103">
        <f t="shared" si="28"/>
        <v>6789.2000000000116</v>
      </c>
      <c r="BB5" s="90">
        <f t="shared" ref="BB5:BB64" si="30">BA5/$BA$65</f>
        <v>1.9327308215139401E-2</v>
      </c>
      <c r="BC5" s="103">
        <f t="shared" ref="BC5:BC64" si="31">BB5*$BA$67</f>
        <v>1670.6527153897309</v>
      </c>
      <c r="BD5" s="103">
        <f t="shared" si="29"/>
        <v>8459.852715389743</v>
      </c>
      <c r="BE5" s="103">
        <f t="shared" ref="BE5:BE64" si="32">U5-T5</f>
        <v>6940</v>
      </c>
      <c r="BF5" s="93">
        <f t="shared" ref="BF5:BF64" si="33">BE5/$BE$65</f>
        <v>1.8000823835975038E-2</v>
      </c>
      <c r="BG5" s="103">
        <f t="shared" ref="BG5:BG64" si="34">BF5*$BE$67</f>
        <v>1398.773637072421</v>
      </c>
      <c r="BH5" s="103">
        <f t="shared" ref="BH5:BH64" si="35">BG5+BE5</f>
        <v>8338.7736370724215</v>
      </c>
      <c r="BI5" s="103">
        <f t="shared" ref="BI5:BI64" si="36">V5-U5</f>
        <v>3095.5999999999767</v>
      </c>
      <c r="BJ5" s="90">
        <f t="shared" ref="BJ5:BJ64" si="37">BI5/$BI$65</f>
        <v>6.4270291663923052E-3</v>
      </c>
      <c r="BK5" s="102">
        <f t="shared" ref="BK5:BK64" si="38">BJ5*$BI$67</f>
        <v>724.51687700778064</v>
      </c>
      <c r="BL5" s="102">
        <f t="shared" ref="BL5:BL64" si="39">BK5+BI5</f>
        <v>3820.1168770077575</v>
      </c>
      <c r="BM5" s="94">
        <f t="shared" ref="BM5:BM64" si="40">W5-V5</f>
        <v>3321.6000000000349</v>
      </c>
      <c r="BN5" s="90">
        <f t="shared" ref="BN5:BN64" si="41">BM5/$BM$65</f>
        <v>8.5704923902176818E-3</v>
      </c>
      <c r="BO5" s="94">
        <f t="shared" ref="BO5:BO64" si="42">BN5*$BM$67</f>
        <v>841.25956377649732</v>
      </c>
      <c r="BP5" s="94">
        <f t="shared" ref="BP5:BP64" si="43">BO5+BM5</f>
        <v>4162.859563776532</v>
      </c>
      <c r="BQ5" s="94">
        <f t="shared" ref="BQ5:BQ64" si="44">X5-W5</f>
        <v>7656.7999999999884</v>
      </c>
      <c r="BR5" s="90">
        <f t="shared" ref="BR5:BR64" si="45">BQ5/$BQ$65</f>
        <v>1.454512103872314E-2</v>
      </c>
      <c r="BS5" s="94">
        <f t="shared" ref="BS5:BS64" si="46">BR5*$BQ$67</f>
        <v>1654.3465036648627</v>
      </c>
      <c r="BT5" s="94">
        <f t="shared" ref="BT5:BT64" si="47">BS5+BQ5</f>
        <v>9311.1465036648515</v>
      </c>
    </row>
    <row r="6" spans="1:72" ht="13.5" hidden="1">
      <c r="A6" s="11">
        <v>3</v>
      </c>
      <c r="B6" s="16" t="s">
        <v>39</v>
      </c>
      <c r="C6" s="17" t="s">
        <v>40</v>
      </c>
      <c r="D6" s="13" t="s">
        <v>41</v>
      </c>
      <c r="E6" s="18" t="s">
        <v>42</v>
      </c>
      <c r="F6" s="54" t="s">
        <v>47</v>
      </c>
      <c r="G6" s="55" t="s">
        <v>48</v>
      </c>
      <c r="H6" s="53">
        <v>613287.80000000005</v>
      </c>
      <c r="I6" s="53">
        <v>750382.32</v>
      </c>
      <c r="J6" s="53">
        <v>760395.12</v>
      </c>
      <c r="K6" s="53">
        <v>137094.51999999999</v>
      </c>
      <c r="L6" s="53">
        <v>10012.799999999999</v>
      </c>
      <c r="M6" s="53">
        <v>769121.52</v>
      </c>
      <c r="N6" s="53">
        <v>780237.92</v>
      </c>
      <c r="O6" s="53">
        <v>794775.52</v>
      </c>
      <c r="P6" s="53">
        <v>801874.96</v>
      </c>
      <c r="Q6" s="53">
        <v>824147.92</v>
      </c>
      <c r="R6" s="53">
        <v>828082.08</v>
      </c>
      <c r="S6" s="53">
        <v>838343.04</v>
      </c>
      <c r="T6" s="71">
        <v>849287.76</v>
      </c>
      <c r="U6" s="34">
        <v>862748.16000000003</v>
      </c>
      <c r="V6" s="34">
        <v>868284</v>
      </c>
      <c r="W6" s="72">
        <v>874111.92</v>
      </c>
      <c r="X6" s="72">
        <v>886536.4</v>
      </c>
      <c r="Y6" s="30">
        <f t="shared" si="0"/>
        <v>18739.20000000007</v>
      </c>
      <c r="Z6" s="31">
        <f t="shared" si="1"/>
        <v>4.2422863666904273E-2</v>
      </c>
      <c r="AA6" s="30">
        <f t="shared" si="2"/>
        <v>5810.4869754007632</v>
      </c>
      <c r="AB6" s="30">
        <f t="shared" si="3"/>
        <v>24549.686975400833</v>
      </c>
      <c r="AC6" s="30">
        <f t="shared" si="4"/>
        <v>11116.400000000023</v>
      </c>
      <c r="AD6" s="31">
        <f t="shared" si="5"/>
        <v>3.1276233452869631E-2</v>
      </c>
      <c r="AE6" s="30">
        <f t="shared" si="6"/>
        <v>217.07050894329612</v>
      </c>
      <c r="AF6" s="30">
        <f t="shared" si="7"/>
        <v>11333.470508943319</v>
      </c>
      <c r="AG6" s="30">
        <f t="shared" si="8"/>
        <v>14537.599999999977</v>
      </c>
      <c r="AH6" s="31">
        <f t="shared" si="9"/>
        <v>5.0106051766441881E-2</v>
      </c>
      <c r="AI6" s="30">
        <f t="shared" si="10"/>
        <v>4714.4979520646884</v>
      </c>
      <c r="AJ6" s="30">
        <f t="shared" si="11"/>
        <v>19252.097952064665</v>
      </c>
      <c r="AK6" s="30">
        <f t="shared" si="12"/>
        <v>7099.4399999999441</v>
      </c>
      <c r="AL6" s="31">
        <f t="shared" si="13"/>
        <v>1.7262221376711788E-2</v>
      </c>
      <c r="AM6" s="30">
        <f t="shared" si="14"/>
        <v>715.09856835197525</v>
      </c>
      <c r="AN6" s="30">
        <f t="shared" si="15"/>
        <v>7814.5385683519198</v>
      </c>
      <c r="AO6" s="30">
        <f t="shared" si="16"/>
        <v>22272.960000000079</v>
      </c>
      <c r="AP6" s="31">
        <f t="shared" si="17"/>
        <v>6.1498735122293785E-2</v>
      </c>
      <c r="AQ6" s="30">
        <f t="shared" si="18"/>
        <v>5358.2371942411519</v>
      </c>
      <c r="AR6" s="30">
        <f t="shared" si="19"/>
        <v>27631.197194241231</v>
      </c>
      <c r="AS6" s="92">
        <f t="shared" si="20"/>
        <v>3934.1599999999162</v>
      </c>
      <c r="AT6" s="93">
        <f t="shared" si="21"/>
        <v>8.3053559704117461E-3</v>
      </c>
      <c r="AU6" s="94">
        <f t="shared" si="22"/>
        <v>983.96450750701479</v>
      </c>
      <c r="AV6" s="94">
        <f t="shared" si="23"/>
        <v>4918.124507506931</v>
      </c>
      <c r="AW6" s="103">
        <f t="shared" si="24"/>
        <v>10260.960000000079</v>
      </c>
      <c r="AX6" s="93">
        <f t="shared" si="25"/>
        <v>2.2120843311663502E-2</v>
      </c>
      <c r="AY6" s="103">
        <f t="shared" si="26"/>
        <v>2285.8496013155896</v>
      </c>
      <c r="AZ6" s="103">
        <f t="shared" si="27"/>
        <v>12546.809601315668</v>
      </c>
      <c r="BA6" s="103">
        <f t="shared" si="28"/>
        <v>10944.719999999972</v>
      </c>
      <c r="BB6" s="90">
        <f t="shared" si="30"/>
        <v>3.1157128493548517E-2</v>
      </c>
      <c r="BC6" s="103">
        <f t="shared" si="31"/>
        <v>2693.2224985536172</v>
      </c>
      <c r="BD6" s="103">
        <f t="shared" si="29"/>
        <v>13637.94249855359</v>
      </c>
      <c r="BE6" s="103">
        <f t="shared" si="32"/>
        <v>13460.400000000023</v>
      </c>
      <c r="BF6" s="93">
        <f t="shared" si="33"/>
        <v>3.4913298150109344E-2</v>
      </c>
      <c r="BG6" s="103">
        <f t="shared" si="34"/>
        <v>2712.9758882492292</v>
      </c>
      <c r="BH6" s="103">
        <f t="shared" si="35"/>
        <v>16173.375888249253</v>
      </c>
      <c r="BI6" s="103">
        <f t="shared" si="36"/>
        <v>5535.8399999999674</v>
      </c>
      <c r="BJ6" s="90">
        <f t="shared" si="37"/>
        <v>1.1493411661868857E-2</v>
      </c>
      <c r="BK6" s="102">
        <f t="shared" si="38"/>
        <v>1295.6485038166297</v>
      </c>
      <c r="BL6" s="102">
        <f t="shared" si="39"/>
        <v>6831.4885038165976</v>
      </c>
      <c r="BM6" s="94">
        <f t="shared" si="40"/>
        <v>5827.9200000000419</v>
      </c>
      <c r="BN6" s="90">
        <f t="shared" si="41"/>
        <v>1.5037374762402836E-2</v>
      </c>
      <c r="BO6" s="94">
        <f t="shared" si="42"/>
        <v>1476.033669594264</v>
      </c>
      <c r="BP6" s="94">
        <f t="shared" si="43"/>
        <v>7303.9536695943061</v>
      </c>
      <c r="BQ6" s="94">
        <f t="shared" si="44"/>
        <v>12424.479999999981</v>
      </c>
      <c r="BR6" s="90">
        <f t="shared" si="45"/>
        <v>2.3601970202068084E-2</v>
      </c>
      <c r="BS6" s="94">
        <f t="shared" si="46"/>
        <v>2684.4628366751144</v>
      </c>
      <c r="BT6" s="94">
        <f t="shared" si="47"/>
        <v>15108.942836675096</v>
      </c>
    </row>
    <row r="7" spans="1:72" ht="40.5" hidden="1">
      <c r="A7" s="16">
        <v>4</v>
      </c>
      <c r="B7" s="16" t="s">
        <v>49</v>
      </c>
      <c r="C7" s="17" t="s">
        <v>50</v>
      </c>
      <c r="D7" s="13" t="s">
        <v>41</v>
      </c>
      <c r="E7" s="20" t="s">
        <v>49</v>
      </c>
      <c r="F7" s="54" t="s">
        <v>51</v>
      </c>
      <c r="G7" s="55" t="s">
        <v>52</v>
      </c>
      <c r="H7" s="53">
        <v>108339.36</v>
      </c>
      <c r="I7" s="53">
        <v>200938.38</v>
      </c>
      <c r="J7" s="53">
        <v>205176.51</v>
      </c>
      <c r="K7" s="53">
        <v>92599.02</v>
      </c>
      <c r="L7" s="53">
        <v>4238.13</v>
      </c>
      <c r="M7" s="53">
        <v>207332.65</v>
      </c>
      <c r="N7" s="53">
        <v>215194.73</v>
      </c>
      <c r="O7" s="53">
        <v>222641.13</v>
      </c>
      <c r="P7" s="53">
        <v>229884.55</v>
      </c>
      <c r="Q7" s="53">
        <v>238873.9</v>
      </c>
      <c r="R7" s="53">
        <v>245959.05</v>
      </c>
      <c r="S7" s="53">
        <v>252787.55</v>
      </c>
      <c r="T7" s="71">
        <v>260120.12</v>
      </c>
      <c r="U7" s="34">
        <v>268882.08</v>
      </c>
      <c r="V7" s="34">
        <v>276535.56</v>
      </c>
      <c r="W7" s="72">
        <v>282975.06</v>
      </c>
      <c r="X7" s="72">
        <v>292377.08</v>
      </c>
      <c r="Y7" s="30">
        <f t="shared" si="0"/>
        <v>6394.2699999999895</v>
      </c>
      <c r="Z7" s="31">
        <f t="shared" si="1"/>
        <v>1.4475711047396608E-2</v>
      </c>
      <c r="AA7" s="30">
        <f t="shared" si="2"/>
        <v>1982.6792260179539</v>
      </c>
      <c r="AB7" s="30">
        <f t="shared" si="3"/>
        <v>8376.9492260179431</v>
      </c>
      <c r="AC7" s="30">
        <f t="shared" si="4"/>
        <v>7862.0800000000163</v>
      </c>
      <c r="AD7" s="31">
        <f t="shared" si="5"/>
        <v>2.2120133272024872E-2</v>
      </c>
      <c r="AE7" s="30">
        <f t="shared" si="6"/>
        <v>153.52323656515685</v>
      </c>
      <c r="AF7" s="30">
        <f t="shared" si="7"/>
        <v>8015.6032365651736</v>
      </c>
      <c r="AG7" s="30">
        <f t="shared" si="8"/>
        <v>7446.3999999999942</v>
      </c>
      <c r="AH7" s="31">
        <f t="shared" si="9"/>
        <v>2.5665151323026714E-2</v>
      </c>
      <c r="AI7" s="30">
        <f t="shared" si="10"/>
        <v>2414.8440973925908</v>
      </c>
      <c r="AJ7" s="30">
        <f t="shared" si="11"/>
        <v>9861.2440973925841</v>
      </c>
      <c r="AK7" s="30">
        <f t="shared" si="12"/>
        <v>7243.4199999999837</v>
      </c>
      <c r="AL7" s="31">
        <f t="shared" si="13"/>
        <v>1.761230738825913E-2</v>
      </c>
      <c r="AM7" s="30">
        <f t="shared" si="14"/>
        <v>729.60110543537144</v>
      </c>
      <c r="AN7" s="30">
        <f t="shared" si="15"/>
        <v>7973.0211054353549</v>
      </c>
      <c r="AO7" s="30">
        <f t="shared" si="16"/>
        <v>8989.3500000000058</v>
      </c>
      <c r="AP7" s="31">
        <f t="shared" si="17"/>
        <v>2.4820843505829044E-2</v>
      </c>
      <c r="AQ7" s="30">
        <f t="shared" si="18"/>
        <v>2162.5805246384657</v>
      </c>
      <c r="AR7" s="30">
        <f t="shared" si="19"/>
        <v>11151.930524638472</v>
      </c>
      <c r="AS7" s="92">
        <f t="shared" si="20"/>
        <v>7085.1499999999942</v>
      </c>
      <c r="AT7" s="93">
        <f t="shared" si="21"/>
        <v>1.495737154913984E-2</v>
      </c>
      <c r="AU7" s="94">
        <f t="shared" si="22"/>
        <v>1772.0520086533006</v>
      </c>
      <c r="AV7" s="94">
        <f t="shared" si="23"/>
        <v>8857.2020086532939</v>
      </c>
      <c r="AW7" s="103">
        <f t="shared" si="24"/>
        <v>6828.5</v>
      </c>
      <c r="AX7" s="93">
        <f t="shared" si="25"/>
        <v>1.4721057148034206E-2</v>
      </c>
      <c r="AY7" s="103">
        <f t="shared" si="26"/>
        <v>1521.1952880221131</v>
      </c>
      <c r="AZ7" s="103">
        <f t="shared" si="27"/>
        <v>8349.6952880221124</v>
      </c>
      <c r="BA7" s="103">
        <f t="shared" si="28"/>
        <v>7332.570000000007</v>
      </c>
      <c r="BB7" s="90">
        <f t="shared" si="30"/>
        <v>2.0874159017127879E-2</v>
      </c>
      <c r="BC7" s="103">
        <f t="shared" si="31"/>
        <v>1804.362514182123</v>
      </c>
      <c r="BD7" s="103">
        <f t="shared" si="29"/>
        <v>9136.93251418213</v>
      </c>
      <c r="BE7" s="103">
        <f t="shared" si="32"/>
        <v>8761.960000000021</v>
      </c>
      <c r="BF7" s="93">
        <f t="shared" si="33"/>
        <v>2.2726584786435192E-2</v>
      </c>
      <c r="BG7" s="103">
        <f t="shared" si="34"/>
        <v>1765.994042807363</v>
      </c>
      <c r="BH7" s="103">
        <f t="shared" si="35"/>
        <v>10527.954042807383</v>
      </c>
      <c r="BI7" s="103">
        <f t="shared" si="36"/>
        <v>7653.4799999999814</v>
      </c>
      <c r="BJ7" s="90">
        <f t="shared" si="37"/>
        <v>1.5890017826721937E-2</v>
      </c>
      <c r="BK7" s="102">
        <f t="shared" si="38"/>
        <v>1791.2764659004836</v>
      </c>
      <c r="BL7" s="102">
        <f t="shared" si="39"/>
        <v>9444.7564659004656</v>
      </c>
      <c r="BM7" s="94">
        <f t="shared" si="40"/>
        <v>6439.5</v>
      </c>
      <c r="BN7" s="90">
        <f t="shared" si="41"/>
        <v>1.6615391903542321E-2</v>
      </c>
      <c r="BO7" s="94">
        <f t="shared" si="42"/>
        <v>1630.9281553885767</v>
      </c>
      <c r="BP7" s="94">
        <f t="shared" si="43"/>
        <v>8070.4281553885767</v>
      </c>
      <c r="BQ7" s="94">
        <f t="shared" si="44"/>
        <v>9402.0200000000186</v>
      </c>
      <c r="BR7" s="90">
        <f t="shared" si="45"/>
        <v>1.7860401069441048E-2</v>
      </c>
      <c r="BS7" s="94">
        <f t="shared" si="46"/>
        <v>2031.4229070090855</v>
      </c>
      <c r="BT7" s="94">
        <f t="shared" si="47"/>
        <v>11433.442907009105</v>
      </c>
    </row>
    <row r="8" spans="1:72" ht="13.5" hidden="1">
      <c r="A8" s="11">
        <v>5</v>
      </c>
      <c r="B8" s="16" t="s">
        <v>39</v>
      </c>
      <c r="C8" s="17" t="s">
        <v>40</v>
      </c>
      <c r="D8" s="13" t="s">
        <v>41</v>
      </c>
      <c r="E8" s="18" t="s">
        <v>42</v>
      </c>
      <c r="F8" s="54" t="s">
        <v>53</v>
      </c>
      <c r="G8" s="55" t="s">
        <v>54</v>
      </c>
      <c r="H8" s="53">
        <v>17570.45</v>
      </c>
      <c r="I8" s="53">
        <v>18288.05</v>
      </c>
      <c r="J8" s="53">
        <v>18314.55</v>
      </c>
      <c r="K8" s="53">
        <v>717.6</v>
      </c>
      <c r="L8" s="53">
        <v>26.5</v>
      </c>
      <c r="M8" s="53">
        <v>18346.75</v>
      </c>
      <c r="N8" s="53">
        <v>18389.05</v>
      </c>
      <c r="O8" s="53">
        <v>18433.25</v>
      </c>
      <c r="P8" s="53">
        <v>18451.7</v>
      </c>
      <c r="Q8" s="53">
        <v>18518.2</v>
      </c>
      <c r="R8" s="53">
        <v>18547.45</v>
      </c>
      <c r="S8" s="53">
        <v>18597.7</v>
      </c>
      <c r="T8" s="71">
        <v>18643.8</v>
      </c>
      <c r="U8" s="34">
        <v>18709.45</v>
      </c>
      <c r="V8" s="34">
        <v>18737.95</v>
      </c>
      <c r="W8" s="72">
        <v>18766.060000000001</v>
      </c>
      <c r="X8" s="72">
        <v>18944.650000000001</v>
      </c>
      <c r="Y8" s="30">
        <f t="shared" si="0"/>
        <v>58.700000000000728</v>
      </c>
      <c r="Z8" s="31">
        <f t="shared" si="1"/>
        <v>1.3288838889852835E-4</v>
      </c>
      <c r="AA8" s="30">
        <f t="shared" si="2"/>
        <v>18.201181771688642</v>
      </c>
      <c r="AB8" s="30">
        <f t="shared" si="3"/>
        <v>76.901181771689366</v>
      </c>
      <c r="AC8" s="30">
        <f t="shared" si="4"/>
        <v>42.299999999999272</v>
      </c>
      <c r="AD8" s="31">
        <f t="shared" si="5"/>
        <v>1.1901197105684934E-4</v>
      </c>
      <c r="AE8" s="30">
        <f t="shared" si="6"/>
        <v>0.82599425428207418</v>
      </c>
      <c r="AF8" s="30">
        <f t="shared" si="7"/>
        <v>43.125994254281345</v>
      </c>
      <c r="AG8" s="30">
        <f t="shared" si="8"/>
        <v>44.200000000000728</v>
      </c>
      <c r="AH8" s="31">
        <f t="shared" si="9"/>
        <v>1.5234202950120869E-4</v>
      </c>
      <c r="AI8" s="30">
        <f t="shared" si="10"/>
        <v>14.333920969160179</v>
      </c>
      <c r="AJ8" s="30">
        <f t="shared" si="11"/>
        <v>58.533920969160903</v>
      </c>
      <c r="AK8" s="30">
        <f t="shared" si="12"/>
        <v>18.450000000000728</v>
      </c>
      <c r="AL8" s="31">
        <f t="shared" si="13"/>
        <v>4.4861000924065494E-5</v>
      </c>
      <c r="AM8" s="30">
        <f t="shared" si="14"/>
        <v>1.8583956743200261</v>
      </c>
      <c r="AN8" s="30">
        <f t="shared" si="15"/>
        <v>20.308395674320753</v>
      </c>
      <c r="AO8" s="30">
        <f t="shared" si="16"/>
        <v>66.5</v>
      </c>
      <c r="AP8" s="31">
        <f t="shared" si="17"/>
        <v>1.8361573341093966E-4</v>
      </c>
      <c r="AQ8" s="30">
        <f t="shared" si="18"/>
        <v>15.997998174334949</v>
      </c>
      <c r="AR8" s="30">
        <f t="shared" si="19"/>
        <v>82.497998174334953</v>
      </c>
      <c r="AS8" s="92">
        <f t="shared" si="20"/>
        <v>29.25</v>
      </c>
      <c r="AT8" s="93">
        <f t="shared" si="21"/>
        <v>6.1749309162451141E-5</v>
      </c>
      <c r="AU8" s="94">
        <f t="shared" si="22"/>
        <v>7.3156561615645526</v>
      </c>
      <c r="AV8" s="94">
        <f t="shared" si="23"/>
        <v>36.565656161564554</v>
      </c>
      <c r="AW8" s="103">
        <f t="shared" si="24"/>
        <v>50.25</v>
      </c>
      <c r="AX8" s="93">
        <f t="shared" si="25"/>
        <v>1.0833025140055925E-4</v>
      </c>
      <c r="AY8" s="103">
        <f t="shared" si="26"/>
        <v>11.194268612888802</v>
      </c>
      <c r="AZ8" s="103">
        <f t="shared" si="27"/>
        <v>61.444268612888806</v>
      </c>
      <c r="BA8" s="103">
        <f t="shared" si="28"/>
        <v>46.099999999998545</v>
      </c>
      <c r="BB8" s="90">
        <f t="shared" si="30"/>
        <v>1.3123621468183241E-4</v>
      </c>
      <c r="BC8" s="103">
        <f t="shared" si="31"/>
        <v>11.344059709459733</v>
      </c>
      <c r="BD8" s="103">
        <f t="shared" si="29"/>
        <v>57.44405970945828</v>
      </c>
      <c r="BE8" s="103">
        <f t="shared" si="32"/>
        <v>65.650000000001455</v>
      </c>
      <c r="BF8" s="93">
        <f t="shared" si="33"/>
        <v>1.7028156841956594E-4</v>
      </c>
      <c r="BG8" s="103">
        <f t="shared" si="34"/>
        <v>13.231914880951942</v>
      </c>
      <c r="BH8" s="103">
        <f t="shared" si="35"/>
        <v>78.881914880953403</v>
      </c>
      <c r="BI8" s="103">
        <f t="shared" si="36"/>
        <v>28.5</v>
      </c>
      <c r="BJ8" s="90">
        <f t="shared" si="37"/>
        <v>5.9171188539275765E-5</v>
      </c>
      <c r="BK8" s="102">
        <f t="shared" si="38"/>
        <v>6.6703485575403487</v>
      </c>
      <c r="BL8" s="102">
        <f t="shared" si="39"/>
        <v>35.17034855754035</v>
      </c>
      <c r="BM8" s="94">
        <f t="shared" si="40"/>
        <v>28.110000000000582</v>
      </c>
      <c r="BN8" s="90">
        <f t="shared" si="41"/>
        <v>7.2530268873139897E-5</v>
      </c>
      <c r="BO8" s="94">
        <f t="shared" si="42"/>
        <v>7.1194021970609285</v>
      </c>
      <c r="BP8" s="94">
        <f t="shared" si="43"/>
        <v>35.229402197061511</v>
      </c>
      <c r="BQ8" s="94">
        <f t="shared" si="44"/>
        <v>178.59000000000015</v>
      </c>
      <c r="BR8" s="90">
        <f t="shared" si="45"/>
        <v>3.3925571600480249E-4</v>
      </c>
      <c r="BS8" s="94">
        <f t="shared" si="46"/>
        <v>38.586582134770204</v>
      </c>
      <c r="BT8" s="94">
        <f t="shared" si="47"/>
        <v>217.17658213477034</v>
      </c>
    </row>
    <row r="9" spans="1:72" ht="40.5" hidden="1">
      <c r="A9" s="16">
        <v>6</v>
      </c>
      <c r="B9" s="16" t="s">
        <v>49</v>
      </c>
      <c r="C9" s="17" t="s">
        <v>50</v>
      </c>
      <c r="D9" s="13" t="s">
        <v>41</v>
      </c>
      <c r="E9" s="20" t="s">
        <v>49</v>
      </c>
      <c r="F9" s="54" t="s">
        <v>55</v>
      </c>
      <c r="G9" s="55" t="s">
        <v>56</v>
      </c>
      <c r="H9" s="53">
        <v>36348.120000000003</v>
      </c>
      <c r="I9" s="53">
        <v>66063.679999999993</v>
      </c>
      <c r="J9" s="53">
        <v>67099.02</v>
      </c>
      <c r="K9" s="53">
        <v>29715.56</v>
      </c>
      <c r="L9" s="53">
        <v>1035.3399999999999</v>
      </c>
      <c r="M9" s="53">
        <v>67403.03</v>
      </c>
      <c r="N9" s="53">
        <v>69293.63</v>
      </c>
      <c r="O9" s="53">
        <v>71101.429999999993</v>
      </c>
      <c r="P9" s="53">
        <v>72963.47</v>
      </c>
      <c r="Q9" s="53">
        <v>75226.070000000007</v>
      </c>
      <c r="R9" s="53">
        <v>77370.600000000006</v>
      </c>
      <c r="S9" s="53">
        <v>79294.490000000005</v>
      </c>
      <c r="T9" s="71">
        <v>81242.69</v>
      </c>
      <c r="U9" s="34">
        <v>83585.39</v>
      </c>
      <c r="V9" s="34">
        <v>86255.28</v>
      </c>
      <c r="W9" s="72">
        <v>89046.41</v>
      </c>
      <c r="X9" s="72">
        <v>91991.54</v>
      </c>
      <c r="Y9" s="30">
        <f t="shared" si="0"/>
        <v>1339.3500000000058</v>
      </c>
      <c r="Z9" s="31">
        <f t="shared" si="1"/>
        <v>3.032096485029685E-3</v>
      </c>
      <c r="AA9" s="30">
        <f t="shared" si="2"/>
        <v>415.29391492182259</v>
      </c>
      <c r="AB9" s="30">
        <f t="shared" si="3"/>
        <v>1754.6439149218284</v>
      </c>
      <c r="AC9" s="30">
        <f t="shared" si="4"/>
        <v>1890.6000000000058</v>
      </c>
      <c r="AD9" s="31">
        <f t="shared" si="5"/>
        <v>5.3192442666686506E-3</v>
      </c>
      <c r="AE9" s="30">
        <f t="shared" si="6"/>
        <v>36.917842485714445</v>
      </c>
      <c r="AF9" s="30">
        <f t="shared" si="7"/>
        <v>1927.5178424857202</v>
      </c>
      <c r="AG9" s="30">
        <f t="shared" si="8"/>
        <v>1807.7999999999884</v>
      </c>
      <c r="AH9" s="31">
        <f t="shared" si="9"/>
        <v>6.2308579396443157E-3</v>
      </c>
      <c r="AI9" s="30">
        <f t="shared" si="10"/>
        <v>586.26385357572804</v>
      </c>
      <c r="AJ9" s="30">
        <f t="shared" si="11"/>
        <v>2394.0638535757162</v>
      </c>
      <c r="AK9" s="30">
        <f t="shared" si="12"/>
        <v>1862.0400000000081</v>
      </c>
      <c r="AL9" s="31">
        <f t="shared" si="13"/>
        <v>4.5275326916338204E-3</v>
      </c>
      <c r="AM9" s="30">
        <f t="shared" si="14"/>
        <v>187.55593937185583</v>
      </c>
      <c r="AN9" s="30">
        <f t="shared" si="15"/>
        <v>2049.595939371864</v>
      </c>
      <c r="AO9" s="30">
        <f t="shared" si="16"/>
        <v>2262.6000000000058</v>
      </c>
      <c r="AP9" s="31">
        <f t="shared" si="17"/>
        <v>6.2473527581292194E-3</v>
      </c>
      <c r="AQ9" s="30">
        <f t="shared" si="18"/>
        <v>544.31685216917811</v>
      </c>
      <c r="AR9" s="30">
        <f t="shared" si="19"/>
        <v>2806.916852169184</v>
      </c>
      <c r="AS9" s="92">
        <f t="shared" si="20"/>
        <v>2144.5299999999988</v>
      </c>
      <c r="AT9" s="93">
        <f t="shared" si="21"/>
        <v>4.5272904607914959E-3</v>
      </c>
      <c r="AU9" s="94">
        <f t="shared" si="22"/>
        <v>536.36390113367588</v>
      </c>
      <c r="AV9" s="94">
        <f t="shared" si="23"/>
        <v>2680.8939011336747</v>
      </c>
      <c r="AW9" s="103">
        <f t="shared" si="24"/>
        <v>1923.8899999999994</v>
      </c>
      <c r="AX9" s="93">
        <f t="shared" si="25"/>
        <v>4.1475718879009325E-3</v>
      </c>
      <c r="AY9" s="103">
        <f t="shared" si="26"/>
        <v>428.58788938608217</v>
      </c>
      <c r="AZ9" s="103">
        <f t="shared" si="27"/>
        <v>2352.4778893860816</v>
      </c>
      <c r="BA9" s="103">
        <f t="shared" si="28"/>
        <v>1948.1999999999971</v>
      </c>
      <c r="BB9" s="90">
        <f t="shared" si="30"/>
        <v>5.5460822872701434E-3</v>
      </c>
      <c r="BC9" s="103">
        <f t="shared" si="31"/>
        <v>479.40340837245378</v>
      </c>
      <c r="BD9" s="103">
        <f t="shared" si="29"/>
        <v>2427.6034083724508</v>
      </c>
      <c r="BE9" s="103">
        <f t="shared" si="32"/>
        <v>2342.6999999999971</v>
      </c>
      <c r="BF9" s="93">
        <f t="shared" si="33"/>
        <v>6.076445245034391E-3</v>
      </c>
      <c r="BG9" s="103">
        <f t="shared" si="34"/>
        <v>472.17680109071426</v>
      </c>
      <c r="BH9" s="103">
        <f t="shared" si="35"/>
        <v>2814.8768010907115</v>
      </c>
      <c r="BI9" s="103">
        <f t="shared" si="36"/>
        <v>2669.8899999999994</v>
      </c>
      <c r="BJ9" s="90">
        <f t="shared" si="37"/>
        <v>5.543177704179893E-3</v>
      </c>
      <c r="BK9" s="102">
        <f t="shared" si="38"/>
        <v>624.88059334355785</v>
      </c>
      <c r="BL9" s="102">
        <f t="shared" si="39"/>
        <v>3294.7705933435573</v>
      </c>
      <c r="BM9" s="94">
        <f t="shared" si="40"/>
        <v>2791.1300000000047</v>
      </c>
      <c r="BN9" s="90">
        <f t="shared" si="41"/>
        <v>7.2017577146881217E-3</v>
      </c>
      <c r="BO9" s="94">
        <f t="shared" si="42"/>
        <v>706.90775717830979</v>
      </c>
      <c r="BP9" s="94">
        <f t="shared" si="43"/>
        <v>3498.0377571783147</v>
      </c>
      <c r="BQ9" s="94">
        <f t="shared" si="44"/>
        <v>2945.1299999999901</v>
      </c>
      <c r="BR9" s="90">
        <f t="shared" si="45"/>
        <v>5.5946704007907491E-3</v>
      </c>
      <c r="BS9" s="94">
        <f t="shared" si="46"/>
        <v>636.3318250886125</v>
      </c>
      <c r="BT9" s="94">
        <f t="shared" si="47"/>
        <v>3581.4618250886024</v>
      </c>
    </row>
    <row r="10" spans="1:72" ht="13.5" hidden="1">
      <c r="A10" s="11">
        <v>7</v>
      </c>
      <c r="B10" s="16" t="s">
        <v>39</v>
      </c>
      <c r="C10" s="17" t="s">
        <v>40</v>
      </c>
      <c r="D10" s="13" t="s">
        <v>41</v>
      </c>
      <c r="E10" s="18" t="s">
        <v>42</v>
      </c>
      <c r="F10" s="56" t="s">
        <v>57</v>
      </c>
      <c r="G10" s="57" t="s">
        <v>58</v>
      </c>
      <c r="H10" s="53">
        <v>107549.25</v>
      </c>
      <c r="I10" s="53">
        <v>27589.8</v>
      </c>
      <c r="J10" s="53">
        <v>160781.32999999999</v>
      </c>
      <c r="K10" s="53">
        <v>50761.74</v>
      </c>
      <c r="L10" s="53">
        <v>2470.34</v>
      </c>
      <c r="M10" s="53">
        <v>28538.400000000001</v>
      </c>
      <c r="N10" s="53">
        <v>29842.799999999999</v>
      </c>
      <c r="O10" s="53">
        <v>30793.8</v>
      </c>
      <c r="P10" s="53">
        <v>31824.6</v>
      </c>
      <c r="Q10" s="53">
        <v>32515.8</v>
      </c>
      <c r="R10" s="53">
        <v>33285</v>
      </c>
      <c r="S10" s="73">
        <v>34080</v>
      </c>
      <c r="T10" s="74">
        <v>34970.400000000001</v>
      </c>
      <c r="U10" s="34">
        <v>35949</v>
      </c>
      <c r="V10" s="34">
        <v>36898.199999999997</v>
      </c>
      <c r="W10" s="72">
        <v>37588.800000000003</v>
      </c>
      <c r="X10" s="72">
        <v>38508.6</v>
      </c>
      <c r="Y10" s="30">
        <f t="shared" si="0"/>
        <v>948.60000000000218</v>
      </c>
      <c r="Z10" s="31">
        <f t="shared" si="1"/>
        <v>2.1474944754538792E-3</v>
      </c>
      <c r="AA10" s="30">
        <f t="shared" si="2"/>
        <v>294.13357800040325</v>
      </c>
      <c r="AB10" s="30">
        <f t="shared" si="3"/>
        <v>1242.7335780004055</v>
      </c>
      <c r="AC10" s="30">
        <f t="shared" si="4"/>
        <v>1304.3999999999978</v>
      </c>
      <c r="AD10" s="31">
        <f t="shared" si="5"/>
        <v>3.6699578025190705E-3</v>
      </c>
      <c r="AE10" s="30">
        <f t="shared" si="6"/>
        <v>25.471085231336978</v>
      </c>
      <c r="AF10" s="30">
        <f t="shared" si="7"/>
        <v>1329.8710852313347</v>
      </c>
      <c r="AG10" s="30">
        <f t="shared" si="8"/>
        <v>951</v>
      </c>
      <c r="AH10" s="31">
        <f t="shared" si="9"/>
        <v>3.2777662908517434E-3</v>
      </c>
      <c r="AI10" s="30">
        <f t="shared" si="10"/>
        <v>308.40630863509284</v>
      </c>
      <c r="AJ10" s="30">
        <f t="shared" si="11"/>
        <v>1259.406308635093</v>
      </c>
      <c r="AK10" s="30">
        <f t="shared" si="12"/>
        <v>1030.7999999999993</v>
      </c>
      <c r="AL10" s="31">
        <f t="shared" si="13"/>
        <v>2.506380474391591E-3</v>
      </c>
      <c r="AM10" s="30">
        <f t="shared" si="14"/>
        <v>103.82841523517646</v>
      </c>
      <c r="AN10" s="30">
        <f t="shared" si="15"/>
        <v>1134.6284152351757</v>
      </c>
      <c r="AO10" s="30">
        <f t="shared" si="16"/>
        <v>691.20000000000073</v>
      </c>
      <c r="AP10" s="31">
        <f t="shared" si="17"/>
        <v>1.9084991719344603E-3</v>
      </c>
      <c r="AQ10" s="30">
        <f t="shared" si="18"/>
        <v>166.28295245263649</v>
      </c>
      <c r="AR10" s="30">
        <f t="shared" si="19"/>
        <v>857.48295245263716</v>
      </c>
      <c r="AS10" s="92">
        <f t="shared" si="20"/>
        <v>769.20000000000073</v>
      </c>
      <c r="AT10" s="95">
        <f t="shared" si="21"/>
        <v>1.6238484994105114E-3</v>
      </c>
      <c r="AU10" s="94">
        <f t="shared" si="22"/>
        <v>192.38299895642592</v>
      </c>
      <c r="AV10" s="94">
        <f t="shared" si="23"/>
        <v>961.58299895642665</v>
      </c>
      <c r="AW10" s="103">
        <f t="shared" si="24"/>
        <v>795</v>
      </c>
      <c r="AX10" s="95">
        <f t="shared" si="25"/>
        <v>1.7138815893222806E-3</v>
      </c>
      <c r="AY10" s="103">
        <f t="shared" si="26"/>
        <v>177.10335417406165</v>
      </c>
      <c r="AZ10" s="103">
        <f t="shared" si="27"/>
        <v>972.10335417406168</v>
      </c>
      <c r="BA10" s="103">
        <f t="shared" si="28"/>
        <v>890.40000000000146</v>
      </c>
      <c r="BB10" s="104">
        <f t="shared" si="30"/>
        <v>2.5347662809697934E-3</v>
      </c>
      <c r="BC10" s="103">
        <f t="shared" si="31"/>
        <v>219.10522267469162</v>
      </c>
      <c r="BD10" s="103">
        <f t="shared" si="29"/>
        <v>1109.505222674693</v>
      </c>
      <c r="BE10" s="103">
        <f t="shared" si="32"/>
        <v>978.59999999999854</v>
      </c>
      <c r="BF10" s="95">
        <f t="shared" si="33"/>
        <v>2.5382717875915197E-3</v>
      </c>
      <c r="BG10" s="103">
        <f t="shared" si="34"/>
        <v>197.23917597104744</v>
      </c>
      <c r="BH10" s="103">
        <f t="shared" si="35"/>
        <v>1175.839175971046</v>
      </c>
      <c r="BI10" s="103">
        <f t="shared" si="36"/>
        <v>949.19999999999709</v>
      </c>
      <c r="BJ10" s="104">
        <f t="shared" si="37"/>
        <v>1.9707120056659784E-3</v>
      </c>
      <c r="BK10" s="102">
        <f t="shared" si="38"/>
        <v>222.15771406376419</v>
      </c>
      <c r="BL10" s="102">
        <f t="shared" si="39"/>
        <v>1171.3577140637613</v>
      </c>
      <c r="BM10" s="94">
        <f t="shared" si="40"/>
        <v>690.60000000000582</v>
      </c>
      <c r="BN10" s="104">
        <f t="shared" si="41"/>
        <v>1.7819069257840553E-3</v>
      </c>
      <c r="BO10" s="94">
        <f t="shared" si="42"/>
        <v>174.90783199182556</v>
      </c>
      <c r="BP10" s="94">
        <f t="shared" si="43"/>
        <v>865.50783199183138</v>
      </c>
      <c r="BQ10" s="94">
        <f t="shared" si="44"/>
        <v>919.79999999999563</v>
      </c>
      <c r="BR10" s="90">
        <f t="shared" si="45"/>
        <v>1.7472837649432534E-3</v>
      </c>
      <c r="BS10" s="94">
        <f t="shared" si="46"/>
        <v>198.73418583101764</v>
      </c>
      <c r="BT10" s="94">
        <f t="shared" si="47"/>
        <v>1118.5341858310132</v>
      </c>
    </row>
    <row r="11" spans="1:72" ht="13.5" hidden="1">
      <c r="A11" s="11">
        <v>8</v>
      </c>
      <c r="B11" s="16" t="s">
        <v>49</v>
      </c>
      <c r="C11" s="17" t="s">
        <v>50</v>
      </c>
      <c r="D11" s="13" t="s">
        <v>41</v>
      </c>
      <c r="E11" s="20" t="s">
        <v>49</v>
      </c>
      <c r="F11" s="56" t="s">
        <v>59</v>
      </c>
      <c r="G11" s="57" t="s">
        <v>60</v>
      </c>
      <c r="H11" s="53"/>
      <c r="I11" s="53">
        <v>130565.93</v>
      </c>
      <c r="J11" s="53"/>
      <c r="K11" s="53"/>
      <c r="L11" s="53"/>
      <c r="M11" s="53">
        <v>133055.03</v>
      </c>
      <c r="N11" s="53">
        <v>136572.96</v>
      </c>
      <c r="O11" s="53">
        <v>139700</v>
      </c>
      <c r="P11" s="53">
        <v>143449.57999999999</v>
      </c>
      <c r="Q11" s="53">
        <v>147155.38</v>
      </c>
      <c r="R11" s="53">
        <v>151703.57999999999</v>
      </c>
      <c r="S11" s="73">
        <v>155250</v>
      </c>
      <c r="T11" s="74">
        <v>159994.67000000001</v>
      </c>
      <c r="U11" s="34">
        <v>163054.98000000001</v>
      </c>
      <c r="V11" s="34">
        <v>167090.94</v>
      </c>
      <c r="W11" s="72">
        <v>170578.92</v>
      </c>
      <c r="X11" s="72">
        <v>174832.21</v>
      </c>
      <c r="Y11" s="30">
        <f t="shared" si="0"/>
        <v>2489.1000000000058</v>
      </c>
      <c r="Z11" s="31">
        <f t="shared" si="1"/>
        <v>5.634965737773826E-3</v>
      </c>
      <c r="AA11" s="30">
        <f t="shared" si="2"/>
        <v>771.79832279232949</v>
      </c>
      <c r="AB11" s="30">
        <f t="shared" si="3"/>
        <v>3260.8983227923354</v>
      </c>
      <c r="AC11" s="30">
        <f t="shared" si="4"/>
        <v>3517.929999999993</v>
      </c>
      <c r="AD11" s="31">
        <f t="shared" si="5"/>
        <v>9.8977726557926329E-3</v>
      </c>
      <c r="AE11" s="30">
        <f t="shared" si="6"/>
        <v>68.694798273441648</v>
      </c>
      <c r="AF11" s="30">
        <f t="shared" si="7"/>
        <v>3586.6247982734349</v>
      </c>
      <c r="AG11" s="30">
        <f t="shared" si="8"/>
        <v>3127.0400000000081</v>
      </c>
      <c r="AH11" s="31">
        <f t="shared" si="9"/>
        <v>1.0777819455462738E-2</v>
      </c>
      <c r="AI11" s="30">
        <f t="shared" si="10"/>
        <v>1014.089235914073</v>
      </c>
      <c r="AJ11" s="30">
        <f t="shared" si="11"/>
        <v>4141.1292359140807</v>
      </c>
      <c r="AK11" s="30">
        <f t="shared" si="12"/>
        <v>3749.5799999999872</v>
      </c>
      <c r="AL11" s="31">
        <f t="shared" si="13"/>
        <v>9.1170683926748118E-3</v>
      </c>
      <c r="AM11" s="30">
        <f t="shared" si="14"/>
        <v>377.68039309032974</v>
      </c>
      <c r="AN11" s="30">
        <f t="shared" si="15"/>
        <v>4127.2603930903169</v>
      </c>
      <c r="AO11" s="30">
        <f t="shared" si="16"/>
        <v>3705.8000000000175</v>
      </c>
      <c r="AP11" s="31">
        <f t="shared" si="17"/>
        <v>1.0232228343973885E-2</v>
      </c>
      <c r="AQ11" s="30">
        <f t="shared" si="18"/>
        <v>891.50949826241708</v>
      </c>
      <c r="AR11" s="30">
        <f t="shared" si="19"/>
        <v>4597.3094982624343</v>
      </c>
      <c r="AS11" s="92">
        <f t="shared" si="20"/>
        <v>4548.1999999999825</v>
      </c>
      <c r="AT11" s="95">
        <f t="shared" si="21"/>
        <v>9.6016481344498861E-3</v>
      </c>
      <c r="AU11" s="94">
        <f t="shared" si="22"/>
        <v>1137.5407642402654</v>
      </c>
      <c r="AV11" s="94">
        <f t="shared" si="23"/>
        <v>5685.7407642402477</v>
      </c>
      <c r="AW11" s="103">
        <f t="shared" si="24"/>
        <v>3546.4200000000128</v>
      </c>
      <c r="AX11" s="95">
        <f t="shared" si="25"/>
        <v>7.6454640830243325E-3</v>
      </c>
      <c r="AY11" s="103">
        <f t="shared" si="26"/>
        <v>790.04135510689048</v>
      </c>
      <c r="AZ11" s="103">
        <f t="shared" si="27"/>
        <v>4336.4613551069033</v>
      </c>
      <c r="BA11" s="103">
        <f t="shared" si="28"/>
        <v>4744.6700000000128</v>
      </c>
      <c r="BB11" s="104">
        <f t="shared" si="30"/>
        <v>1.3506996327862716E-2</v>
      </c>
      <c r="BC11" s="103">
        <f t="shared" si="31"/>
        <v>1167.5448976504158</v>
      </c>
      <c r="BD11" s="103">
        <f t="shared" si="29"/>
        <v>5912.2148976504286</v>
      </c>
      <c r="BE11" s="103">
        <f t="shared" si="32"/>
        <v>3060.3099999999977</v>
      </c>
      <c r="BF11" s="95">
        <f t="shared" si="33"/>
        <v>7.9377667425753213E-3</v>
      </c>
      <c r="BG11" s="103">
        <f t="shared" si="34"/>
        <v>616.81281689756452</v>
      </c>
      <c r="BH11" s="103">
        <f t="shared" si="35"/>
        <v>3677.1228168975622</v>
      </c>
      <c r="BI11" s="103">
        <f t="shared" si="36"/>
        <v>4035.9599999999919</v>
      </c>
      <c r="BJ11" s="104">
        <f t="shared" si="37"/>
        <v>8.3793877227008751E-3</v>
      </c>
      <c r="BK11" s="102">
        <f t="shared" si="38"/>
        <v>944.60561278212253</v>
      </c>
      <c r="BL11" s="102">
        <f t="shared" si="39"/>
        <v>4980.5656127821148</v>
      </c>
      <c r="BM11" s="94">
        <f t="shared" si="40"/>
        <v>3487.9800000000105</v>
      </c>
      <c r="BN11" s="104">
        <f t="shared" si="41"/>
        <v>8.9997910787666321E-3</v>
      </c>
      <c r="BO11" s="94">
        <f t="shared" si="42"/>
        <v>883.39852277851787</v>
      </c>
      <c r="BP11" s="94">
        <f t="shared" si="43"/>
        <v>4371.3785227785283</v>
      </c>
      <c r="BQ11" s="94">
        <f t="shared" si="44"/>
        <v>4253.289999999979</v>
      </c>
      <c r="BR11" s="90">
        <f t="shared" si="45"/>
        <v>8.0796961998211448E-3</v>
      </c>
      <c r="BS11" s="94">
        <f t="shared" si="46"/>
        <v>918.97600049272546</v>
      </c>
      <c r="BT11" s="94">
        <f t="shared" si="47"/>
        <v>5172.2660004927047</v>
      </c>
    </row>
    <row r="12" spans="1:72" ht="13.5" hidden="1">
      <c r="A12" s="11">
        <v>9</v>
      </c>
      <c r="B12" s="16" t="s">
        <v>49</v>
      </c>
      <c r="C12" s="17" t="s">
        <v>50</v>
      </c>
      <c r="D12" s="13" t="s">
        <v>41</v>
      </c>
      <c r="E12" s="20" t="s">
        <v>49</v>
      </c>
      <c r="F12" s="56" t="s">
        <v>61</v>
      </c>
      <c r="G12" s="57" t="s">
        <v>62</v>
      </c>
      <c r="H12" s="53">
        <v>88490.72</v>
      </c>
      <c r="I12" s="53">
        <v>113826.96</v>
      </c>
      <c r="J12" s="53">
        <v>115288.56</v>
      </c>
      <c r="K12" s="53">
        <v>25336.240000000002</v>
      </c>
      <c r="L12" s="53">
        <v>1461.6</v>
      </c>
      <c r="M12" s="53">
        <v>116295.92</v>
      </c>
      <c r="N12" s="53">
        <v>118482.32</v>
      </c>
      <c r="O12" s="53">
        <v>120829.28</v>
      </c>
      <c r="P12" s="53">
        <v>122684.72</v>
      </c>
      <c r="Q12" s="53">
        <v>125776.96000000001</v>
      </c>
      <c r="R12" s="53">
        <v>127206.32</v>
      </c>
      <c r="S12" s="53">
        <v>129159.44</v>
      </c>
      <c r="T12" s="71">
        <v>131207.35999999999</v>
      </c>
      <c r="U12" s="34">
        <v>133415.04000000001</v>
      </c>
      <c r="V12" s="34">
        <v>135165.44</v>
      </c>
      <c r="W12" s="72">
        <v>136676.64000000001</v>
      </c>
      <c r="X12" s="72">
        <v>139277.04</v>
      </c>
      <c r="Y12" s="30">
        <f t="shared" si="0"/>
        <v>2468.9599999999919</v>
      </c>
      <c r="Z12" s="31">
        <f t="shared" si="1"/>
        <v>5.5893716636270085E-3</v>
      </c>
      <c r="AA12" s="30">
        <f t="shared" si="2"/>
        <v>765.55348802432161</v>
      </c>
      <c r="AB12" s="30">
        <f t="shared" si="3"/>
        <v>3234.5134880243136</v>
      </c>
      <c r="AC12" s="30">
        <f t="shared" si="4"/>
        <v>2186.4000000000087</v>
      </c>
      <c r="AD12" s="31">
        <f t="shared" si="5"/>
        <v>6.1514840075343E-3</v>
      </c>
      <c r="AE12" s="30">
        <f t="shared" si="6"/>
        <v>42.693944150410523</v>
      </c>
      <c r="AF12" s="30">
        <f t="shared" si="7"/>
        <v>2229.0939441504192</v>
      </c>
      <c r="AG12" s="30">
        <f t="shared" si="8"/>
        <v>2346.9599999999919</v>
      </c>
      <c r="AH12" s="31">
        <f t="shared" si="9"/>
        <v>8.0891549673789507E-3</v>
      </c>
      <c r="AI12" s="30">
        <f t="shared" si="10"/>
        <v>761.11174565112003</v>
      </c>
      <c r="AJ12" s="30">
        <f t="shared" si="11"/>
        <v>3108.071745651112</v>
      </c>
      <c r="AK12" s="30">
        <f t="shared" si="12"/>
        <v>1855.4400000000023</v>
      </c>
      <c r="AL12" s="31">
        <f t="shared" si="13"/>
        <v>4.5114848539048727E-3</v>
      </c>
      <c r="AM12" s="30">
        <f t="shared" si="14"/>
        <v>186.89114742331802</v>
      </c>
      <c r="AN12" s="30">
        <f t="shared" si="15"/>
        <v>2042.3311474233203</v>
      </c>
      <c r="AO12" s="30">
        <f t="shared" si="16"/>
        <v>3092.2400000000052</v>
      </c>
      <c r="AP12" s="31">
        <f t="shared" si="17"/>
        <v>8.5381039922202244E-3</v>
      </c>
      <c r="AQ12" s="30">
        <f t="shared" si="18"/>
        <v>743.90450939256516</v>
      </c>
      <c r="AR12" s="30">
        <f t="shared" si="19"/>
        <v>3836.1445093925704</v>
      </c>
      <c r="AS12" s="92">
        <f t="shared" si="20"/>
        <v>1429.3600000000006</v>
      </c>
      <c r="AT12" s="93">
        <f t="shared" si="21"/>
        <v>3.0175040186133741E-3</v>
      </c>
      <c r="AU12" s="94">
        <f t="shared" si="22"/>
        <v>357.49423217415085</v>
      </c>
      <c r="AV12" s="94">
        <f t="shared" si="23"/>
        <v>1786.8542321741515</v>
      </c>
      <c r="AW12" s="103">
        <f t="shared" si="24"/>
        <v>1953.1199999999953</v>
      </c>
      <c r="AX12" s="93">
        <f t="shared" si="25"/>
        <v>4.2105866789146221E-3</v>
      </c>
      <c r="AY12" s="103">
        <f t="shared" si="26"/>
        <v>435.09950076030498</v>
      </c>
      <c r="AZ12" s="103">
        <f t="shared" si="27"/>
        <v>2388.2195007603004</v>
      </c>
      <c r="BA12" s="103">
        <f t="shared" si="28"/>
        <v>2047.9199999999837</v>
      </c>
      <c r="BB12" s="90">
        <f t="shared" si="30"/>
        <v>5.8299624462304685E-3</v>
      </c>
      <c r="BC12" s="103">
        <f t="shared" si="31"/>
        <v>503.94201215178589</v>
      </c>
      <c r="BD12" s="103">
        <f t="shared" si="29"/>
        <v>2551.8620121517697</v>
      </c>
      <c r="BE12" s="103">
        <f t="shared" si="32"/>
        <v>2207.6800000000221</v>
      </c>
      <c r="BF12" s="93">
        <f t="shared" si="33"/>
        <v>5.7262332516146647E-3</v>
      </c>
      <c r="BG12" s="103">
        <f t="shared" si="34"/>
        <v>444.96319641096159</v>
      </c>
      <c r="BH12" s="103">
        <f t="shared" si="35"/>
        <v>2652.6431964109838</v>
      </c>
      <c r="BI12" s="103">
        <f t="shared" si="36"/>
        <v>1750.3999999999942</v>
      </c>
      <c r="BJ12" s="90">
        <f t="shared" si="37"/>
        <v>3.6341490673385251E-3</v>
      </c>
      <c r="BK12" s="102">
        <f t="shared" si="38"/>
        <v>409.67642509188028</v>
      </c>
      <c r="BL12" s="102">
        <f t="shared" si="39"/>
        <v>2160.0764250918746</v>
      </c>
      <c r="BM12" s="94">
        <f t="shared" si="40"/>
        <v>1511.2000000000116</v>
      </c>
      <c r="BN12" s="90">
        <f t="shared" si="41"/>
        <v>3.8992437680927636E-3</v>
      </c>
      <c r="BO12" s="94">
        <f t="shared" si="42"/>
        <v>382.7406830380055</v>
      </c>
      <c r="BP12" s="94">
        <f t="shared" si="43"/>
        <v>1893.9406830380171</v>
      </c>
      <c r="BQ12" s="94">
        <f t="shared" si="44"/>
        <v>2600.3999999999942</v>
      </c>
      <c r="BR12" s="90">
        <f t="shared" si="45"/>
        <v>4.9398094176543242E-3</v>
      </c>
      <c r="BS12" s="94">
        <f t="shared" si="46"/>
        <v>561.84863756792731</v>
      </c>
      <c r="BT12" s="94">
        <f t="shared" si="47"/>
        <v>3162.2486375679214</v>
      </c>
    </row>
    <row r="13" spans="1:72" ht="13.5" hidden="1">
      <c r="A13" s="16">
        <v>10</v>
      </c>
      <c r="B13" s="16" t="s">
        <v>49</v>
      </c>
      <c r="C13" s="17" t="s">
        <v>50</v>
      </c>
      <c r="D13" s="13" t="s">
        <v>41</v>
      </c>
      <c r="E13" s="20" t="s">
        <v>49</v>
      </c>
      <c r="F13" s="56" t="s">
        <v>63</v>
      </c>
      <c r="G13" s="57" t="s">
        <v>64</v>
      </c>
      <c r="H13" s="53">
        <v>35247.370000000003</v>
      </c>
      <c r="I13" s="53">
        <v>47659.31</v>
      </c>
      <c r="J13" s="53">
        <v>48554.69</v>
      </c>
      <c r="K13" s="53">
        <v>12411.94</v>
      </c>
      <c r="L13" s="53">
        <v>895.38</v>
      </c>
      <c r="M13" s="53">
        <v>49136.69</v>
      </c>
      <c r="N13" s="53">
        <v>50513.7</v>
      </c>
      <c r="O13" s="53">
        <v>51602.07</v>
      </c>
      <c r="P13" s="53">
        <v>52068.97</v>
      </c>
      <c r="Q13" s="53">
        <v>52975.06</v>
      </c>
      <c r="R13" s="53">
        <v>53370.44</v>
      </c>
      <c r="S13" s="53">
        <v>54077.13</v>
      </c>
      <c r="T13" s="71">
        <v>55352.02</v>
      </c>
      <c r="U13" s="34">
        <v>56556.22</v>
      </c>
      <c r="V13" s="34">
        <v>57314.85</v>
      </c>
      <c r="W13" s="72">
        <v>58156.15</v>
      </c>
      <c r="X13" s="72">
        <v>59661.45</v>
      </c>
      <c r="Y13" s="30">
        <f t="shared" si="0"/>
        <v>1477.3800000000047</v>
      </c>
      <c r="Z13" s="31">
        <f t="shared" si="1"/>
        <v>3.3445766267616011E-3</v>
      </c>
      <c r="AA13" s="30">
        <f t="shared" si="2"/>
        <v>458.09304814066633</v>
      </c>
      <c r="AB13" s="30">
        <f t="shared" si="3"/>
        <v>1935.4730481406709</v>
      </c>
      <c r="AC13" s="30">
        <f t="shared" si="4"/>
        <v>1377.0099999999948</v>
      </c>
      <c r="AD13" s="31">
        <f t="shared" si="5"/>
        <v>3.8742476185577848E-3</v>
      </c>
      <c r="AE13" s="30">
        <f t="shared" si="6"/>
        <v>26.888944399266528</v>
      </c>
      <c r="AF13" s="30">
        <f t="shared" si="7"/>
        <v>1403.8989443992614</v>
      </c>
      <c r="AG13" s="30">
        <f t="shared" si="8"/>
        <v>1088.3700000000026</v>
      </c>
      <c r="AH13" s="31">
        <f t="shared" si="9"/>
        <v>3.7512329105933973E-3</v>
      </c>
      <c r="AI13" s="30">
        <f t="shared" si="10"/>
        <v>352.95496753856662</v>
      </c>
      <c r="AJ13" s="30">
        <f t="shared" si="11"/>
        <v>1441.3249675385691</v>
      </c>
      <c r="AK13" s="30">
        <f t="shared" si="12"/>
        <v>466.90000000000146</v>
      </c>
      <c r="AL13" s="31">
        <f t="shared" si="13"/>
        <v>1.1352629447937896E-3</v>
      </c>
      <c r="AM13" s="30">
        <f t="shared" si="14"/>
        <v>47.028994056367949</v>
      </c>
      <c r="AN13" s="30">
        <f t="shared" si="15"/>
        <v>513.92899405636945</v>
      </c>
      <c r="AO13" s="30">
        <f t="shared" si="16"/>
        <v>906.08999999999651</v>
      </c>
      <c r="AP13" s="31">
        <f t="shared" si="17"/>
        <v>2.5018402990423707E-3</v>
      </c>
      <c r="AQ13" s="30">
        <f t="shared" si="18"/>
        <v>217.97934083884357</v>
      </c>
      <c r="AR13" s="30">
        <f t="shared" si="19"/>
        <v>1124.0693408388402</v>
      </c>
      <c r="AS13" s="92">
        <f t="shared" si="20"/>
        <v>395.38000000000466</v>
      </c>
      <c r="AT13" s="93">
        <f t="shared" si="21"/>
        <v>8.3468177287693052E-4</v>
      </c>
      <c r="AU13" s="94">
        <f t="shared" si="22"/>
        <v>98.887662672117145</v>
      </c>
      <c r="AV13" s="94">
        <f t="shared" si="23"/>
        <v>494.26766267212179</v>
      </c>
      <c r="AW13" s="103">
        <f t="shared" si="24"/>
        <v>706.68999999999505</v>
      </c>
      <c r="AX13" s="93">
        <f t="shared" si="25"/>
        <v>1.5235006042240932E-3</v>
      </c>
      <c r="AY13" s="103">
        <f t="shared" si="26"/>
        <v>157.43040171228523</v>
      </c>
      <c r="AZ13" s="103">
        <f t="shared" si="27"/>
        <v>864.12040171228023</v>
      </c>
      <c r="BA13" s="103">
        <f t="shared" si="28"/>
        <v>1274.8899999999994</v>
      </c>
      <c r="BB13" s="90">
        <f t="shared" si="30"/>
        <v>3.6293218597771484E-3</v>
      </c>
      <c r="BC13" s="103">
        <f t="shared" si="31"/>
        <v>313.71861785235512</v>
      </c>
      <c r="BD13" s="103">
        <f t="shared" si="29"/>
        <v>1588.6086178523547</v>
      </c>
      <c r="BE13" s="103">
        <f t="shared" si="32"/>
        <v>1204.2000000000044</v>
      </c>
      <c r="BF13" s="93">
        <f t="shared" si="33"/>
        <v>3.1234282511932595E-3</v>
      </c>
      <c r="BG13" s="103">
        <f t="shared" si="34"/>
        <v>242.70939679576594</v>
      </c>
      <c r="BH13" s="103">
        <f t="shared" si="35"/>
        <v>1446.9093967957704</v>
      </c>
      <c r="BI13" s="103">
        <f t="shared" si="36"/>
        <v>758.62999999999738</v>
      </c>
      <c r="BJ13" s="90">
        <f t="shared" si="37"/>
        <v>1.5750539916333552E-3</v>
      </c>
      <c r="BK13" s="102">
        <f t="shared" si="38"/>
        <v>177.55531670901115</v>
      </c>
      <c r="BL13" s="102">
        <f t="shared" si="39"/>
        <v>936.18531670900848</v>
      </c>
      <c r="BM13" s="94">
        <f t="shared" si="40"/>
        <v>841.30000000000291</v>
      </c>
      <c r="BN13" s="90">
        <f t="shared" si="41"/>
        <v>2.1707476059399339E-3</v>
      </c>
      <c r="BO13" s="94">
        <f t="shared" si="42"/>
        <v>213.07552715714178</v>
      </c>
      <c r="BP13" s="94">
        <f t="shared" si="43"/>
        <v>1054.3755271571447</v>
      </c>
      <c r="BQ13" s="94">
        <f t="shared" si="44"/>
        <v>1505.2999999999956</v>
      </c>
      <c r="BR13" s="90">
        <f t="shared" si="45"/>
        <v>2.8595197340390128E-3</v>
      </c>
      <c r="BS13" s="94">
        <f t="shared" si="46"/>
        <v>325.2387148634827</v>
      </c>
      <c r="BT13" s="94">
        <f t="shared" si="47"/>
        <v>1830.5387148634784</v>
      </c>
    </row>
    <row r="14" spans="1:72" ht="27" hidden="1">
      <c r="A14" s="11">
        <v>11</v>
      </c>
      <c r="B14" s="16" t="s">
        <v>49</v>
      </c>
      <c r="C14" s="17" t="s">
        <v>50</v>
      </c>
      <c r="D14" s="13" t="s">
        <v>41</v>
      </c>
      <c r="E14" s="20" t="s">
        <v>49</v>
      </c>
      <c r="F14" s="56" t="s">
        <v>65</v>
      </c>
      <c r="G14" s="57" t="s">
        <v>66</v>
      </c>
      <c r="H14" s="53">
        <v>24315.79</v>
      </c>
      <c r="I14" s="53">
        <v>38074.14</v>
      </c>
      <c r="J14" s="53">
        <v>38635.629999999997</v>
      </c>
      <c r="K14" s="53">
        <v>13758.35</v>
      </c>
      <c r="L14" s="53">
        <v>561.49</v>
      </c>
      <c r="M14" s="53">
        <v>38855.32</v>
      </c>
      <c r="N14" s="53">
        <v>39928.39</v>
      </c>
      <c r="O14" s="53">
        <v>40770.879999999997</v>
      </c>
      <c r="P14" s="53">
        <v>41812.99</v>
      </c>
      <c r="Q14" s="53">
        <v>42686.3</v>
      </c>
      <c r="R14" s="53">
        <v>43677.17</v>
      </c>
      <c r="S14" s="53">
        <v>44498.23</v>
      </c>
      <c r="T14" s="71">
        <v>45394.84</v>
      </c>
      <c r="U14" s="34">
        <v>46385.32</v>
      </c>
      <c r="V14" s="34">
        <v>47337.75</v>
      </c>
      <c r="W14" s="72">
        <v>48207.14</v>
      </c>
      <c r="X14" s="72">
        <v>49234.62</v>
      </c>
      <c r="Y14" s="30">
        <f t="shared" si="0"/>
        <v>781.18000000000029</v>
      </c>
      <c r="Z14" s="31">
        <f t="shared" si="1"/>
        <v>1.7684795850042782E-3</v>
      </c>
      <c r="AA14" s="30">
        <f t="shared" si="2"/>
        <v>242.22145104612542</v>
      </c>
      <c r="AB14" s="30">
        <f t="shared" si="3"/>
        <v>1023.4014510461257</v>
      </c>
      <c r="AC14" s="30">
        <f t="shared" si="4"/>
        <v>1073.0699999999997</v>
      </c>
      <c r="AD14" s="31">
        <f t="shared" si="5"/>
        <v>3.019105810448593E-3</v>
      </c>
      <c r="AE14" s="30">
        <f t="shared" si="6"/>
        <v>20.953892540011356</v>
      </c>
      <c r="AF14" s="30">
        <f t="shared" si="7"/>
        <v>1094.023892540011</v>
      </c>
      <c r="AG14" s="30">
        <f t="shared" si="8"/>
        <v>842.48999999999796</v>
      </c>
      <c r="AH14" s="31">
        <f t="shared" si="9"/>
        <v>2.9037700550785268E-3</v>
      </c>
      <c r="AI14" s="30">
        <f t="shared" si="10"/>
        <v>273.2168569526591</v>
      </c>
      <c r="AJ14" s="30">
        <f t="shared" si="11"/>
        <v>1115.7068569526571</v>
      </c>
      <c r="AK14" s="30">
        <f t="shared" si="12"/>
        <v>1042.1100000000006</v>
      </c>
      <c r="AL14" s="31">
        <f t="shared" si="13"/>
        <v>2.5338806326816302E-3</v>
      </c>
      <c r="AM14" s="30">
        <f t="shared" si="14"/>
        <v>104.96762689244267</v>
      </c>
      <c r="AN14" s="30">
        <f t="shared" si="15"/>
        <v>1147.0776268924433</v>
      </c>
      <c r="AO14" s="30">
        <f t="shared" si="16"/>
        <v>873.31000000000495</v>
      </c>
      <c r="AP14" s="31">
        <f t="shared" si="17"/>
        <v>2.4113301675956181E-3</v>
      </c>
      <c r="AQ14" s="30">
        <f t="shared" si="18"/>
        <v>210.0934103102035</v>
      </c>
      <c r="AR14" s="30">
        <f t="shared" si="19"/>
        <v>1083.4034103102085</v>
      </c>
      <c r="AS14" s="92">
        <f t="shared" si="20"/>
        <v>990.86999999999534</v>
      </c>
      <c r="AT14" s="93">
        <f t="shared" si="21"/>
        <v>2.0918132639247068E-3</v>
      </c>
      <c r="AU14" s="94">
        <f t="shared" si="22"/>
        <v>247.82441780545074</v>
      </c>
      <c r="AV14" s="94">
        <f t="shared" si="23"/>
        <v>1238.6944178054462</v>
      </c>
      <c r="AW14" s="103">
        <f t="shared" si="24"/>
        <v>821.06000000000495</v>
      </c>
      <c r="AX14" s="93">
        <f t="shared" si="25"/>
        <v>1.7700624122376858E-3</v>
      </c>
      <c r="AY14" s="103">
        <f t="shared" si="26"/>
        <v>182.90877984673702</v>
      </c>
      <c r="AZ14" s="103">
        <f t="shared" si="27"/>
        <v>1003.968779846742</v>
      </c>
      <c r="BA14" s="103">
        <f t="shared" si="28"/>
        <v>896.60999999999331</v>
      </c>
      <c r="BB14" s="90">
        <f t="shared" si="30"/>
        <v>2.5524447385223558E-3</v>
      </c>
      <c r="BC14" s="103">
        <f t="shared" si="31"/>
        <v>220.63334872231968</v>
      </c>
      <c r="BD14" s="103">
        <f t="shared" si="29"/>
        <v>1117.2433487223129</v>
      </c>
      <c r="BE14" s="103">
        <f t="shared" si="32"/>
        <v>990.4800000000032</v>
      </c>
      <c r="BF14" s="93">
        <f t="shared" si="33"/>
        <v>2.5690858779620481E-3</v>
      </c>
      <c r="BG14" s="103">
        <f t="shared" si="34"/>
        <v>199.63361845064784</v>
      </c>
      <c r="BH14" s="103">
        <f t="shared" si="35"/>
        <v>1190.1136184506511</v>
      </c>
      <c r="BI14" s="103">
        <f t="shared" si="36"/>
        <v>952.43000000000029</v>
      </c>
      <c r="BJ14" s="90">
        <f t="shared" si="37"/>
        <v>1.9774180737004363E-3</v>
      </c>
      <c r="BK14" s="102">
        <f t="shared" si="38"/>
        <v>222.91368690028617</v>
      </c>
      <c r="BL14" s="102">
        <f t="shared" si="39"/>
        <v>1175.3436869002865</v>
      </c>
      <c r="BM14" s="94">
        <f t="shared" si="40"/>
        <v>869.38999999999942</v>
      </c>
      <c r="BN14" s="90">
        <f t="shared" si="41"/>
        <v>2.2432262702105211E-3</v>
      </c>
      <c r="BO14" s="94">
        <f t="shared" si="42"/>
        <v>220.18986396665485</v>
      </c>
      <c r="BP14" s="94">
        <f t="shared" si="43"/>
        <v>1089.5798639666543</v>
      </c>
      <c r="BQ14" s="94">
        <f t="shared" si="44"/>
        <v>1027.4800000000032</v>
      </c>
      <c r="BR14" s="90">
        <f t="shared" si="45"/>
        <v>1.9518364022656099E-3</v>
      </c>
      <c r="BS14" s="94">
        <f t="shared" si="46"/>
        <v>221.99978392874061</v>
      </c>
      <c r="BT14" s="94">
        <f t="shared" si="47"/>
        <v>1249.4797839287439</v>
      </c>
    </row>
    <row r="15" spans="1:72" ht="13.5" hidden="1" customHeight="1">
      <c r="A15" s="16">
        <v>12</v>
      </c>
      <c r="B15" s="16" t="s">
        <v>39</v>
      </c>
      <c r="C15" s="17" t="s">
        <v>40</v>
      </c>
      <c r="D15" s="21" t="s">
        <v>67</v>
      </c>
      <c r="E15" s="21" t="s">
        <v>68</v>
      </c>
      <c r="F15" s="56" t="s">
        <v>69</v>
      </c>
      <c r="G15" s="57" t="s">
        <v>70</v>
      </c>
      <c r="H15" s="53">
        <v>12536.12</v>
      </c>
      <c r="I15" s="53">
        <v>52636.800000000003</v>
      </c>
      <c r="J15" s="53">
        <v>54168.25</v>
      </c>
      <c r="K15" s="53">
        <v>40100.68</v>
      </c>
      <c r="L15" s="53">
        <v>1531.45</v>
      </c>
      <c r="M15" s="53">
        <v>57272.800000000003</v>
      </c>
      <c r="N15" s="53">
        <v>60569.47</v>
      </c>
      <c r="O15" s="53">
        <v>62279.32</v>
      </c>
      <c r="P15" s="53">
        <v>65572.87</v>
      </c>
      <c r="Q15" s="53">
        <v>68827.94</v>
      </c>
      <c r="R15" s="53">
        <v>72258.12</v>
      </c>
      <c r="S15" s="53">
        <v>74818.17</v>
      </c>
      <c r="T15" s="71">
        <v>77660.570000000007</v>
      </c>
      <c r="U15" s="34">
        <v>80079.070000000007</v>
      </c>
      <c r="V15" s="34">
        <v>81773.23</v>
      </c>
      <c r="W15" s="72">
        <v>82913.34</v>
      </c>
      <c r="X15" s="72">
        <v>84146.05</v>
      </c>
      <c r="Y15" s="30">
        <f t="shared" si="0"/>
        <v>4636</v>
      </c>
      <c r="Z15" s="31">
        <f t="shared" si="1"/>
        <v>1.0495239709260133E-2</v>
      </c>
      <c r="AA15" s="30">
        <f t="shared" si="2"/>
        <v>1437.4902673517461</v>
      </c>
      <c r="AB15" s="30">
        <f t="shared" si="3"/>
        <v>6073.4902673517463</v>
      </c>
      <c r="AC15" s="30">
        <f t="shared" si="4"/>
        <v>3296.6699999999983</v>
      </c>
      <c r="AD15" s="31">
        <f t="shared" si="5"/>
        <v>9.2752528279903077E-3</v>
      </c>
      <c r="AE15" s="30">
        <f t="shared" si="6"/>
        <v>64.374242984967623</v>
      </c>
      <c r="AF15" s="30">
        <f t="shared" si="7"/>
        <v>3361.0442429849659</v>
      </c>
      <c r="AG15" s="30">
        <f t="shared" si="8"/>
        <v>1709.8499999999985</v>
      </c>
      <c r="AH15" s="31">
        <f t="shared" si="9"/>
        <v>5.8932583516433743E-3</v>
      </c>
      <c r="AI15" s="30">
        <f t="shared" si="10"/>
        <v>554.49897667688026</v>
      </c>
      <c r="AJ15" s="30">
        <f t="shared" si="11"/>
        <v>2264.3489766768789</v>
      </c>
      <c r="AK15" s="30">
        <f t="shared" si="12"/>
        <v>3293.5499999999956</v>
      </c>
      <c r="AL15" s="31">
        <f t="shared" si="13"/>
        <v>8.0082357503224871E-3</v>
      </c>
      <c r="AM15" s="30">
        <f t="shared" si="14"/>
        <v>331.74629122799308</v>
      </c>
      <c r="AN15" s="30">
        <f t="shared" si="15"/>
        <v>3625.2962912279886</v>
      </c>
      <c r="AO15" s="30">
        <f t="shared" si="16"/>
        <v>3255.070000000007</v>
      </c>
      <c r="AP15" s="31">
        <f t="shared" si="17"/>
        <v>8.9877002308864449E-3</v>
      </c>
      <c r="AQ15" s="30">
        <f t="shared" si="18"/>
        <v>783.07675063658007</v>
      </c>
      <c r="AR15" s="30">
        <f t="shared" si="19"/>
        <v>4038.1467506365871</v>
      </c>
      <c r="AS15" s="92">
        <f t="shared" si="20"/>
        <v>3430.179999999993</v>
      </c>
      <c r="AT15" s="93">
        <f t="shared" si="21"/>
        <v>7.241410095824144E-3</v>
      </c>
      <c r="AU15" s="94">
        <f t="shared" si="22"/>
        <v>857.91512657351939</v>
      </c>
      <c r="AV15" s="94">
        <f t="shared" si="23"/>
        <v>4288.0951265735121</v>
      </c>
      <c r="AW15" s="103">
        <f t="shared" si="24"/>
        <v>2560.0500000000029</v>
      </c>
      <c r="AX15" s="93">
        <f t="shared" si="25"/>
        <v>5.5190220915025279E-3</v>
      </c>
      <c r="AY15" s="103">
        <f t="shared" si="26"/>
        <v>570.30621616768178</v>
      </c>
      <c r="AZ15" s="103">
        <f t="shared" si="27"/>
        <v>3130.3562161676846</v>
      </c>
      <c r="BA15" s="103">
        <f t="shared" si="28"/>
        <v>2842.4000000000087</v>
      </c>
      <c r="BB15" s="90">
        <f t="shared" si="30"/>
        <v>8.0916663039404205E-3</v>
      </c>
      <c r="BC15" s="103">
        <f t="shared" si="31"/>
        <v>699.44371622927258</v>
      </c>
      <c r="BD15" s="103">
        <f t="shared" si="29"/>
        <v>3541.8437162292812</v>
      </c>
      <c r="BE15" s="103">
        <f t="shared" si="32"/>
        <v>2418.5</v>
      </c>
      <c r="BF15" s="93">
        <f t="shared" si="33"/>
        <v>6.2730536667587366E-3</v>
      </c>
      <c r="BG15" s="103">
        <f t="shared" si="34"/>
        <v>487.45447280398417</v>
      </c>
      <c r="BH15" s="103">
        <f t="shared" si="35"/>
        <v>2905.9544728039841</v>
      </c>
      <c r="BI15" s="103">
        <f t="shared" si="36"/>
        <v>1694.1599999999889</v>
      </c>
      <c r="BJ15" s="90">
        <f t="shared" si="37"/>
        <v>3.5173845886210097E-3</v>
      </c>
      <c r="BK15" s="102">
        <f t="shared" si="38"/>
        <v>396.51360393833272</v>
      </c>
      <c r="BL15" s="102">
        <f t="shared" si="39"/>
        <v>2090.6736039383218</v>
      </c>
      <c r="BM15" s="94">
        <f t="shared" si="40"/>
        <v>1140.1100000000006</v>
      </c>
      <c r="BN15" s="90">
        <f t="shared" si="41"/>
        <v>2.9417461702224779E-3</v>
      </c>
      <c r="BO15" s="94">
        <f t="shared" si="42"/>
        <v>288.75494980046142</v>
      </c>
      <c r="BP15" s="94">
        <f t="shared" si="43"/>
        <v>1428.864949800462</v>
      </c>
      <c r="BQ15" s="94">
        <f t="shared" si="44"/>
        <v>1232.7100000000064</v>
      </c>
      <c r="BR15" s="90">
        <f t="shared" si="45"/>
        <v>2.3416983799556634E-3</v>
      </c>
      <c r="BS15" s="94">
        <f t="shared" si="46"/>
        <v>266.3422681188913</v>
      </c>
      <c r="BT15" s="94">
        <f t="shared" si="47"/>
        <v>1499.0522681188977</v>
      </c>
    </row>
    <row r="16" spans="1:72" ht="13.5" hidden="1">
      <c r="A16" s="11">
        <v>13</v>
      </c>
      <c r="B16" s="16" t="s">
        <v>39</v>
      </c>
      <c r="C16" s="17" t="s">
        <v>40</v>
      </c>
      <c r="D16" s="21" t="s">
        <v>67</v>
      </c>
      <c r="E16" s="21" t="s">
        <v>68</v>
      </c>
      <c r="F16" s="56" t="s">
        <v>71</v>
      </c>
      <c r="G16" s="57" t="s">
        <v>72</v>
      </c>
      <c r="H16" s="53">
        <v>101470.02</v>
      </c>
      <c r="I16" s="53">
        <v>197062.62</v>
      </c>
      <c r="J16" s="53">
        <v>198673.16</v>
      </c>
      <c r="K16" s="53">
        <v>95592.6</v>
      </c>
      <c r="L16" s="53">
        <v>1610.54</v>
      </c>
      <c r="M16" s="53">
        <v>198707.88</v>
      </c>
      <c r="N16" s="53">
        <v>198991.64</v>
      </c>
      <c r="O16" s="53">
        <v>199128.78</v>
      </c>
      <c r="P16" s="53">
        <v>199673.18</v>
      </c>
      <c r="Q16" s="53">
        <v>200911</v>
      </c>
      <c r="R16" s="53">
        <v>204243.06</v>
      </c>
      <c r="S16" s="53">
        <v>208991.22</v>
      </c>
      <c r="T16" s="71">
        <v>212609.82</v>
      </c>
      <c r="U16" s="34">
        <v>217093.32</v>
      </c>
      <c r="V16" s="34">
        <v>220642.84</v>
      </c>
      <c r="W16" s="72">
        <v>223799.04000000001</v>
      </c>
      <c r="X16" s="72">
        <v>227214.24</v>
      </c>
      <c r="Y16" s="30">
        <f t="shared" si="0"/>
        <v>1645.2600000000093</v>
      </c>
      <c r="Z16" s="31">
        <f t="shared" si="1"/>
        <v>3.7246328912979776E-3</v>
      </c>
      <c r="AA16" s="30">
        <f t="shared" si="2"/>
        <v>510.14780786521726</v>
      </c>
      <c r="AB16" s="30">
        <f t="shared" si="3"/>
        <v>2155.4078078652265</v>
      </c>
      <c r="AC16" s="30">
        <f t="shared" si="4"/>
        <v>283.76000000000931</v>
      </c>
      <c r="AD16" s="31">
        <f t="shared" si="5"/>
        <v>7.9836493870196824E-4</v>
      </c>
      <c r="AE16" s="30">
        <f t="shared" si="6"/>
        <v>5.5409959715152031</v>
      </c>
      <c r="AF16" s="30">
        <f t="shared" si="7"/>
        <v>289.30099597152451</v>
      </c>
      <c r="AG16" s="30">
        <f t="shared" si="8"/>
        <v>137.13999999998487</v>
      </c>
      <c r="AH16" s="31">
        <f t="shared" si="9"/>
        <v>4.7267388972382598E-4</v>
      </c>
      <c r="AI16" s="30">
        <f t="shared" si="10"/>
        <v>44.474070626931621</v>
      </c>
      <c r="AJ16" s="30">
        <f t="shared" si="11"/>
        <v>181.61407062691649</v>
      </c>
      <c r="AK16" s="30">
        <f t="shared" si="12"/>
        <v>544.39999999999418</v>
      </c>
      <c r="AL16" s="31">
        <f t="shared" si="13"/>
        <v>1.3237034635804896E-3</v>
      </c>
      <c r="AM16" s="30">
        <f t="shared" si="14"/>
        <v>54.835263149039108</v>
      </c>
      <c r="AN16" s="30">
        <f t="shared" si="15"/>
        <v>599.23526314903324</v>
      </c>
      <c r="AO16" s="30">
        <f t="shared" si="16"/>
        <v>1237.820000000007</v>
      </c>
      <c r="AP16" s="31">
        <f t="shared" si="17"/>
        <v>3.4177928891839186E-3</v>
      </c>
      <c r="AQ16" s="30">
        <f t="shared" si="18"/>
        <v>297.78409173166011</v>
      </c>
      <c r="AR16" s="30">
        <f t="shared" si="19"/>
        <v>1535.604091731667</v>
      </c>
      <c r="AS16" s="92">
        <f t="shared" si="20"/>
        <v>3332.0599999999977</v>
      </c>
      <c r="AT16" s="93">
        <f t="shared" si="21"/>
        <v>7.0342701910371553E-3</v>
      </c>
      <c r="AU16" s="94">
        <f t="shared" si="22"/>
        <v>833.37453913513718</v>
      </c>
      <c r="AV16" s="94">
        <f t="shared" si="23"/>
        <v>4165.4345391351344</v>
      </c>
      <c r="AW16" s="103">
        <f t="shared" si="24"/>
        <v>4748.1600000000035</v>
      </c>
      <c r="AX16" s="93">
        <f t="shared" si="25"/>
        <v>1.0236206298310044E-2</v>
      </c>
      <c r="AY16" s="103">
        <f t="shared" si="26"/>
        <v>1057.7547951636643</v>
      </c>
      <c r="AZ16" s="103">
        <f t="shared" si="27"/>
        <v>5805.9147951636678</v>
      </c>
      <c r="BA16" s="103">
        <f t="shared" si="28"/>
        <v>3618.6000000000058</v>
      </c>
      <c r="BB16" s="90">
        <f t="shared" si="30"/>
        <v>1.0301331159386E-2</v>
      </c>
      <c r="BC16" s="103">
        <f t="shared" si="31"/>
        <v>890.44716843063691</v>
      </c>
      <c r="BD16" s="103">
        <f t="shared" si="29"/>
        <v>4509.0471684306431</v>
      </c>
      <c r="BE16" s="103">
        <f t="shared" si="32"/>
        <v>4483.5</v>
      </c>
      <c r="BF16" s="93">
        <f t="shared" si="33"/>
        <v>1.1629206580489061E-2</v>
      </c>
      <c r="BG16" s="103">
        <f t="shared" si="34"/>
        <v>903.66017317207479</v>
      </c>
      <c r="BH16" s="103">
        <f t="shared" si="35"/>
        <v>5387.1601731720748</v>
      </c>
      <c r="BI16" s="103">
        <f t="shared" si="36"/>
        <v>3549.5199999999895</v>
      </c>
      <c r="BJ16" s="90">
        <f t="shared" si="37"/>
        <v>7.3694497243484034E-3</v>
      </c>
      <c r="BK16" s="102">
        <f t="shared" si="38"/>
        <v>830.75563550738764</v>
      </c>
      <c r="BL16" s="102">
        <f t="shared" si="39"/>
        <v>4380.275635507377</v>
      </c>
      <c r="BM16" s="94">
        <f t="shared" si="40"/>
        <v>3156.2000000000116</v>
      </c>
      <c r="BN16" s="90">
        <f t="shared" si="41"/>
        <v>8.1437223271931779E-3</v>
      </c>
      <c r="BO16" s="94">
        <f t="shared" si="42"/>
        <v>799.36880876425892</v>
      </c>
      <c r="BP16" s="94">
        <f t="shared" si="43"/>
        <v>3955.5688087642707</v>
      </c>
      <c r="BQ16" s="94">
        <f t="shared" si="44"/>
        <v>3415.1999999999825</v>
      </c>
      <c r="BR16" s="90">
        <f t="shared" si="45"/>
        <v>6.4876315655949084E-3</v>
      </c>
      <c r="BS16" s="94">
        <f t="shared" si="46"/>
        <v>737.89627250499154</v>
      </c>
      <c r="BT16" s="94">
        <f t="shared" si="47"/>
        <v>4153.096272504974</v>
      </c>
    </row>
    <row r="17" spans="1:72" ht="13.5" hidden="1">
      <c r="A17" s="16">
        <v>14</v>
      </c>
      <c r="B17" s="16" t="s">
        <v>39</v>
      </c>
      <c r="C17" s="17" t="s">
        <v>40</v>
      </c>
      <c r="D17" s="21" t="s">
        <v>67</v>
      </c>
      <c r="E17" s="21" t="s">
        <v>68</v>
      </c>
      <c r="F17" s="56" t="s">
        <v>73</v>
      </c>
      <c r="G17" s="57" t="s">
        <v>74</v>
      </c>
      <c r="H17" s="53">
        <v>7895.3</v>
      </c>
      <c r="I17" s="53">
        <v>11421.25</v>
      </c>
      <c r="J17" s="53">
        <v>11422.45</v>
      </c>
      <c r="K17" s="53">
        <v>3525.95</v>
      </c>
      <c r="L17" s="53">
        <v>1.2</v>
      </c>
      <c r="M17" s="53">
        <v>11422.85</v>
      </c>
      <c r="N17" s="53">
        <v>11425.25</v>
      </c>
      <c r="O17" s="53">
        <v>11427</v>
      </c>
      <c r="P17" s="53">
        <v>11428.8</v>
      </c>
      <c r="Q17" s="53">
        <v>11430.75</v>
      </c>
      <c r="R17" s="53">
        <v>11433.2</v>
      </c>
      <c r="S17" s="53">
        <v>11435.25</v>
      </c>
      <c r="T17" s="71">
        <v>11437.35</v>
      </c>
      <c r="U17" s="34">
        <v>11439.65</v>
      </c>
      <c r="V17" s="34">
        <v>11441.9</v>
      </c>
      <c r="W17" s="72">
        <v>11443.85</v>
      </c>
      <c r="X17" s="72">
        <v>11446.3</v>
      </c>
      <c r="Y17" s="30">
        <f t="shared" si="0"/>
        <v>1.6000000000003638</v>
      </c>
      <c r="Z17" s="31">
        <f t="shared" si="1"/>
        <v>3.6221707365875821E-6</v>
      </c>
      <c r="AA17" s="30">
        <f t="shared" si="2"/>
        <v>0.49611398355550401</v>
      </c>
      <c r="AB17" s="30">
        <f t="shared" si="3"/>
        <v>2.0961139835558678</v>
      </c>
      <c r="AC17" s="30">
        <f t="shared" si="4"/>
        <v>2.3999999999996362</v>
      </c>
      <c r="AD17" s="31">
        <f t="shared" si="5"/>
        <v>6.7524522585437363E-6</v>
      </c>
      <c r="AE17" s="30">
        <f t="shared" si="6"/>
        <v>4.6864922228763872E-2</v>
      </c>
      <c r="AF17" s="30">
        <f t="shared" si="7"/>
        <v>2.4468649222284</v>
      </c>
      <c r="AG17" s="30">
        <f t="shared" si="8"/>
        <v>1.75</v>
      </c>
      <c r="AH17" s="31">
        <f t="shared" si="9"/>
        <v>6.0316414395273933E-6</v>
      </c>
      <c r="AI17" s="30">
        <f t="shared" si="10"/>
        <v>0.56751949538529178</v>
      </c>
      <c r="AJ17" s="30">
        <f t="shared" si="11"/>
        <v>2.3175194953852918</v>
      </c>
      <c r="AK17" s="30">
        <f t="shared" si="12"/>
        <v>1.7999999999992724</v>
      </c>
      <c r="AL17" s="31">
        <f t="shared" si="13"/>
        <v>4.376683016980058E-6</v>
      </c>
      <c r="AM17" s="30">
        <f t="shared" si="14"/>
        <v>0.18130689505553188</v>
      </c>
      <c r="AN17" s="30">
        <f t="shared" si="15"/>
        <v>1.9813068950548043</v>
      </c>
      <c r="AO17" s="30">
        <f t="shared" si="16"/>
        <v>1.9500000000007276</v>
      </c>
      <c r="AP17" s="31">
        <f t="shared" si="17"/>
        <v>5.3842207541573818E-6</v>
      </c>
      <c r="AQ17" s="30">
        <f t="shared" si="18"/>
        <v>0.46911423217992165</v>
      </c>
      <c r="AR17" s="30">
        <f t="shared" si="19"/>
        <v>2.4191142321806494</v>
      </c>
      <c r="AS17" s="92">
        <f t="shared" si="20"/>
        <v>2.4500000000007276</v>
      </c>
      <c r="AT17" s="93">
        <f t="shared" si="21"/>
        <v>5.1721643571982976E-6</v>
      </c>
      <c r="AU17" s="94">
        <f t="shared" si="22"/>
        <v>0.61276436225088804</v>
      </c>
      <c r="AV17" s="94">
        <f t="shared" si="23"/>
        <v>3.0627643622516159</v>
      </c>
      <c r="AW17" s="103">
        <f t="shared" si="24"/>
        <v>2.0499999999992724</v>
      </c>
      <c r="AX17" s="93">
        <f t="shared" si="25"/>
        <v>4.4194430919615452E-6</v>
      </c>
      <c r="AY17" s="103">
        <f t="shared" si="26"/>
        <v>0.45668160510276418</v>
      </c>
      <c r="AZ17" s="103">
        <f t="shared" si="27"/>
        <v>2.5066816051020364</v>
      </c>
      <c r="BA17" s="103">
        <f t="shared" si="28"/>
        <v>2.1000000000003638</v>
      </c>
      <c r="BB17" s="90">
        <f t="shared" si="30"/>
        <v>5.9782223607788404E-6</v>
      </c>
      <c r="BC17" s="103">
        <f t="shared" si="31"/>
        <v>0.51675760064794629</v>
      </c>
      <c r="BD17" s="103">
        <f t="shared" si="29"/>
        <v>2.61675760064831</v>
      </c>
      <c r="BE17" s="103">
        <f t="shared" si="32"/>
        <v>2.2999999999992724</v>
      </c>
      <c r="BF17" s="93">
        <f t="shared" si="33"/>
        <v>5.9656908966469006E-6</v>
      </c>
      <c r="BG17" s="103">
        <f t="shared" si="34"/>
        <v>0.46357051372702457</v>
      </c>
      <c r="BH17" s="103">
        <f t="shared" si="35"/>
        <v>2.7635705137262971</v>
      </c>
      <c r="BI17" s="103">
        <f t="shared" si="36"/>
        <v>2.25</v>
      </c>
      <c r="BJ17" s="90">
        <f t="shared" si="37"/>
        <v>4.6714096215217714E-6</v>
      </c>
      <c r="BK17" s="102">
        <f t="shared" si="38"/>
        <v>0.5266064650689749</v>
      </c>
      <c r="BL17" s="102">
        <f t="shared" si="39"/>
        <v>2.776606465068975</v>
      </c>
      <c r="BM17" s="94">
        <f t="shared" si="40"/>
        <v>1.9500000000007276</v>
      </c>
      <c r="BN17" s="90">
        <f t="shared" si="41"/>
        <v>5.0314487478716703E-6</v>
      </c>
      <c r="BO17" s="94">
        <f t="shared" si="42"/>
        <v>0.49387528581549994</v>
      </c>
      <c r="BP17" s="94">
        <f t="shared" si="43"/>
        <v>2.4438752858162274</v>
      </c>
      <c r="BQ17" s="94">
        <f t="shared" si="44"/>
        <v>2.4499999999989086</v>
      </c>
      <c r="BR17" s="90">
        <f t="shared" si="45"/>
        <v>4.6541043967265538E-6</v>
      </c>
      <c r="BS17" s="94">
        <f t="shared" si="46"/>
        <v>0.52935285419197509</v>
      </c>
      <c r="BT17" s="94">
        <f t="shared" si="47"/>
        <v>2.9793528541908838</v>
      </c>
    </row>
    <row r="18" spans="1:72" ht="13.5" hidden="1">
      <c r="A18" s="11">
        <v>15</v>
      </c>
      <c r="B18" s="16" t="s">
        <v>39</v>
      </c>
      <c r="C18" s="17" t="s">
        <v>40</v>
      </c>
      <c r="D18" s="21" t="s">
        <v>67</v>
      </c>
      <c r="E18" s="21" t="s">
        <v>68</v>
      </c>
      <c r="F18" s="56" t="s">
        <v>75</v>
      </c>
      <c r="G18" s="57" t="s">
        <v>76</v>
      </c>
      <c r="H18" s="53">
        <v>23672.1</v>
      </c>
      <c r="I18" s="53">
        <v>35748.99</v>
      </c>
      <c r="J18" s="53">
        <v>35811.440000000002</v>
      </c>
      <c r="K18" s="53">
        <v>12076.89</v>
      </c>
      <c r="L18" s="53">
        <v>62.45</v>
      </c>
      <c r="M18" s="53">
        <v>35853.269999999997</v>
      </c>
      <c r="N18" s="53">
        <v>35973.99</v>
      </c>
      <c r="O18" s="53">
        <v>35985.96</v>
      </c>
      <c r="P18" s="53">
        <v>38454.92</v>
      </c>
      <c r="Q18" s="53">
        <v>38857.86</v>
      </c>
      <c r="R18" s="53">
        <v>40606.379999999997</v>
      </c>
      <c r="S18" s="53">
        <v>42002.55</v>
      </c>
      <c r="T18" s="71">
        <v>42783.4</v>
      </c>
      <c r="U18" s="34">
        <v>43516.2</v>
      </c>
      <c r="V18" s="34">
        <v>43967.7</v>
      </c>
      <c r="W18" s="72">
        <v>44880.3</v>
      </c>
      <c r="X18" s="72">
        <v>45409.26</v>
      </c>
      <c r="Y18" s="30">
        <f t="shared" si="0"/>
        <v>104.27999999999884</v>
      </c>
      <c r="Z18" s="31">
        <f t="shared" si="1"/>
        <v>2.3607497775703933E-4</v>
      </c>
      <c r="AA18" s="30">
        <f t="shared" si="2"/>
        <v>32.334228878222262</v>
      </c>
      <c r="AB18" s="30">
        <f t="shared" si="3"/>
        <v>136.6142288782211</v>
      </c>
      <c r="AC18" s="30">
        <f t="shared" si="4"/>
        <v>120.72000000000116</v>
      </c>
      <c r="AD18" s="31">
        <f t="shared" si="5"/>
        <v>3.3964834860480465E-4</v>
      </c>
      <c r="AE18" s="30">
        <f t="shared" si="6"/>
        <v>2.3573055881072023</v>
      </c>
      <c r="AF18" s="30">
        <f t="shared" si="7"/>
        <v>123.07730558810837</v>
      </c>
      <c r="AG18" s="30">
        <f t="shared" si="8"/>
        <v>11.970000000001164</v>
      </c>
      <c r="AH18" s="31">
        <f t="shared" si="9"/>
        <v>4.1256427446371382E-5</v>
      </c>
      <c r="AI18" s="30">
        <f t="shared" si="10"/>
        <v>3.8818333484357734</v>
      </c>
      <c r="AJ18" s="30">
        <f t="shared" si="11"/>
        <v>15.851833348436937</v>
      </c>
      <c r="AK18" s="30">
        <f t="shared" si="12"/>
        <v>2468.9599999999991</v>
      </c>
      <c r="AL18" s="31">
        <f t="shared" si="13"/>
        <v>6.0032529453374712E-3</v>
      </c>
      <c r="AM18" s="30">
        <f t="shared" si="14"/>
        <v>248.68859534249265</v>
      </c>
      <c r="AN18" s="30">
        <f t="shared" si="15"/>
        <v>2717.6485953424917</v>
      </c>
      <c r="AO18" s="30">
        <f t="shared" si="16"/>
        <v>402.94000000000233</v>
      </c>
      <c r="AP18" s="31">
        <f t="shared" si="17"/>
        <v>1.1125732875278864E-3</v>
      </c>
      <c r="AQ18" s="30">
        <f t="shared" si="18"/>
        <v>96.935840366414453</v>
      </c>
      <c r="AR18" s="30">
        <f t="shared" si="19"/>
        <v>499.87584036641681</v>
      </c>
      <c r="AS18" s="92">
        <f t="shared" si="20"/>
        <v>1748.5199999999968</v>
      </c>
      <c r="AT18" s="93">
        <f t="shared" si="21"/>
        <v>3.6912787027941489E-3</v>
      </c>
      <c r="AU18" s="94">
        <f t="shared" si="22"/>
        <v>437.31867048269487</v>
      </c>
      <c r="AV18" s="94">
        <f t="shared" si="23"/>
        <v>2185.8386704826917</v>
      </c>
      <c r="AW18" s="103">
        <f t="shared" si="24"/>
        <v>1396.1700000000055</v>
      </c>
      <c r="AX18" s="93">
        <f t="shared" si="25"/>
        <v>3.0098994447347147E-3</v>
      </c>
      <c r="AY18" s="103">
        <f t="shared" si="26"/>
        <v>311.02690565685617</v>
      </c>
      <c r="AZ18" s="103">
        <f t="shared" si="27"/>
        <v>1707.1969056568616</v>
      </c>
      <c r="BA18" s="103">
        <f t="shared" si="28"/>
        <v>780.84999999999854</v>
      </c>
      <c r="BB18" s="90">
        <f t="shared" si="30"/>
        <v>2.2229023478158761E-3</v>
      </c>
      <c r="BC18" s="103">
        <f t="shared" si="31"/>
        <v>192.14770117422771</v>
      </c>
      <c r="BD18" s="103">
        <f t="shared" si="29"/>
        <v>972.99770117422622</v>
      </c>
      <c r="BE18" s="103">
        <f t="shared" si="32"/>
        <v>732.79999999999563</v>
      </c>
      <c r="BF18" s="93">
        <f t="shared" si="33"/>
        <v>1.900720995245307E-3</v>
      </c>
      <c r="BG18" s="103">
        <f t="shared" si="34"/>
        <v>147.69759672142135</v>
      </c>
      <c r="BH18" s="103">
        <f t="shared" si="35"/>
        <v>880.49759672141704</v>
      </c>
      <c r="BI18" s="103">
        <f t="shared" si="36"/>
        <v>451.5</v>
      </c>
      <c r="BJ18" s="90">
        <f t="shared" si="37"/>
        <v>9.3739619738536875E-4</v>
      </c>
      <c r="BK18" s="102">
        <f t="shared" si="38"/>
        <v>105.67236399050763</v>
      </c>
      <c r="BL18" s="102">
        <f t="shared" si="39"/>
        <v>557.17236399050762</v>
      </c>
      <c r="BM18" s="94">
        <f t="shared" si="40"/>
        <v>912.60000000000582</v>
      </c>
      <c r="BN18" s="90">
        <f t="shared" si="41"/>
        <v>2.3547180140030778E-3</v>
      </c>
      <c r="BO18" s="94">
        <f t="shared" si="42"/>
        <v>231.13363376156917</v>
      </c>
      <c r="BP18" s="94">
        <f t="shared" si="43"/>
        <v>1143.733633761575</v>
      </c>
      <c r="BQ18" s="94">
        <f t="shared" si="44"/>
        <v>528.95999999999913</v>
      </c>
      <c r="BR18" s="90">
        <f t="shared" si="45"/>
        <v>1.0048306374259471E-3</v>
      </c>
      <c r="BS18" s="94">
        <f t="shared" si="46"/>
        <v>114.28836153204546</v>
      </c>
      <c r="BT18" s="94">
        <f t="shared" si="47"/>
        <v>643.24836153204456</v>
      </c>
    </row>
    <row r="19" spans="1:72" ht="13.5" hidden="1">
      <c r="A19" s="16">
        <v>16</v>
      </c>
      <c r="B19" s="16" t="s">
        <v>39</v>
      </c>
      <c r="C19" s="17" t="s">
        <v>40</v>
      </c>
      <c r="D19" s="21" t="s">
        <v>67</v>
      </c>
      <c r="E19" s="21" t="s">
        <v>68</v>
      </c>
      <c r="F19" s="56" t="s">
        <v>77</v>
      </c>
      <c r="G19" s="57" t="s">
        <v>78</v>
      </c>
      <c r="H19" s="53">
        <v>25895.8</v>
      </c>
      <c r="I19" s="53">
        <v>41045.25</v>
      </c>
      <c r="J19" s="53">
        <v>41776.019999999997</v>
      </c>
      <c r="K19" s="53">
        <v>15149.45</v>
      </c>
      <c r="L19" s="53">
        <v>730.77</v>
      </c>
      <c r="M19" s="53">
        <v>41992.84</v>
      </c>
      <c r="N19" s="53">
        <v>43423.42</v>
      </c>
      <c r="O19" s="53">
        <v>44800.51</v>
      </c>
      <c r="P19" s="53">
        <v>46849.74</v>
      </c>
      <c r="Q19" s="53">
        <v>48425.83</v>
      </c>
      <c r="R19" s="53">
        <v>49697.74</v>
      </c>
      <c r="S19" s="53">
        <v>50904.73</v>
      </c>
      <c r="T19" s="71">
        <v>52110.21</v>
      </c>
      <c r="U19" s="34">
        <v>54025.54</v>
      </c>
      <c r="V19" s="34">
        <v>55607.67</v>
      </c>
      <c r="W19" s="72">
        <v>57317.37</v>
      </c>
      <c r="X19" s="72">
        <v>58379.35</v>
      </c>
      <c r="Y19" s="30">
        <f t="shared" si="0"/>
        <v>947.58999999999651</v>
      </c>
      <c r="Z19" s="31">
        <f t="shared" si="1"/>
        <v>2.1452079801763959E-3</v>
      </c>
      <c r="AA19" s="30">
        <f t="shared" si="2"/>
        <v>293.82040604828211</v>
      </c>
      <c r="AB19" s="30">
        <f t="shared" si="3"/>
        <v>1241.4104060482787</v>
      </c>
      <c r="AC19" s="30">
        <f t="shared" si="4"/>
        <v>1430.5800000000017</v>
      </c>
      <c r="AD19" s="31">
        <f t="shared" si="5"/>
        <v>4.0249679800120723E-3</v>
      </c>
      <c r="AE19" s="30">
        <f t="shared" si="6"/>
        <v>27.935008517514689</v>
      </c>
      <c r="AF19" s="30">
        <f t="shared" si="7"/>
        <v>1458.5150085175164</v>
      </c>
      <c r="AG19" s="30">
        <f t="shared" si="8"/>
        <v>1377.0900000000038</v>
      </c>
      <c r="AH19" s="31">
        <f t="shared" si="9"/>
        <v>4.7463503485478866E-3</v>
      </c>
      <c r="AI19" s="30">
        <f t="shared" si="10"/>
        <v>446.58595537150501</v>
      </c>
      <c r="AJ19" s="30">
        <f t="shared" si="11"/>
        <v>1823.6759553715087</v>
      </c>
      <c r="AK19" s="30">
        <f t="shared" si="12"/>
        <v>2049.2299999999959</v>
      </c>
      <c r="AL19" s="31">
        <f t="shared" si="13"/>
        <v>4.9826834104942505E-3</v>
      </c>
      <c r="AM19" s="30">
        <f t="shared" si="14"/>
        <v>206.41084919710943</v>
      </c>
      <c r="AN19" s="30">
        <f t="shared" si="15"/>
        <v>2255.6408491971051</v>
      </c>
      <c r="AO19" s="30">
        <f t="shared" si="16"/>
        <v>1576.0900000000038</v>
      </c>
      <c r="AP19" s="31">
        <f t="shared" si="17"/>
        <v>4.3518033273932111E-3</v>
      </c>
      <c r="AQ19" s="30">
        <f t="shared" si="18"/>
        <v>379.1621795877839</v>
      </c>
      <c r="AR19" s="30">
        <f t="shared" si="19"/>
        <v>1955.2521795877876</v>
      </c>
      <c r="AS19" s="92">
        <f t="shared" si="20"/>
        <v>1271.9099999999962</v>
      </c>
      <c r="AT19" s="93">
        <f t="shared" si="21"/>
        <v>2.6851132928824954E-3</v>
      </c>
      <c r="AU19" s="94">
        <f t="shared" si="22"/>
        <v>318.11474285318087</v>
      </c>
      <c r="AV19" s="94">
        <f t="shared" si="23"/>
        <v>1590.024742853177</v>
      </c>
      <c r="AW19" s="103">
        <f t="shared" si="24"/>
        <v>1206.9900000000052</v>
      </c>
      <c r="AX19" s="93">
        <f t="shared" si="25"/>
        <v>2.6020603012529668E-3</v>
      </c>
      <c r="AY19" s="103">
        <f t="shared" si="26"/>
        <v>268.88299050886997</v>
      </c>
      <c r="AZ19" s="103">
        <f t="shared" si="27"/>
        <v>1475.8729905088753</v>
      </c>
      <c r="BA19" s="103">
        <f t="shared" si="28"/>
        <v>1205.4799999999959</v>
      </c>
      <c r="BB19" s="90">
        <f t="shared" si="30"/>
        <v>3.4317273768906683E-3</v>
      </c>
      <c r="BC19" s="103">
        <f t="shared" si="31"/>
        <v>296.63854877570299</v>
      </c>
      <c r="BD19" s="103">
        <f t="shared" si="29"/>
        <v>1502.1185487756989</v>
      </c>
      <c r="BE19" s="103">
        <f t="shared" si="32"/>
        <v>1915.3300000000017</v>
      </c>
      <c r="BF19" s="93">
        <f t="shared" si="33"/>
        <v>4.9679420630775366E-3</v>
      </c>
      <c r="BG19" s="103">
        <f t="shared" si="34"/>
        <v>386.03935306828856</v>
      </c>
      <c r="BH19" s="103">
        <f t="shared" si="35"/>
        <v>2301.3693530682904</v>
      </c>
      <c r="BI19" s="103">
        <f t="shared" si="36"/>
        <v>1582.1299999999974</v>
      </c>
      <c r="BJ19" s="90">
        <f t="shared" si="37"/>
        <v>3.2847899131103232E-3</v>
      </c>
      <c r="BK19" s="102">
        <f t="shared" si="38"/>
        <v>370.29328292425595</v>
      </c>
      <c r="BL19" s="102">
        <f t="shared" si="39"/>
        <v>1952.4232829242533</v>
      </c>
      <c r="BM19" s="94">
        <f t="shared" si="40"/>
        <v>1709.7000000000044</v>
      </c>
      <c r="BN19" s="90">
        <f t="shared" si="41"/>
        <v>4.4114194483246185E-3</v>
      </c>
      <c r="BO19" s="94">
        <f t="shared" si="42"/>
        <v>433.01465444022938</v>
      </c>
      <c r="BP19" s="94">
        <f t="shared" si="43"/>
        <v>2142.714654440234</v>
      </c>
      <c r="BQ19" s="94">
        <f t="shared" si="44"/>
        <v>1061.9799999999959</v>
      </c>
      <c r="BR19" s="90">
        <f t="shared" si="45"/>
        <v>2.017373790709326E-3</v>
      </c>
      <c r="BS19" s="94">
        <f t="shared" si="46"/>
        <v>229.45393636532324</v>
      </c>
      <c r="BT19" s="94">
        <f t="shared" si="47"/>
        <v>1291.4339363653191</v>
      </c>
    </row>
    <row r="20" spans="1:72" ht="13.5" hidden="1">
      <c r="A20" s="11">
        <v>17</v>
      </c>
      <c r="B20" s="16" t="s">
        <v>39</v>
      </c>
      <c r="C20" s="17" t="s">
        <v>40</v>
      </c>
      <c r="D20" s="21" t="s">
        <v>67</v>
      </c>
      <c r="E20" s="21" t="s">
        <v>68</v>
      </c>
      <c r="F20" s="56" t="s">
        <v>79</v>
      </c>
      <c r="G20" s="57" t="s">
        <v>80</v>
      </c>
      <c r="H20" s="53">
        <v>54563.28</v>
      </c>
      <c r="I20" s="53">
        <v>107091.54</v>
      </c>
      <c r="J20" s="53">
        <v>111130.17</v>
      </c>
      <c r="K20" s="53">
        <v>52528.26</v>
      </c>
      <c r="L20" s="53">
        <v>4038.63</v>
      </c>
      <c r="M20" s="53">
        <v>112513.14</v>
      </c>
      <c r="N20" s="53">
        <v>116724.48</v>
      </c>
      <c r="O20" s="53">
        <v>121082.01</v>
      </c>
      <c r="P20" s="53">
        <v>125515.47</v>
      </c>
      <c r="Q20" s="53">
        <v>129395.37</v>
      </c>
      <c r="R20" s="53">
        <v>134313.35999999999</v>
      </c>
      <c r="S20" s="53">
        <v>138862.69</v>
      </c>
      <c r="T20" s="71">
        <v>142275.54</v>
      </c>
      <c r="U20" s="34">
        <v>143697.25</v>
      </c>
      <c r="V20" s="34">
        <v>145348.32</v>
      </c>
      <c r="W20" s="72">
        <v>148091.76</v>
      </c>
      <c r="X20" s="72">
        <v>154662.78</v>
      </c>
      <c r="Y20" s="30">
        <f t="shared" si="0"/>
        <v>5421.6000000000058</v>
      </c>
      <c r="Z20" s="31">
        <f t="shared" si="1"/>
        <v>1.2273725540924244E-2</v>
      </c>
      <c r="AA20" s="30">
        <f t="shared" si="2"/>
        <v>1681.0822332774449</v>
      </c>
      <c r="AB20" s="30">
        <f t="shared" si="3"/>
        <v>7102.6822332774509</v>
      </c>
      <c r="AC20" s="30">
        <f t="shared" si="4"/>
        <v>4211.3399999999965</v>
      </c>
      <c r="AD20" s="31">
        <f t="shared" si="5"/>
        <v>1.1848696789374943E-2</v>
      </c>
      <c r="AE20" s="30">
        <f t="shared" si="6"/>
        <v>82.235050657880066</v>
      </c>
      <c r="AF20" s="30">
        <f t="shared" si="7"/>
        <v>4293.575050657877</v>
      </c>
      <c r="AG20" s="30">
        <f t="shared" si="8"/>
        <v>4357.5299999999988</v>
      </c>
      <c r="AH20" s="31">
        <f t="shared" si="9"/>
        <v>1.5018890583990741E-2</v>
      </c>
      <c r="AI20" s="30">
        <f t="shared" si="10"/>
        <v>1413.1332724150116</v>
      </c>
      <c r="AJ20" s="30">
        <f t="shared" si="11"/>
        <v>5770.6632724150104</v>
      </c>
      <c r="AK20" s="30">
        <f t="shared" si="12"/>
        <v>4433.4600000000064</v>
      </c>
      <c r="AL20" s="31">
        <f t="shared" si="13"/>
        <v>1.0779916160260155E-2</v>
      </c>
      <c r="AM20" s="30">
        <f t="shared" si="14"/>
        <v>446.56492608512463</v>
      </c>
      <c r="AN20" s="30">
        <f t="shared" si="15"/>
        <v>4880.0249260851306</v>
      </c>
      <c r="AO20" s="30">
        <f t="shared" si="16"/>
        <v>3879.8999999999942</v>
      </c>
      <c r="AP20" s="31">
        <f t="shared" si="17"/>
        <v>1.0712942617460206E-2</v>
      </c>
      <c r="AQ20" s="30">
        <f t="shared" si="18"/>
        <v>933.39297919702369</v>
      </c>
      <c r="AR20" s="30">
        <f t="shared" si="19"/>
        <v>4813.2929791970182</v>
      </c>
      <c r="AS20" s="92">
        <f t="shared" si="20"/>
        <v>4917.9899999999907</v>
      </c>
      <c r="AT20" s="93">
        <f t="shared" si="21"/>
        <v>1.0382307178387777E-2</v>
      </c>
      <c r="AU20" s="94">
        <f t="shared" si="22"/>
        <v>1230.0281656756506</v>
      </c>
      <c r="AV20" s="94">
        <f t="shared" si="23"/>
        <v>6148.0181656756413</v>
      </c>
      <c r="AW20" s="103">
        <f t="shared" si="24"/>
        <v>4549.3300000000163</v>
      </c>
      <c r="AX20" s="93">
        <f t="shared" si="25"/>
        <v>9.8075634349076221E-3</v>
      </c>
      <c r="AY20" s="103">
        <f t="shared" si="26"/>
        <v>1013.4611348989771</v>
      </c>
      <c r="AZ20" s="103">
        <f t="shared" si="27"/>
        <v>5562.7911348989937</v>
      </c>
      <c r="BA20" s="103">
        <f t="shared" si="28"/>
        <v>3412.8500000000058</v>
      </c>
      <c r="BB20" s="90">
        <f t="shared" si="30"/>
        <v>9.7156077066574125E-3</v>
      </c>
      <c r="BC20" s="103">
        <f t="shared" si="31"/>
        <v>839.81722731954335</v>
      </c>
      <c r="BD20" s="103">
        <f t="shared" si="29"/>
        <v>4252.6672273195491</v>
      </c>
      <c r="BE20" s="103">
        <f t="shared" si="32"/>
        <v>1421.7099999999919</v>
      </c>
      <c r="BF20" s="93">
        <f t="shared" si="33"/>
        <v>3.6876010455106521E-3</v>
      </c>
      <c r="BG20" s="103">
        <f t="shared" si="34"/>
        <v>286.54905872654473</v>
      </c>
      <c r="BH20" s="103">
        <f t="shared" si="35"/>
        <v>1708.2590587265365</v>
      </c>
      <c r="BI20" s="103">
        <f t="shared" si="36"/>
        <v>1651.070000000007</v>
      </c>
      <c r="BJ20" s="90">
        <f t="shared" si="37"/>
        <v>3.4279219039137702E-3</v>
      </c>
      <c r="BK20" s="102">
        <f t="shared" si="38"/>
        <v>386.42850501397157</v>
      </c>
      <c r="BL20" s="102">
        <f t="shared" si="39"/>
        <v>2037.4985050139785</v>
      </c>
      <c r="BM20" s="94">
        <f t="shared" si="40"/>
        <v>2743.4400000000023</v>
      </c>
      <c r="BN20" s="90">
        <f t="shared" si="41"/>
        <v>7.0787065399261105E-3</v>
      </c>
      <c r="BO20" s="94">
        <f t="shared" si="42"/>
        <v>694.829340572908</v>
      </c>
      <c r="BP20" s="94">
        <f t="shared" si="43"/>
        <v>3438.2693405729106</v>
      </c>
      <c r="BQ20" s="94">
        <f t="shared" si="44"/>
        <v>6571.0199999999895</v>
      </c>
      <c r="BR20" s="90">
        <f t="shared" si="45"/>
        <v>1.2482535948159875E-2</v>
      </c>
      <c r="BS20" s="94">
        <f t="shared" si="46"/>
        <v>1419.7502824302433</v>
      </c>
      <c r="BT20" s="94">
        <f t="shared" si="47"/>
        <v>7990.7702824302323</v>
      </c>
    </row>
    <row r="21" spans="1:72" ht="13.5" hidden="1">
      <c r="A21" s="16">
        <v>18</v>
      </c>
      <c r="B21" s="16" t="s">
        <v>39</v>
      </c>
      <c r="C21" s="17" t="s">
        <v>40</v>
      </c>
      <c r="D21" s="21" t="s">
        <v>67</v>
      </c>
      <c r="E21" s="21" t="s">
        <v>68</v>
      </c>
      <c r="F21" s="56" t="s">
        <v>81</v>
      </c>
      <c r="G21" s="57" t="s">
        <v>82</v>
      </c>
      <c r="H21" s="53">
        <v>10537.15</v>
      </c>
      <c r="I21" s="53">
        <v>42012.35</v>
      </c>
      <c r="J21" s="53">
        <v>43472.5</v>
      </c>
      <c r="K21" s="53">
        <v>31475.200000000001</v>
      </c>
      <c r="L21" s="53">
        <v>1460.15</v>
      </c>
      <c r="M21" s="53">
        <v>43820.7</v>
      </c>
      <c r="N21" s="53">
        <v>45144.95</v>
      </c>
      <c r="O21" s="53">
        <v>47108.15</v>
      </c>
      <c r="P21" s="53">
        <v>50167.05</v>
      </c>
      <c r="Q21" s="53">
        <v>53717.95</v>
      </c>
      <c r="R21" s="53">
        <v>57286.7</v>
      </c>
      <c r="S21" s="53">
        <v>59687.3</v>
      </c>
      <c r="T21" s="71">
        <v>62026.8</v>
      </c>
      <c r="U21" s="34">
        <v>64431.6</v>
      </c>
      <c r="V21" s="34">
        <v>65918.100000000006</v>
      </c>
      <c r="W21" s="72">
        <v>68070.600000000006</v>
      </c>
      <c r="X21" s="72">
        <v>69707.05</v>
      </c>
      <c r="Y21" s="30">
        <f t="shared" si="0"/>
        <v>1808.3499999999985</v>
      </c>
      <c r="Z21" s="31">
        <f t="shared" si="1"/>
        <v>4.093845282191662E-3</v>
      </c>
      <c r="AA21" s="30">
        <f t="shared" si="2"/>
        <v>560.71732635149431</v>
      </c>
      <c r="AB21" s="30">
        <f t="shared" si="3"/>
        <v>2369.0673263514927</v>
      </c>
      <c r="AC21" s="30">
        <f t="shared" si="4"/>
        <v>1324.25</v>
      </c>
      <c r="AD21" s="31">
        <f t="shared" si="5"/>
        <v>3.7258062097407906E-3</v>
      </c>
      <c r="AE21" s="30">
        <f t="shared" si="6"/>
        <v>25.858697192270817</v>
      </c>
      <c r="AF21" s="30">
        <f t="shared" si="7"/>
        <v>1350.1086971922707</v>
      </c>
      <c r="AG21" s="30">
        <f t="shared" si="8"/>
        <v>1963.2000000000044</v>
      </c>
      <c r="AH21" s="31">
        <f t="shared" si="9"/>
        <v>6.7664676994744028E-3</v>
      </c>
      <c r="AI21" s="30">
        <f t="shared" si="10"/>
        <v>636.6595847659471</v>
      </c>
      <c r="AJ21" s="30">
        <f t="shared" si="11"/>
        <v>2599.8595847659517</v>
      </c>
      <c r="AK21" s="30">
        <f t="shared" si="12"/>
        <v>3058.9000000000015</v>
      </c>
      <c r="AL21" s="31">
        <f t="shared" si="13"/>
        <v>7.4376864892476205E-3</v>
      </c>
      <c r="AM21" s="30">
        <f t="shared" si="14"/>
        <v>308.11092293643935</v>
      </c>
      <c r="AN21" s="30">
        <f t="shared" si="15"/>
        <v>3367.0109229364407</v>
      </c>
      <c r="AO21" s="30">
        <f t="shared" si="16"/>
        <v>3550.8999999999942</v>
      </c>
      <c r="AP21" s="31">
        <f t="shared" si="17"/>
        <v>9.8045279363745044E-3</v>
      </c>
      <c r="AQ21" s="30">
        <f t="shared" si="18"/>
        <v>854.24498822926137</v>
      </c>
      <c r="AR21" s="30">
        <f t="shared" si="19"/>
        <v>4405.1449882292554</v>
      </c>
      <c r="AS21" s="92">
        <f t="shared" si="20"/>
        <v>3568.75</v>
      </c>
      <c r="AT21" s="93">
        <f t="shared" si="21"/>
        <v>7.5339434896922221E-3</v>
      </c>
      <c r="AU21" s="94">
        <f t="shared" si="22"/>
        <v>892.5725786866152</v>
      </c>
      <c r="AV21" s="94">
        <f t="shared" si="23"/>
        <v>4461.3225786866151</v>
      </c>
      <c r="AW21" s="103">
        <f t="shared" si="24"/>
        <v>2400.6000000000058</v>
      </c>
      <c r="AX21" s="93">
        <f t="shared" si="25"/>
        <v>5.1752756519837448E-3</v>
      </c>
      <c r="AY21" s="103">
        <f t="shared" si="26"/>
        <v>534.78529815126217</v>
      </c>
      <c r="AZ21" s="103">
        <f t="shared" si="27"/>
        <v>2935.3852981512682</v>
      </c>
      <c r="BA21" s="103">
        <f t="shared" si="28"/>
        <v>2339.5</v>
      </c>
      <c r="BB21" s="90">
        <f t="shared" si="30"/>
        <v>6.6600243871617493E-3</v>
      </c>
      <c r="BC21" s="103">
        <f t="shared" si="31"/>
        <v>575.69257462650512</v>
      </c>
      <c r="BD21" s="103">
        <f t="shared" si="29"/>
        <v>2915.1925746265051</v>
      </c>
      <c r="BE21" s="103">
        <f t="shared" si="32"/>
        <v>2404.7999999999956</v>
      </c>
      <c r="BF21" s="93">
        <f t="shared" si="33"/>
        <v>6.2375188992439042E-3</v>
      </c>
      <c r="BG21" s="103">
        <f t="shared" si="34"/>
        <v>484.69320496134753</v>
      </c>
      <c r="BH21" s="103">
        <f t="shared" si="35"/>
        <v>2889.4932049613431</v>
      </c>
      <c r="BI21" s="103">
        <f t="shared" si="36"/>
        <v>1486.5000000000073</v>
      </c>
      <c r="BJ21" s="90">
        <f t="shared" si="37"/>
        <v>3.0862446232853987E-3</v>
      </c>
      <c r="BK21" s="102">
        <f t="shared" si="38"/>
        <v>347.91133792223781</v>
      </c>
      <c r="BL21" s="102">
        <f t="shared" si="39"/>
        <v>1834.4113379222451</v>
      </c>
      <c r="BM21" s="94">
        <f t="shared" si="40"/>
        <v>2152.5</v>
      </c>
      <c r="BN21" s="90">
        <f t="shared" si="41"/>
        <v>5.5539453486101176E-3</v>
      </c>
      <c r="BO21" s="94">
        <f t="shared" si="42"/>
        <v>545.16233472690612</v>
      </c>
      <c r="BP21" s="94">
        <f t="shared" si="43"/>
        <v>2697.662334726906</v>
      </c>
      <c r="BQ21" s="94">
        <f t="shared" si="44"/>
        <v>1636.4499999999971</v>
      </c>
      <c r="BR21" s="90">
        <f t="shared" si="45"/>
        <v>3.1086567918475706E-3</v>
      </c>
      <c r="BS21" s="94">
        <f t="shared" si="46"/>
        <v>353.57529724197627</v>
      </c>
      <c r="BT21" s="94">
        <f t="shared" si="47"/>
        <v>1990.0252972419735</v>
      </c>
    </row>
    <row r="22" spans="1:72" ht="27" hidden="1">
      <c r="A22" s="11">
        <v>19</v>
      </c>
      <c r="B22" s="16" t="s">
        <v>83</v>
      </c>
      <c r="C22" s="17" t="s">
        <v>84</v>
      </c>
      <c r="D22" s="18" t="s">
        <v>41</v>
      </c>
      <c r="E22" s="18" t="s">
        <v>83</v>
      </c>
      <c r="F22" s="56" t="s">
        <v>85</v>
      </c>
      <c r="G22" s="56" t="s">
        <v>86</v>
      </c>
      <c r="H22" s="53">
        <v>43853.91</v>
      </c>
      <c r="I22" s="53">
        <v>70788.960000000006</v>
      </c>
      <c r="J22" s="53">
        <v>72283.320000000007</v>
      </c>
      <c r="K22" s="53">
        <v>26935.05</v>
      </c>
      <c r="L22" s="53">
        <v>1494.36</v>
      </c>
      <c r="M22" s="53">
        <v>72692.52</v>
      </c>
      <c r="N22" s="53">
        <v>75348.81</v>
      </c>
      <c r="O22" s="53">
        <v>77362.679999999993</v>
      </c>
      <c r="P22" s="53">
        <v>79405.59</v>
      </c>
      <c r="Q22" s="53">
        <v>81359.16</v>
      </c>
      <c r="R22" s="53">
        <v>83242.710000000006</v>
      </c>
      <c r="S22" s="53">
        <v>85401.42</v>
      </c>
      <c r="T22" s="71">
        <v>87724.11</v>
      </c>
      <c r="U22" s="34">
        <v>90171.78</v>
      </c>
      <c r="V22" s="34">
        <v>92361.600000000006</v>
      </c>
      <c r="W22" s="72">
        <v>94358.97</v>
      </c>
      <c r="X22" s="72">
        <v>97165.68</v>
      </c>
      <c r="Y22" s="30">
        <f t="shared" si="0"/>
        <v>1903.5599999999977</v>
      </c>
      <c r="Z22" s="31">
        <f t="shared" si="1"/>
        <v>4.3093870795856762E-3</v>
      </c>
      <c r="AA22" s="30">
        <f t="shared" si="2"/>
        <v>590.2392090854371</v>
      </c>
      <c r="AB22" s="30">
        <f t="shared" si="3"/>
        <v>2493.799209085435</v>
      </c>
      <c r="AC22" s="30">
        <f t="shared" si="4"/>
        <v>2656.2899999999936</v>
      </c>
      <c r="AD22" s="31">
        <f t="shared" si="5"/>
        <v>7.4735297541040895E-3</v>
      </c>
      <c r="AE22" s="30">
        <f t="shared" si="6"/>
        <v>51.869510111275723</v>
      </c>
      <c r="AF22" s="30">
        <f t="shared" si="7"/>
        <v>2708.1595101112694</v>
      </c>
      <c r="AG22" s="30">
        <f t="shared" si="8"/>
        <v>2013.8699999999953</v>
      </c>
      <c r="AH22" s="31">
        <f t="shared" si="9"/>
        <v>6.9411095690405733E-3</v>
      </c>
      <c r="AI22" s="30">
        <f t="shared" si="10"/>
        <v>653.09170638375713</v>
      </c>
      <c r="AJ22" s="30">
        <f t="shared" si="11"/>
        <v>2666.9617063837522</v>
      </c>
      <c r="AK22" s="30">
        <f t="shared" si="12"/>
        <v>2042.9100000000035</v>
      </c>
      <c r="AL22" s="31">
        <f t="shared" si="13"/>
        <v>4.9673163901235327E-3</v>
      </c>
      <c r="AM22" s="30">
        <f t="shared" si="14"/>
        <v>205.77426054335942</v>
      </c>
      <c r="AN22" s="30">
        <f t="shared" si="15"/>
        <v>2248.6842605433631</v>
      </c>
      <c r="AO22" s="30">
        <f t="shared" si="16"/>
        <v>1953.570000000007</v>
      </c>
      <c r="AP22" s="31">
        <f t="shared" si="17"/>
        <v>5.3940780198437691E-3</v>
      </c>
      <c r="AQ22" s="30">
        <f t="shared" si="18"/>
        <v>469.97307208173891</v>
      </c>
      <c r="AR22" s="30">
        <f t="shared" si="19"/>
        <v>2423.5430720817458</v>
      </c>
      <c r="AS22" s="92">
        <f t="shared" si="20"/>
        <v>1883.5500000000029</v>
      </c>
      <c r="AT22" s="93">
        <f t="shared" si="21"/>
        <v>3.9763388469379489E-3</v>
      </c>
      <c r="AU22" s="94">
        <f t="shared" si="22"/>
        <v>471.09074061931386</v>
      </c>
      <c r="AV22" s="94">
        <f t="shared" si="23"/>
        <v>2354.6407406193166</v>
      </c>
      <c r="AW22" s="103">
        <f t="shared" si="24"/>
        <v>2158.7099999999919</v>
      </c>
      <c r="AX22" s="93">
        <f t="shared" si="25"/>
        <v>4.6538029253910523E-3</v>
      </c>
      <c r="AY22" s="103">
        <f t="shared" si="26"/>
        <v>480.89909646426059</v>
      </c>
      <c r="AZ22" s="103">
        <f t="shared" si="27"/>
        <v>2639.6090964642526</v>
      </c>
      <c r="BA22" s="103">
        <f t="shared" si="28"/>
        <v>2322.6900000000023</v>
      </c>
      <c r="BB22" s="90">
        <f t="shared" si="30"/>
        <v>6.6121701405500062E-3</v>
      </c>
      <c r="BC22" s="103">
        <f t="shared" si="31"/>
        <v>571.55605307084363</v>
      </c>
      <c r="BD22" s="103">
        <f t="shared" si="29"/>
        <v>2894.2460530708458</v>
      </c>
      <c r="BE22" s="103">
        <f t="shared" si="32"/>
        <v>2447.6699999999983</v>
      </c>
      <c r="BF22" s="93">
        <f t="shared" si="33"/>
        <v>6.3487141900001433E-3</v>
      </c>
      <c r="BG22" s="103">
        <f t="shared" si="34"/>
        <v>493.33375623242802</v>
      </c>
      <c r="BH22" s="103">
        <f t="shared" si="35"/>
        <v>2941.0037562324264</v>
      </c>
      <c r="BI22" s="103">
        <f t="shared" si="36"/>
        <v>2189.820000000007</v>
      </c>
      <c r="BJ22" s="90">
        <f t="shared" si="37"/>
        <v>4.5464649855114832E-3</v>
      </c>
      <c r="BK22" s="102">
        <f t="shared" si="38"/>
        <v>512.52149748326497</v>
      </c>
      <c r="BL22" s="102">
        <f t="shared" si="39"/>
        <v>2702.3414974832722</v>
      </c>
      <c r="BM22" s="94">
        <f t="shared" si="40"/>
        <v>1997.3699999999953</v>
      </c>
      <c r="BN22" s="90">
        <f t="shared" si="41"/>
        <v>5.1536742489911094E-3</v>
      </c>
      <c r="BO22" s="94">
        <f t="shared" si="42"/>
        <v>505.87265621996647</v>
      </c>
      <c r="BP22" s="94">
        <f t="shared" si="43"/>
        <v>2503.2426562199616</v>
      </c>
      <c r="BQ22" s="94">
        <f t="shared" si="44"/>
        <v>2806.7099999999919</v>
      </c>
      <c r="BR22" s="104">
        <f t="shared" si="45"/>
        <v>5.3317230005478231E-3</v>
      </c>
      <c r="BS22" s="94">
        <f t="shared" si="46"/>
        <v>606.42446913870037</v>
      </c>
      <c r="BT22" s="94">
        <f t="shared" si="47"/>
        <v>3413.1344691386921</v>
      </c>
    </row>
    <row r="23" spans="1:72" ht="13.5" hidden="1" customHeight="1">
      <c r="A23" s="16">
        <v>20</v>
      </c>
      <c r="B23" s="16" t="s">
        <v>49</v>
      </c>
      <c r="C23" s="17" t="s">
        <v>50</v>
      </c>
      <c r="D23" s="21" t="s">
        <v>67</v>
      </c>
      <c r="E23" s="18" t="s">
        <v>49</v>
      </c>
      <c r="F23" s="56" t="s">
        <v>87</v>
      </c>
      <c r="G23" s="56" t="s">
        <v>88</v>
      </c>
      <c r="H23" s="53">
        <v>1159938.8</v>
      </c>
      <c r="I23" s="53">
        <v>2064298.1</v>
      </c>
      <c r="J23" s="53">
        <v>2109107.9</v>
      </c>
      <c r="K23" s="53">
        <v>904359.3</v>
      </c>
      <c r="L23" s="53">
        <v>44809.8</v>
      </c>
      <c r="M23" s="53">
        <v>2122584.4</v>
      </c>
      <c r="N23" s="53">
        <v>2200047.2999999998</v>
      </c>
      <c r="O23" s="53">
        <v>2269943</v>
      </c>
      <c r="P23" s="53">
        <v>2355516.4</v>
      </c>
      <c r="Q23" s="53">
        <v>2425487.7999999998</v>
      </c>
      <c r="R23" s="53">
        <v>2507627.5</v>
      </c>
      <c r="S23" s="53">
        <v>2578393.7999999998</v>
      </c>
      <c r="T23" s="71">
        <v>2645325</v>
      </c>
      <c r="U23" s="34">
        <v>2724471.1</v>
      </c>
      <c r="V23" s="34">
        <v>2800340.7</v>
      </c>
      <c r="W23" s="72">
        <v>2866696.7</v>
      </c>
      <c r="X23" s="72">
        <v>2938675.7</v>
      </c>
      <c r="Y23" s="30">
        <f t="shared" si="0"/>
        <v>58286.299999999814</v>
      </c>
      <c r="Z23" s="31">
        <f t="shared" si="1"/>
        <v>0.13195183137744756</v>
      </c>
      <c r="AA23" s="30">
        <f t="shared" si="2"/>
        <v>18072.905299815317</v>
      </c>
      <c r="AB23" s="30">
        <f t="shared" si="3"/>
        <v>76359.205299815134</v>
      </c>
      <c r="AC23" s="30">
        <f t="shared" si="4"/>
        <v>77462.899999999907</v>
      </c>
      <c r="AD23" s="31">
        <f t="shared" si="5"/>
        <v>0.21794355585767758</v>
      </c>
      <c r="AE23" s="30">
        <f t="shared" si="6"/>
        <v>1512.6219933812743</v>
      </c>
      <c r="AF23" s="30">
        <f t="shared" si="7"/>
        <v>78975.521993381175</v>
      </c>
      <c r="AG23" s="30">
        <f t="shared" si="8"/>
        <v>69895.700000000186</v>
      </c>
      <c r="AH23" s="31">
        <f t="shared" si="9"/>
        <v>0.24090617175130055</v>
      </c>
      <c r="AI23" s="30">
        <f t="shared" si="10"/>
        <v>22666.95565348677</v>
      </c>
      <c r="AJ23" s="30">
        <f t="shared" si="11"/>
        <v>92562.65565348696</v>
      </c>
      <c r="AK23" s="30">
        <f t="shared" si="12"/>
        <v>85573.399999999907</v>
      </c>
      <c r="AL23" s="31">
        <f t="shared" si="13"/>
        <v>0.20807091471410682</v>
      </c>
      <c r="AM23" s="30">
        <f t="shared" si="14"/>
        <v>8619.4708074173923</v>
      </c>
      <c r="AN23" s="30">
        <f t="shared" si="15"/>
        <v>94192.870807417305</v>
      </c>
      <c r="AO23" s="30">
        <f t="shared" si="16"/>
        <v>69971.399999999907</v>
      </c>
      <c r="AP23" s="31">
        <f t="shared" si="17"/>
        <v>0.19320075080887528</v>
      </c>
      <c r="AQ23" s="30">
        <f t="shared" si="18"/>
        <v>16833.117736175322</v>
      </c>
      <c r="AR23" s="30">
        <f t="shared" si="19"/>
        <v>86804.517736175228</v>
      </c>
      <c r="AS23" s="92">
        <f t="shared" si="20"/>
        <v>82139.700000000186</v>
      </c>
      <c r="AT23" s="93">
        <f t="shared" si="21"/>
        <v>0.17340409332687176</v>
      </c>
      <c r="AU23" s="94">
        <f t="shared" si="22"/>
        <v>20543.788116720178</v>
      </c>
      <c r="AV23" s="94">
        <f t="shared" si="23"/>
        <v>102683.48811672037</v>
      </c>
      <c r="AW23" s="103">
        <f t="shared" si="24"/>
        <v>70766.299999999814</v>
      </c>
      <c r="AX23" s="93">
        <f t="shared" si="25"/>
        <v>0.15255982228233583</v>
      </c>
      <c r="AY23" s="103">
        <f t="shared" si="26"/>
        <v>15764.715839607377</v>
      </c>
      <c r="AZ23" s="103">
        <f t="shared" si="27"/>
        <v>86531.015839607193</v>
      </c>
      <c r="BA23" s="103">
        <f t="shared" si="28"/>
        <v>66931.200000000186</v>
      </c>
      <c r="BB23" s="90">
        <f t="shared" si="30"/>
        <v>0.19053790308271071</v>
      </c>
      <c r="BC23" s="103">
        <f t="shared" si="31"/>
        <v>16470.098247848535</v>
      </c>
      <c r="BD23" s="103">
        <f t="shared" si="29"/>
        <v>83401.298247848725</v>
      </c>
      <c r="BE23" s="103">
        <f t="shared" si="32"/>
        <v>79146.100000000093</v>
      </c>
      <c r="BF23" s="93">
        <f t="shared" si="33"/>
        <v>0.20528746446750226</v>
      </c>
      <c r="BG23" s="103">
        <f t="shared" si="34"/>
        <v>15952.086189783526</v>
      </c>
      <c r="BH23" s="103">
        <f t="shared" si="35"/>
        <v>95098.186189783621</v>
      </c>
      <c r="BI23" s="103">
        <f t="shared" si="36"/>
        <v>75869.600000000093</v>
      </c>
      <c r="BJ23" s="90">
        <f t="shared" si="37"/>
        <v>0.15751910196489272</v>
      </c>
      <c r="BK23" s="102">
        <f t="shared" si="38"/>
        <v>17757.076383198731</v>
      </c>
      <c r="BL23" s="102">
        <f t="shared" si="39"/>
        <v>93626.676383198821</v>
      </c>
      <c r="BM23" s="94">
        <f t="shared" si="40"/>
        <v>66356</v>
      </c>
      <c r="BN23" s="90">
        <f t="shared" si="41"/>
        <v>0.17121375031469127</v>
      </c>
      <c r="BO23" s="94">
        <f t="shared" si="42"/>
        <v>16805.942802851838</v>
      </c>
      <c r="BP23" s="94">
        <f t="shared" si="43"/>
        <v>83161.942802851845</v>
      </c>
      <c r="BQ23" s="94">
        <f t="shared" si="44"/>
        <v>71979</v>
      </c>
      <c r="BR23" s="90">
        <f t="shared" si="45"/>
        <v>0.13673378790699176</v>
      </c>
      <c r="BS23" s="94">
        <f t="shared" si="46"/>
        <v>15551.954731388221</v>
      </c>
      <c r="BT23" s="94">
        <f t="shared" si="47"/>
        <v>87530.954731388221</v>
      </c>
    </row>
    <row r="24" spans="1:72" ht="27" hidden="1">
      <c r="A24" s="11">
        <v>21</v>
      </c>
      <c r="B24" s="16" t="s">
        <v>49</v>
      </c>
      <c r="C24" s="17" t="s">
        <v>50</v>
      </c>
      <c r="D24" s="21" t="s">
        <v>67</v>
      </c>
      <c r="E24" s="18" t="s">
        <v>49</v>
      </c>
      <c r="F24" s="56" t="s">
        <v>89</v>
      </c>
      <c r="G24" s="56" t="s">
        <v>90</v>
      </c>
      <c r="H24" s="53">
        <v>546901.04</v>
      </c>
      <c r="I24" s="53">
        <v>809797.04</v>
      </c>
      <c r="J24" s="53">
        <v>824998.24</v>
      </c>
      <c r="K24" s="53">
        <v>262896</v>
      </c>
      <c r="L24" s="53">
        <v>15201.2</v>
      </c>
      <c r="M24" s="53">
        <v>830161.61</v>
      </c>
      <c r="N24" s="53">
        <v>856708.32</v>
      </c>
      <c r="O24" s="53">
        <v>876215.28</v>
      </c>
      <c r="P24" s="53">
        <v>900145.2</v>
      </c>
      <c r="Q24" s="53">
        <v>917684.4</v>
      </c>
      <c r="R24" s="53">
        <v>939442.4</v>
      </c>
      <c r="S24" s="53">
        <v>956001.44</v>
      </c>
      <c r="T24" s="71">
        <v>967472.16</v>
      </c>
      <c r="U24" s="34">
        <v>985035.36</v>
      </c>
      <c r="V24" s="34">
        <v>1004438.2</v>
      </c>
      <c r="W24" s="72">
        <v>1022243</v>
      </c>
      <c r="X24" s="72">
        <v>1048141.5</v>
      </c>
      <c r="Y24" s="30">
        <f t="shared" si="0"/>
        <v>20364.569999999949</v>
      </c>
      <c r="Z24" s="31">
        <f t="shared" si="1"/>
        <v>4.6102468448232757E-2</v>
      </c>
      <c r="AA24" s="30">
        <f t="shared" si="2"/>
        <v>6314.4674663078667</v>
      </c>
      <c r="AB24" s="30">
        <f t="shared" si="3"/>
        <v>26679.037466307815</v>
      </c>
      <c r="AC24" s="30">
        <f t="shared" si="4"/>
        <v>26546.709999999963</v>
      </c>
      <c r="AD24" s="31">
        <f t="shared" si="5"/>
        <v>7.4689746623513548E-2</v>
      </c>
      <c r="AE24" s="30">
        <f t="shared" si="6"/>
        <v>518.37895815822287</v>
      </c>
      <c r="AF24" s="30">
        <f t="shared" si="7"/>
        <v>27065.088958158187</v>
      </c>
      <c r="AG24" s="30">
        <f t="shared" si="8"/>
        <v>19506.960000000079</v>
      </c>
      <c r="AH24" s="31">
        <f t="shared" si="9"/>
        <v>6.7233707597259287E-2</v>
      </c>
      <c r="AI24" s="30">
        <f t="shared" si="10"/>
        <v>6326.045768972067</v>
      </c>
      <c r="AJ24" s="30">
        <f t="shared" si="11"/>
        <v>25833.005768972147</v>
      </c>
      <c r="AK24" s="30">
        <f t="shared" si="12"/>
        <v>23929.919999999925</v>
      </c>
      <c r="AL24" s="31">
        <f t="shared" si="13"/>
        <v>5.8185374700963022E-2</v>
      </c>
      <c r="AM24" s="30">
        <f t="shared" si="14"/>
        <v>2410.3663856272296</v>
      </c>
      <c r="AN24" s="30">
        <f t="shared" si="15"/>
        <v>26340.286385627154</v>
      </c>
      <c r="AO24" s="30">
        <f t="shared" si="16"/>
        <v>17539.20000000007</v>
      </c>
      <c r="AP24" s="31">
        <f t="shared" si="17"/>
        <v>4.8428166487837071E-2</v>
      </c>
      <c r="AQ24" s="30">
        <f t="shared" si="18"/>
        <v>4219.4299184856636</v>
      </c>
      <c r="AR24" s="30">
        <f t="shared" si="19"/>
        <v>21758.629918485734</v>
      </c>
      <c r="AS24" s="92">
        <f t="shared" si="20"/>
        <v>21758</v>
      </c>
      <c r="AT24" s="93">
        <f t="shared" si="21"/>
        <v>4.5933041666892709E-2</v>
      </c>
      <c r="AU24" s="94">
        <f t="shared" si="22"/>
        <v>5441.847752592188</v>
      </c>
      <c r="AV24" s="94">
        <f t="shared" si="23"/>
        <v>27199.847752592188</v>
      </c>
      <c r="AW24" s="103">
        <f t="shared" si="24"/>
        <v>16559.039999999921</v>
      </c>
      <c r="AX24" s="93">
        <f t="shared" si="25"/>
        <v>3.5698407286605137E-2</v>
      </c>
      <c r="AY24" s="103">
        <f t="shared" si="26"/>
        <v>3688.8824225187923</v>
      </c>
      <c r="AZ24" s="103">
        <f t="shared" si="27"/>
        <v>20247.922422518714</v>
      </c>
      <c r="BA24" s="103">
        <f t="shared" si="28"/>
        <v>11470.720000000088</v>
      </c>
      <c r="BB24" s="90">
        <f t="shared" si="30"/>
        <v>3.2654530856296049E-2</v>
      </c>
      <c r="BC24" s="103">
        <f t="shared" si="31"/>
        <v>2822.6579737635375</v>
      </c>
      <c r="BD24" s="103">
        <f t="shared" si="29"/>
        <v>14293.377973763625</v>
      </c>
      <c r="BE24" s="103">
        <f t="shared" si="32"/>
        <v>17563.199999999953</v>
      </c>
      <c r="BF24" s="93">
        <f t="shared" si="33"/>
        <v>4.5555053198270315E-2</v>
      </c>
      <c r="BG24" s="103">
        <f t="shared" si="34"/>
        <v>3539.9050637795795</v>
      </c>
      <c r="BH24" s="103">
        <f t="shared" si="35"/>
        <v>21103.105063779534</v>
      </c>
      <c r="BI24" s="103">
        <f t="shared" si="36"/>
        <v>19402.839999999967</v>
      </c>
      <c r="BJ24" s="90">
        <f t="shared" si="37"/>
        <v>4.0283828204821036E-2</v>
      </c>
      <c r="BK24" s="102">
        <f t="shared" si="38"/>
        <v>4541.1826598661737</v>
      </c>
      <c r="BL24" s="102">
        <f t="shared" si="39"/>
        <v>23944.022659866139</v>
      </c>
      <c r="BM24" s="94">
        <f t="shared" si="40"/>
        <v>17804.800000000047</v>
      </c>
      <c r="BN24" s="90">
        <f t="shared" si="41"/>
        <v>4.5940481367216575E-2</v>
      </c>
      <c r="BO24" s="94">
        <f t="shared" si="42"/>
        <v>4509.4106096843871</v>
      </c>
      <c r="BP24" s="94">
        <f t="shared" si="43"/>
        <v>22314.210609684433</v>
      </c>
      <c r="BQ24" s="94">
        <f t="shared" si="44"/>
        <v>25898.5</v>
      </c>
      <c r="BR24" s="90">
        <f t="shared" si="45"/>
        <v>4.9197682742316874E-2</v>
      </c>
      <c r="BS24" s="94">
        <f t="shared" si="46"/>
        <v>5595.6917935906013</v>
      </c>
      <c r="BT24" s="94">
        <f t="shared" si="47"/>
        <v>31494.191793590602</v>
      </c>
    </row>
    <row r="25" spans="1:72" ht="27" hidden="1">
      <c r="A25" s="16">
        <v>22</v>
      </c>
      <c r="B25" s="16" t="s">
        <v>49</v>
      </c>
      <c r="C25" s="17" t="s">
        <v>50</v>
      </c>
      <c r="D25" s="21" t="s">
        <v>67</v>
      </c>
      <c r="E25" s="18" t="s">
        <v>49</v>
      </c>
      <c r="F25" s="56" t="s">
        <v>91</v>
      </c>
      <c r="G25" s="56" t="s">
        <v>92</v>
      </c>
      <c r="H25" s="53">
        <v>241013.44</v>
      </c>
      <c r="I25" s="53">
        <v>407818.56</v>
      </c>
      <c r="J25" s="53">
        <v>417206.24</v>
      </c>
      <c r="K25" s="53">
        <v>166805.12</v>
      </c>
      <c r="L25" s="53">
        <v>9387.68</v>
      </c>
      <c r="M25" s="53">
        <v>420877.6</v>
      </c>
      <c r="N25" s="53">
        <v>438602.4</v>
      </c>
      <c r="O25" s="53">
        <v>451712.96</v>
      </c>
      <c r="P25" s="53">
        <v>466424.32000000001</v>
      </c>
      <c r="Q25" s="53">
        <v>475678.56</v>
      </c>
      <c r="R25" s="53">
        <v>487489.76</v>
      </c>
      <c r="S25" s="53">
        <v>496885.76000000001</v>
      </c>
      <c r="T25" s="71">
        <v>512104.96000000002</v>
      </c>
      <c r="U25" s="34">
        <v>541816</v>
      </c>
      <c r="V25" s="34">
        <v>580839.04</v>
      </c>
      <c r="W25" s="72">
        <v>620897.28000000003</v>
      </c>
      <c r="X25" s="72">
        <v>659648.52</v>
      </c>
      <c r="Y25" s="30">
        <f t="shared" si="0"/>
        <v>13059.039999999979</v>
      </c>
      <c r="Z25" s="31">
        <f t="shared" si="1"/>
        <v>2.9563795334947417E-2</v>
      </c>
      <c r="AA25" s="30">
        <f t="shared" si="2"/>
        <v>4049.2327223807411</v>
      </c>
      <c r="AB25" s="30">
        <f t="shared" si="3"/>
        <v>17108.27272238072</v>
      </c>
      <c r="AC25" s="30">
        <f t="shared" si="4"/>
        <v>17724.800000000047</v>
      </c>
      <c r="AD25" s="31">
        <f t="shared" si="5"/>
        <v>4.9869110746772694E-2</v>
      </c>
      <c r="AE25" s="30">
        <f t="shared" si="6"/>
        <v>346.11307230021742</v>
      </c>
      <c r="AF25" s="30">
        <f t="shared" si="7"/>
        <v>18070.913072300264</v>
      </c>
      <c r="AG25" s="30">
        <f t="shared" si="8"/>
        <v>13110.559999999998</v>
      </c>
      <c r="AH25" s="31">
        <f t="shared" si="9"/>
        <v>4.5187541137948713E-2</v>
      </c>
      <c r="AI25" s="30">
        <f t="shared" si="10"/>
        <v>4251.7133688106233</v>
      </c>
      <c r="AJ25" s="30">
        <f t="shared" si="11"/>
        <v>17362.27336881062</v>
      </c>
      <c r="AK25" s="30">
        <f t="shared" si="12"/>
        <v>14711.359999999986</v>
      </c>
      <c r="AL25" s="31">
        <f t="shared" si="13"/>
        <v>3.5770533038169836E-2</v>
      </c>
      <c r="AM25" s="30">
        <f t="shared" si="14"/>
        <v>1481.817224247347</v>
      </c>
      <c r="AN25" s="30">
        <f t="shared" si="15"/>
        <v>16193.177224247333</v>
      </c>
      <c r="AO25" s="30">
        <f t="shared" si="16"/>
        <v>9254.2399999999907</v>
      </c>
      <c r="AP25" s="31">
        <f t="shared" si="17"/>
        <v>2.5552241575351162E-2</v>
      </c>
      <c r="AQ25" s="30">
        <f t="shared" si="18"/>
        <v>2226.3054830805609</v>
      </c>
      <c r="AR25" s="30">
        <f t="shared" si="19"/>
        <v>11480.545483080552</v>
      </c>
      <c r="AS25" s="92">
        <f t="shared" si="20"/>
        <v>11811.200000000012</v>
      </c>
      <c r="AT25" s="93">
        <f t="shared" si="21"/>
        <v>2.4934476594172431E-2</v>
      </c>
      <c r="AU25" s="94">
        <f t="shared" si="22"/>
        <v>2954.0744634349171</v>
      </c>
      <c r="AV25" s="94">
        <f t="shared" si="23"/>
        <v>14765.274463434929</v>
      </c>
      <c r="AW25" s="103">
        <f t="shared" si="24"/>
        <v>9396</v>
      </c>
      <c r="AX25" s="93">
        <f t="shared" si="25"/>
        <v>2.0256140142480689E-2</v>
      </c>
      <c r="AY25" s="103">
        <f t="shared" si="26"/>
        <v>2093.1611519741928</v>
      </c>
      <c r="AZ25" s="103">
        <f t="shared" si="27"/>
        <v>11489.161151974193</v>
      </c>
      <c r="BA25" s="103">
        <f t="shared" si="28"/>
        <v>15219.200000000012</v>
      </c>
      <c r="BB25" s="90">
        <f t="shared" si="30"/>
        <v>4.332560083483316E-2</v>
      </c>
      <c r="BC25" s="103">
        <f t="shared" si="31"/>
        <v>3745.0653694189846</v>
      </c>
      <c r="BD25" s="103">
        <f t="shared" si="29"/>
        <v>18964.265369418998</v>
      </c>
      <c r="BE25" s="103">
        <f t="shared" si="32"/>
        <v>29711.039999999979</v>
      </c>
      <c r="BF25" s="93">
        <f t="shared" si="33"/>
        <v>7.7063861242594733E-2</v>
      </c>
      <c r="BG25" s="103">
        <f t="shared" si="34"/>
        <v>5988.3313374645759</v>
      </c>
      <c r="BH25" s="103">
        <f t="shared" si="35"/>
        <v>35699.371337464552</v>
      </c>
      <c r="BI25" s="103">
        <f t="shared" si="36"/>
        <v>39023.040000000037</v>
      </c>
      <c r="BJ25" s="90">
        <f t="shared" si="37"/>
        <v>8.1018935340901821E-2</v>
      </c>
      <c r="BK25" s="102">
        <f t="shared" si="38"/>
        <v>9133.237844731213</v>
      </c>
      <c r="BL25" s="102">
        <f t="shared" si="39"/>
        <v>48156.277844731252</v>
      </c>
      <c r="BM25" s="94">
        <f t="shared" si="40"/>
        <v>40058.239999999991</v>
      </c>
      <c r="BN25" s="90">
        <f t="shared" si="41"/>
        <v>0.10335947768711158</v>
      </c>
      <c r="BO25" s="94">
        <f t="shared" si="42"/>
        <v>10145.525502183847</v>
      </c>
      <c r="BP25" s="94">
        <f t="shared" si="43"/>
        <v>50203.765502183836</v>
      </c>
      <c r="BQ25" s="94">
        <f t="shared" si="44"/>
        <v>38751.239999999991</v>
      </c>
      <c r="BR25" s="90">
        <f t="shared" si="45"/>
        <v>7.3613190392933139E-2</v>
      </c>
      <c r="BS25" s="94">
        <f t="shared" si="46"/>
        <v>8372.6855091785164</v>
      </c>
      <c r="BT25" s="94">
        <f t="shared" si="47"/>
        <v>47123.925509178509</v>
      </c>
    </row>
    <row r="26" spans="1:72" ht="27" hidden="1">
      <c r="A26" s="11">
        <v>23</v>
      </c>
      <c r="B26" s="16" t="s">
        <v>49</v>
      </c>
      <c r="C26" s="17" t="s">
        <v>50</v>
      </c>
      <c r="D26" s="21" t="s">
        <v>67</v>
      </c>
      <c r="E26" s="18" t="s">
        <v>49</v>
      </c>
      <c r="F26" s="56" t="s">
        <v>93</v>
      </c>
      <c r="G26" s="56" t="s">
        <v>94</v>
      </c>
      <c r="H26" s="53">
        <v>39121.089999999997</v>
      </c>
      <c r="I26" s="53">
        <v>71446.850000000006</v>
      </c>
      <c r="J26" s="53">
        <v>72752.850000000006</v>
      </c>
      <c r="K26" s="53">
        <v>32325.759999999998</v>
      </c>
      <c r="L26" s="53">
        <v>1306</v>
      </c>
      <c r="M26" s="53">
        <v>73209.77</v>
      </c>
      <c r="N26" s="53">
        <v>75649.649999999994</v>
      </c>
      <c r="O26" s="53">
        <v>78293.5</v>
      </c>
      <c r="P26" s="53">
        <v>81618.23</v>
      </c>
      <c r="Q26" s="53">
        <v>84822.48</v>
      </c>
      <c r="R26" s="53">
        <v>88353.56</v>
      </c>
      <c r="S26" s="53">
        <v>91920.02</v>
      </c>
      <c r="T26" s="71">
        <v>94880.25</v>
      </c>
      <c r="U26" s="34">
        <v>97894.53</v>
      </c>
      <c r="V26" s="34">
        <v>101404.9</v>
      </c>
      <c r="W26" s="72">
        <v>104430.79</v>
      </c>
      <c r="X26" s="72">
        <v>108258.41</v>
      </c>
      <c r="Y26" s="30">
        <f t="shared" si="0"/>
        <v>1762.9199999999983</v>
      </c>
      <c r="Z26" s="31">
        <f t="shared" si="1"/>
        <v>3.9909982718397009E-3</v>
      </c>
      <c r="AA26" s="30">
        <f t="shared" si="2"/>
        <v>546.63078993091835</v>
      </c>
      <c r="AB26" s="30">
        <f t="shared" si="3"/>
        <v>2309.5507899309168</v>
      </c>
      <c r="AC26" s="30">
        <f t="shared" si="4"/>
        <v>2439.8799999999901</v>
      </c>
      <c r="AD26" s="31">
        <f t="shared" si="5"/>
        <v>6.8646555069075505E-3</v>
      </c>
      <c r="AE26" s="30">
        <f t="shared" si="6"/>
        <v>47.643661019805521</v>
      </c>
      <c r="AF26" s="30">
        <f t="shared" si="7"/>
        <v>2487.5236610197958</v>
      </c>
      <c r="AG26" s="30">
        <f t="shared" si="8"/>
        <v>2643.8500000000058</v>
      </c>
      <c r="AH26" s="31">
        <f t="shared" si="9"/>
        <v>9.1124315542254492E-3</v>
      </c>
      <c r="AI26" s="30">
        <f t="shared" si="10"/>
        <v>857.39223878537564</v>
      </c>
      <c r="AJ26" s="30">
        <f t="shared" si="11"/>
        <v>3501.2422387853812</v>
      </c>
      <c r="AK26" s="30">
        <f t="shared" si="12"/>
        <v>3324.7299999999959</v>
      </c>
      <c r="AL26" s="31">
        <f t="shared" si="13"/>
        <v>8.0840496261388728E-3</v>
      </c>
      <c r="AM26" s="30">
        <f t="shared" si="14"/>
        <v>334.88692955456742</v>
      </c>
      <c r="AN26" s="30">
        <f t="shared" si="15"/>
        <v>3659.6169295545633</v>
      </c>
      <c r="AO26" s="30">
        <f t="shared" si="16"/>
        <v>3204.25</v>
      </c>
      <c r="AP26" s="31">
        <f t="shared" si="17"/>
        <v>8.8473791546165911E-3</v>
      </c>
      <c r="AQ26" s="30">
        <f t="shared" si="18"/>
        <v>770.8509120317708</v>
      </c>
      <c r="AR26" s="30">
        <f t="shared" si="19"/>
        <v>3975.1009120317708</v>
      </c>
      <c r="AS26" s="92">
        <f t="shared" si="20"/>
        <v>3531.0800000000017</v>
      </c>
      <c r="AT26" s="93">
        <f t="shared" si="21"/>
        <v>7.454418823840959E-3</v>
      </c>
      <c r="AU26" s="94">
        <f t="shared" si="22"/>
        <v>883.15101398213221</v>
      </c>
      <c r="AV26" s="94">
        <f t="shared" si="23"/>
        <v>4414.2310139821338</v>
      </c>
      <c r="AW26" s="103">
        <f t="shared" si="24"/>
        <v>3566.4600000000064</v>
      </c>
      <c r="AX26" s="93">
        <f t="shared" si="25"/>
        <v>7.6886668340306313E-3</v>
      </c>
      <c r="AY26" s="103">
        <f t="shared" si="26"/>
        <v>794.50569626116351</v>
      </c>
      <c r="AZ26" s="103">
        <f t="shared" si="27"/>
        <v>4360.9656962611698</v>
      </c>
      <c r="BA26" s="103">
        <f t="shared" si="28"/>
        <v>2960.2299999999959</v>
      </c>
      <c r="BB26" s="90">
        <f t="shared" si="30"/>
        <v>8.4271015138310743E-3</v>
      </c>
      <c r="BC26" s="103">
        <f t="shared" si="31"/>
        <v>728.43873912657284</v>
      </c>
      <c r="BD26" s="103">
        <f t="shared" si="29"/>
        <v>3688.6687391265687</v>
      </c>
      <c r="BE26" s="103">
        <f t="shared" si="32"/>
        <v>3014.2799999999988</v>
      </c>
      <c r="BF26" s="93">
        <f t="shared" si="33"/>
        <v>7.8183751112828274E-3</v>
      </c>
      <c r="BG26" s="103">
        <f t="shared" si="34"/>
        <v>607.53536005110311</v>
      </c>
      <c r="BH26" s="103">
        <f t="shared" si="35"/>
        <v>3621.8153600511018</v>
      </c>
      <c r="BI26" s="103">
        <f t="shared" si="36"/>
        <v>3510.3699999999953</v>
      </c>
      <c r="BJ26" s="90">
        <f t="shared" si="37"/>
        <v>7.2881671969339369E-3</v>
      </c>
      <c r="BK26" s="102">
        <f t="shared" si="38"/>
        <v>821.59268301518887</v>
      </c>
      <c r="BL26" s="102">
        <f t="shared" si="39"/>
        <v>4331.9626830151847</v>
      </c>
      <c r="BM26" s="94">
        <f t="shared" si="40"/>
        <v>3025.8899999999994</v>
      </c>
      <c r="BN26" s="90">
        <f t="shared" si="41"/>
        <v>7.8074925393290893E-3</v>
      </c>
      <c r="BO26" s="94">
        <f t="shared" si="42"/>
        <v>766.36527620292577</v>
      </c>
      <c r="BP26" s="94">
        <f t="shared" si="43"/>
        <v>3792.2552762029254</v>
      </c>
      <c r="BQ26" s="94">
        <f t="shared" si="44"/>
        <v>3827.6200000000099</v>
      </c>
      <c r="BR26" s="90">
        <f t="shared" si="45"/>
        <v>7.2710788044924382E-3</v>
      </c>
      <c r="BS26" s="94">
        <f t="shared" si="46"/>
        <v>827.00472316865114</v>
      </c>
      <c r="BT26" s="94">
        <f t="shared" si="47"/>
        <v>4654.6247231686611</v>
      </c>
    </row>
    <row r="27" spans="1:72" ht="13.5" hidden="1">
      <c r="A27" s="16">
        <v>24</v>
      </c>
      <c r="B27" s="16" t="s">
        <v>49</v>
      </c>
      <c r="C27" s="17" t="s">
        <v>50</v>
      </c>
      <c r="D27" s="21" t="s">
        <v>67</v>
      </c>
      <c r="E27" s="18" t="s">
        <v>49</v>
      </c>
      <c r="F27" s="56" t="s">
        <v>95</v>
      </c>
      <c r="G27" s="56" t="s">
        <v>96</v>
      </c>
      <c r="H27" s="53">
        <v>129557.16</v>
      </c>
      <c r="I27" s="53">
        <v>179860.56</v>
      </c>
      <c r="J27" s="53">
        <v>182334.38</v>
      </c>
      <c r="K27" s="53">
        <v>50303.4</v>
      </c>
      <c r="L27" s="53">
        <v>2473.8200000000002</v>
      </c>
      <c r="M27" s="53">
        <v>183112.92</v>
      </c>
      <c r="N27" s="53">
        <v>187936.98</v>
      </c>
      <c r="O27" s="53">
        <v>191083.04</v>
      </c>
      <c r="P27" s="53">
        <v>195210.88</v>
      </c>
      <c r="Q27" s="53">
        <v>199273.56</v>
      </c>
      <c r="R27" s="53">
        <v>204746.14</v>
      </c>
      <c r="S27" s="53">
        <v>209277.2</v>
      </c>
      <c r="T27" s="71">
        <v>213926.98</v>
      </c>
      <c r="U27" s="34">
        <v>218940.92</v>
      </c>
      <c r="V27" s="34">
        <v>223848.6</v>
      </c>
      <c r="W27" s="72">
        <v>228513.72</v>
      </c>
      <c r="X27" s="72">
        <v>234198</v>
      </c>
      <c r="Y27" s="30">
        <f t="shared" si="0"/>
        <v>3252.3600000000151</v>
      </c>
      <c r="Z27" s="31">
        <f t="shared" si="1"/>
        <v>7.3628770105283528E-3</v>
      </c>
      <c r="AA27" s="30">
        <f t="shared" si="2"/>
        <v>1008.4632972226373</v>
      </c>
      <c r="AB27" s="30">
        <f t="shared" si="3"/>
        <v>4260.8232972226524</v>
      </c>
      <c r="AC27" s="30">
        <f t="shared" si="4"/>
        <v>4824.0599999999977</v>
      </c>
      <c r="AD27" s="31">
        <f t="shared" si="5"/>
        <v>1.3572597850981423E-2</v>
      </c>
      <c r="AE27" s="30">
        <f t="shared" si="6"/>
        <v>94.199665302885322</v>
      </c>
      <c r="AF27" s="30">
        <f t="shared" si="7"/>
        <v>4918.2596653028831</v>
      </c>
      <c r="AG27" s="30">
        <f t="shared" si="8"/>
        <v>3146.0599999999977</v>
      </c>
      <c r="AH27" s="31">
        <f t="shared" si="9"/>
        <v>1.0843374781279736E-2</v>
      </c>
      <c r="AI27" s="30">
        <f t="shared" si="10"/>
        <v>1020.2573620867714</v>
      </c>
      <c r="AJ27" s="30">
        <f t="shared" si="11"/>
        <v>4166.3173620867692</v>
      </c>
      <c r="AK27" s="30">
        <f t="shared" si="12"/>
        <v>4127.8399999999965</v>
      </c>
      <c r="AL27" s="31">
        <f t="shared" si="13"/>
        <v>1.0036804013787917E-2</v>
      </c>
      <c r="AM27" s="30">
        <f t="shared" si="14"/>
        <v>415.78102982573807</v>
      </c>
      <c r="AN27" s="30">
        <f t="shared" si="15"/>
        <v>4543.6210298257347</v>
      </c>
      <c r="AO27" s="30">
        <f t="shared" si="16"/>
        <v>4062.679999999993</v>
      </c>
      <c r="AP27" s="31">
        <f t="shared" si="17"/>
        <v>1.1217623576149699E-2</v>
      </c>
      <c r="AQ27" s="30">
        <f t="shared" si="18"/>
        <v>977.36461989333827</v>
      </c>
      <c r="AR27" s="30">
        <f t="shared" si="19"/>
        <v>5040.0446198933314</v>
      </c>
      <c r="AS27" s="92">
        <f t="shared" si="20"/>
        <v>5472.5800000000163</v>
      </c>
      <c r="AT27" s="93">
        <f t="shared" si="21"/>
        <v>1.1553095190982831E-2</v>
      </c>
      <c r="AU27" s="94">
        <f t="shared" si="22"/>
        <v>1368.7355075779503</v>
      </c>
      <c r="AV27" s="94">
        <f t="shared" si="23"/>
        <v>6841.3155075779669</v>
      </c>
      <c r="AW27" s="103">
        <f t="shared" si="24"/>
        <v>4531.0599999999977</v>
      </c>
      <c r="AX27" s="93">
        <f t="shared" si="25"/>
        <v>9.7681764957416473E-3</v>
      </c>
      <c r="AY27" s="103">
        <f t="shared" si="26"/>
        <v>1009.3910993256899</v>
      </c>
      <c r="AZ27" s="103">
        <f t="shared" si="27"/>
        <v>5540.4510993256872</v>
      </c>
      <c r="BA27" s="103">
        <f t="shared" si="28"/>
        <v>4649.7799999999988</v>
      </c>
      <c r="BB27" s="90">
        <f t="shared" si="30"/>
        <v>1.3236866080332102E-2</v>
      </c>
      <c r="BC27" s="103">
        <f t="shared" si="31"/>
        <v>1144.1948363525671</v>
      </c>
      <c r="BD27" s="103">
        <f t="shared" si="29"/>
        <v>5793.9748363525659</v>
      </c>
      <c r="BE27" s="103">
        <f t="shared" si="32"/>
        <v>5013.9400000000023</v>
      </c>
      <c r="BF27" s="93">
        <f t="shared" si="33"/>
        <v>1.3005050527975322E-2</v>
      </c>
      <c r="BG27" s="103">
        <f t="shared" si="34"/>
        <v>1010.5716267813975</v>
      </c>
      <c r="BH27" s="103">
        <f t="shared" si="35"/>
        <v>6024.5116267814001</v>
      </c>
      <c r="BI27" s="103">
        <f t="shared" si="36"/>
        <v>4907.679999999993</v>
      </c>
      <c r="BJ27" s="90">
        <f t="shared" si="37"/>
        <v>1.0189237142822192E-2</v>
      </c>
      <c r="BK27" s="102">
        <f t="shared" si="38"/>
        <v>1148.6293406620903</v>
      </c>
      <c r="BL27" s="102">
        <f t="shared" si="39"/>
        <v>6056.3093406620828</v>
      </c>
      <c r="BM27" s="94">
        <f t="shared" si="40"/>
        <v>4665.1199999999953</v>
      </c>
      <c r="BN27" s="90">
        <f t="shared" si="41"/>
        <v>1.2037083170596053E-2</v>
      </c>
      <c r="BO27" s="94">
        <f t="shared" si="42"/>
        <v>1181.5320376219195</v>
      </c>
      <c r="BP27" s="94">
        <f t="shared" si="43"/>
        <v>5846.652037621915</v>
      </c>
      <c r="BQ27" s="94">
        <f t="shared" si="44"/>
        <v>5684.2799999999988</v>
      </c>
      <c r="BR27" s="90">
        <f t="shared" si="45"/>
        <v>1.0798054098055752E-2</v>
      </c>
      <c r="BS27" s="94">
        <f t="shared" si="46"/>
        <v>1228.1591191949794</v>
      </c>
      <c r="BT27" s="94">
        <f t="shared" si="47"/>
        <v>6912.439119194978</v>
      </c>
    </row>
    <row r="28" spans="1:72" ht="13.5" hidden="1">
      <c r="A28" s="11">
        <v>25</v>
      </c>
      <c r="B28" s="16" t="s">
        <v>49</v>
      </c>
      <c r="C28" s="17" t="s">
        <v>50</v>
      </c>
      <c r="D28" s="21" t="s">
        <v>67</v>
      </c>
      <c r="E28" s="18" t="s">
        <v>49</v>
      </c>
      <c r="F28" s="56" t="s">
        <v>97</v>
      </c>
      <c r="G28" s="56" t="s">
        <v>98</v>
      </c>
      <c r="H28" s="53">
        <v>25894.32</v>
      </c>
      <c r="I28" s="53">
        <v>40399.58</v>
      </c>
      <c r="J28" s="53">
        <v>40977.24</v>
      </c>
      <c r="K28" s="53">
        <v>14505.26</v>
      </c>
      <c r="L28" s="53">
        <v>577.66</v>
      </c>
      <c r="M28" s="53">
        <v>41191.040000000001</v>
      </c>
      <c r="N28" s="53">
        <v>42269.62</v>
      </c>
      <c r="O28" s="53">
        <v>43104.07</v>
      </c>
      <c r="P28" s="53">
        <v>44152.26</v>
      </c>
      <c r="Q28" s="53">
        <v>45032.09</v>
      </c>
      <c r="R28" s="53">
        <v>46006.38</v>
      </c>
      <c r="S28" s="53">
        <v>46812.38</v>
      </c>
      <c r="T28" s="71">
        <v>47768.76</v>
      </c>
      <c r="U28" s="34">
        <v>48862.8</v>
      </c>
      <c r="V28" s="34">
        <v>49934.38</v>
      </c>
      <c r="W28" s="72">
        <v>50928.22</v>
      </c>
      <c r="X28" s="72">
        <v>52071.57</v>
      </c>
      <c r="Y28" s="30">
        <f t="shared" si="0"/>
        <v>791.45999999999913</v>
      </c>
      <c r="Z28" s="31">
        <f t="shared" si="1"/>
        <v>1.7917520319868454E-3</v>
      </c>
      <c r="AA28" s="30">
        <f t="shared" si="2"/>
        <v>245.40898339046845</v>
      </c>
      <c r="AB28" s="30">
        <f t="shared" si="3"/>
        <v>1036.8689833904675</v>
      </c>
      <c r="AC28" s="30">
        <f t="shared" si="4"/>
        <v>1078.5800000000017</v>
      </c>
      <c r="AD28" s="31">
        <f t="shared" si="5"/>
        <v>3.0346083154255076E-3</v>
      </c>
      <c r="AE28" s="30">
        <f t="shared" si="6"/>
        <v>21.061486590628281</v>
      </c>
      <c r="AF28" s="30">
        <f t="shared" si="7"/>
        <v>1099.6414865906299</v>
      </c>
      <c r="AG28" s="30">
        <f t="shared" si="8"/>
        <v>834.44999999999709</v>
      </c>
      <c r="AH28" s="31">
        <f t="shared" si="9"/>
        <v>2.8760589709792093E-3</v>
      </c>
      <c r="AI28" s="30">
        <f t="shared" si="10"/>
        <v>270.6095102424315</v>
      </c>
      <c r="AJ28" s="30">
        <f t="shared" si="11"/>
        <v>1105.0595102424286</v>
      </c>
      <c r="AK28" s="30">
        <f t="shared" si="12"/>
        <v>1048.1900000000023</v>
      </c>
      <c r="AL28" s="31">
        <f t="shared" si="13"/>
        <v>2.5486640953167731E-3</v>
      </c>
      <c r="AM28" s="30">
        <f t="shared" si="14"/>
        <v>105.58004129351956</v>
      </c>
      <c r="AN28" s="30">
        <f t="shared" si="15"/>
        <v>1153.7700412935219</v>
      </c>
      <c r="AO28" s="30">
        <f t="shared" si="16"/>
        <v>879.82999999999447</v>
      </c>
      <c r="AP28" s="31">
        <f t="shared" si="17"/>
        <v>2.429332792886406E-3</v>
      </c>
      <c r="AQ28" s="30">
        <f t="shared" si="18"/>
        <v>211.66193584548915</v>
      </c>
      <c r="AR28" s="30">
        <f t="shared" si="19"/>
        <v>1091.4919358454836</v>
      </c>
      <c r="AS28" s="92">
        <f t="shared" si="20"/>
        <v>974.29000000000087</v>
      </c>
      <c r="AT28" s="93">
        <f t="shared" si="21"/>
        <v>2.0568114332951992E-3</v>
      </c>
      <c r="AU28" s="94">
        <f t="shared" si="22"/>
        <v>243.67762877438406</v>
      </c>
      <c r="AV28" s="94">
        <f t="shared" si="23"/>
        <v>1217.967628774385</v>
      </c>
      <c r="AW28" s="103">
        <f t="shared" si="24"/>
        <v>806</v>
      </c>
      <c r="AX28" s="93">
        <f t="shared" si="25"/>
        <v>1.7375956742059851E-3</v>
      </c>
      <c r="AY28" s="103">
        <f t="shared" si="26"/>
        <v>179.55384083558954</v>
      </c>
      <c r="AZ28" s="103">
        <f t="shared" si="27"/>
        <v>985.55384083558954</v>
      </c>
      <c r="BA28" s="103">
        <f t="shared" si="28"/>
        <v>956.38000000000466</v>
      </c>
      <c r="BB28" s="90">
        <f t="shared" si="30"/>
        <v>2.7225963340003355E-3</v>
      </c>
      <c r="BC28" s="103">
        <f t="shared" si="31"/>
        <v>235.3412543369522</v>
      </c>
      <c r="BD28" s="103">
        <f t="shared" si="29"/>
        <v>1191.7212543369569</v>
      </c>
      <c r="BE28" s="103">
        <f t="shared" si="32"/>
        <v>1094.0400000000009</v>
      </c>
      <c r="BF28" s="93">
        <f t="shared" si="33"/>
        <v>2.8376975950302808E-3</v>
      </c>
      <c r="BG28" s="103">
        <f t="shared" si="34"/>
        <v>220.50638471220645</v>
      </c>
      <c r="BH28" s="103">
        <f t="shared" si="35"/>
        <v>1314.5463847122073</v>
      </c>
      <c r="BI28" s="103">
        <f t="shared" si="36"/>
        <v>1071.5799999999945</v>
      </c>
      <c r="BJ28" s="90">
        <f t="shared" si="37"/>
        <v>2.2247951654356772E-3</v>
      </c>
      <c r="BK28" s="102">
        <f t="shared" si="38"/>
        <v>250.80042481715964</v>
      </c>
      <c r="BL28" s="102">
        <f t="shared" si="39"/>
        <v>1322.3804248171541</v>
      </c>
      <c r="BM28" s="94">
        <f t="shared" si="40"/>
        <v>993.84000000000378</v>
      </c>
      <c r="BN28" s="90">
        <f t="shared" si="41"/>
        <v>2.5643359095297094E-3</v>
      </c>
      <c r="BO28" s="94">
        <f t="shared" si="42"/>
        <v>251.70923797676673</v>
      </c>
      <c r="BP28" s="94">
        <f t="shared" si="43"/>
        <v>1245.5492379767704</v>
      </c>
      <c r="BQ28" s="94">
        <f t="shared" si="44"/>
        <v>1143.3499999999985</v>
      </c>
      <c r="BR28" s="90">
        <f t="shared" si="45"/>
        <v>2.1719470457141504E-3</v>
      </c>
      <c r="BS28" s="94">
        <f t="shared" si="46"/>
        <v>247.03493299618916</v>
      </c>
      <c r="BT28" s="94">
        <f t="shared" si="47"/>
        <v>1390.3849329961877</v>
      </c>
    </row>
    <row r="29" spans="1:72" ht="13.5" hidden="1">
      <c r="A29" s="16">
        <v>26</v>
      </c>
      <c r="B29" s="16" t="s">
        <v>83</v>
      </c>
      <c r="C29" s="17" t="s">
        <v>84</v>
      </c>
      <c r="D29" s="21" t="s">
        <v>67</v>
      </c>
      <c r="E29" s="18" t="s">
        <v>83</v>
      </c>
      <c r="F29" s="56" t="s">
        <v>99</v>
      </c>
      <c r="G29" s="56" t="s">
        <v>100</v>
      </c>
      <c r="H29" s="53">
        <v>95613.27</v>
      </c>
      <c r="I29" s="53">
        <v>126530.85</v>
      </c>
      <c r="J29" s="53">
        <v>126854.46</v>
      </c>
      <c r="K29" s="53">
        <v>30917.58</v>
      </c>
      <c r="L29" s="53">
        <v>323.61</v>
      </c>
      <c r="M29" s="53">
        <v>126955.86</v>
      </c>
      <c r="N29" s="53">
        <v>127434.93</v>
      </c>
      <c r="O29" s="53">
        <v>127886.13</v>
      </c>
      <c r="P29" s="53">
        <v>128502.33</v>
      </c>
      <c r="Q29" s="53">
        <v>131047.5</v>
      </c>
      <c r="R29" s="53">
        <v>134036.43</v>
      </c>
      <c r="S29" s="53">
        <v>140410.98000000001</v>
      </c>
      <c r="T29" s="71">
        <v>143339.79</v>
      </c>
      <c r="U29" s="34">
        <v>146187.23000000001</v>
      </c>
      <c r="V29" s="34">
        <v>148862.43</v>
      </c>
      <c r="W29" s="72">
        <v>151446.03</v>
      </c>
      <c r="X29" s="72">
        <v>154489.26</v>
      </c>
      <c r="Y29" s="30">
        <f t="shared" si="0"/>
        <v>425.00999999999476</v>
      </c>
      <c r="Z29" s="31">
        <f t="shared" si="1"/>
        <v>9.6216174047294946E-4</v>
      </c>
      <c r="AA29" s="30">
        <f t="shared" si="2"/>
        <v>131.78337759429638</v>
      </c>
      <c r="AB29" s="30">
        <f t="shared" si="3"/>
        <v>556.79337759429109</v>
      </c>
      <c r="AC29" s="30">
        <f t="shared" si="4"/>
        <v>479.06999999999243</v>
      </c>
      <c r="AD29" s="31">
        <f t="shared" si="5"/>
        <v>1.3478738764587444E-3</v>
      </c>
      <c r="AE29" s="30">
        <f t="shared" si="6"/>
        <v>9.3548242883903967</v>
      </c>
      <c r="AF29" s="30">
        <f t="shared" si="7"/>
        <v>488.42482428838281</v>
      </c>
      <c r="AG29" s="30">
        <f t="shared" si="8"/>
        <v>451.20000000001164</v>
      </c>
      <c r="AH29" s="31">
        <f t="shared" si="9"/>
        <v>1.5551294957227601E-3</v>
      </c>
      <c r="AI29" s="30">
        <f t="shared" si="10"/>
        <v>146.3227407530573</v>
      </c>
      <c r="AJ29" s="30">
        <f t="shared" si="11"/>
        <v>597.522740753069</v>
      </c>
      <c r="AK29" s="30">
        <f t="shared" si="12"/>
        <v>616.19999999999709</v>
      </c>
      <c r="AL29" s="31">
        <f t="shared" si="13"/>
        <v>1.4982844861467716E-3</v>
      </c>
      <c r="AM29" s="30">
        <f t="shared" si="14"/>
        <v>62.067393740701867</v>
      </c>
      <c r="AN29" s="30">
        <f t="shared" si="15"/>
        <v>678.26739374069894</v>
      </c>
      <c r="AO29" s="30">
        <f t="shared" si="16"/>
        <v>2545.1699999999983</v>
      </c>
      <c r="AP29" s="31">
        <f t="shared" si="17"/>
        <v>7.0275677624890365E-3</v>
      </c>
      <c r="AQ29" s="30">
        <f t="shared" si="18"/>
        <v>612.29511298303839</v>
      </c>
      <c r="AR29" s="30">
        <f t="shared" si="19"/>
        <v>3157.4651129830368</v>
      </c>
      <c r="AS29" s="92">
        <f t="shared" si="20"/>
        <v>2988.929999999993</v>
      </c>
      <c r="AT29" s="93">
        <f t="shared" si="21"/>
        <v>6.3098927396555435E-3</v>
      </c>
      <c r="AU29" s="94">
        <f t="shared" si="22"/>
        <v>747.55501439265242</v>
      </c>
      <c r="AV29" s="94">
        <f t="shared" si="23"/>
        <v>3736.4850143926456</v>
      </c>
      <c r="AW29" s="103">
        <f t="shared" si="24"/>
        <v>6374.5500000000175</v>
      </c>
      <c r="AX29" s="93">
        <f t="shared" si="25"/>
        <v>1.3742419981401728E-2</v>
      </c>
      <c r="AY29" s="103">
        <f t="shared" si="26"/>
        <v>1420.0681589311544</v>
      </c>
      <c r="AZ29" s="103">
        <f t="shared" si="27"/>
        <v>7794.6181589311718</v>
      </c>
      <c r="BA29" s="103">
        <f t="shared" si="28"/>
        <v>2928.8099999999977</v>
      </c>
      <c r="BB29" s="90">
        <f t="shared" si="30"/>
        <v>8.3376559202236328E-3</v>
      </c>
      <c r="BC29" s="103">
        <f t="shared" si="31"/>
        <v>720.70706112068956</v>
      </c>
      <c r="BD29" s="103">
        <f t="shared" si="29"/>
        <v>3649.5170611206872</v>
      </c>
      <c r="BE29" s="103">
        <f t="shared" si="32"/>
        <v>2847.4400000000023</v>
      </c>
      <c r="BF29" s="93">
        <f t="shared" si="33"/>
        <v>7.3856290811972342E-3</v>
      </c>
      <c r="BG29" s="103">
        <f t="shared" si="34"/>
        <v>573.90835809012935</v>
      </c>
      <c r="BH29" s="103">
        <f t="shared" si="35"/>
        <v>3421.3483580901316</v>
      </c>
      <c r="BI29" s="103">
        <f t="shared" si="36"/>
        <v>2675.1999999999825</v>
      </c>
      <c r="BJ29" s="90">
        <f t="shared" si="37"/>
        <v>5.5542022308866495E-3</v>
      </c>
      <c r="BK29" s="102">
        <f t="shared" si="38"/>
        <v>626.12338460111664</v>
      </c>
      <c r="BL29" s="102">
        <f t="shared" si="39"/>
        <v>3301.323384601099</v>
      </c>
      <c r="BM29" s="94">
        <f t="shared" si="40"/>
        <v>2583.6000000000058</v>
      </c>
      <c r="BN29" s="90">
        <f t="shared" si="41"/>
        <v>6.6662825564084236E-3</v>
      </c>
      <c r="BO29" s="94">
        <f t="shared" si="42"/>
        <v>654.34676329869353</v>
      </c>
      <c r="BP29" s="94">
        <f t="shared" si="43"/>
        <v>3237.9467632986994</v>
      </c>
      <c r="BQ29" s="94">
        <f t="shared" si="44"/>
        <v>3043.2300000000105</v>
      </c>
      <c r="BR29" s="90">
        <f t="shared" si="45"/>
        <v>5.7810245401046971E-3</v>
      </c>
      <c r="BS29" s="94">
        <f t="shared" si="46"/>
        <v>657.52754549525196</v>
      </c>
      <c r="BT29" s="94">
        <f t="shared" si="47"/>
        <v>3700.7575454952625</v>
      </c>
    </row>
    <row r="30" spans="1:72" ht="13.5" hidden="1">
      <c r="A30" s="11">
        <v>27</v>
      </c>
      <c r="B30" s="16" t="s">
        <v>83</v>
      </c>
      <c r="C30" s="17" t="s">
        <v>84</v>
      </c>
      <c r="D30" s="21" t="s">
        <v>67</v>
      </c>
      <c r="E30" s="18" t="s">
        <v>83</v>
      </c>
      <c r="F30" s="56" t="s">
        <v>101</v>
      </c>
      <c r="G30" s="56" t="s">
        <v>102</v>
      </c>
      <c r="H30" s="53">
        <v>45172.08</v>
      </c>
      <c r="I30" s="53">
        <v>102869.23</v>
      </c>
      <c r="J30" s="53">
        <v>107812.2</v>
      </c>
      <c r="K30" s="53">
        <v>57697.15</v>
      </c>
      <c r="L30" s="53">
        <v>4942.97</v>
      </c>
      <c r="M30" s="53">
        <v>109248.66</v>
      </c>
      <c r="N30" s="53">
        <v>117401.7</v>
      </c>
      <c r="O30" s="53">
        <v>120577.11</v>
      </c>
      <c r="P30" s="53">
        <v>124191.93</v>
      </c>
      <c r="Q30" s="53">
        <v>129876.66</v>
      </c>
      <c r="R30" s="53">
        <v>136151.31</v>
      </c>
      <c r="S30" s="53">
        <v>141098.74</v>
      </c>
      <c r="T30" s="71">
        <v>145387.74</v>
      </c>
      <c r="U30" s="34">
        <v>148868.46</v>
      </c>
      <c r="V30" s="34">
        <v>152574.78</v>
      </c>
      <c r="W30" s="72">
        <v>156054.37</v>
      </c>
      <c r="X30" s="72">
        <v>161042.26999999999</v>
      </c>
      <c r="Y30" s="30">
        <f t="shared" si="0"/>
        <v>6379.4300000000076</v>
      </c>
      <c r="Z30" s="31">
        <f t="shared" si="1"/>
        <v>1.4442115413814807E-2</v>
      </c>
      <c r="AA30" s="30">
        <f t="shared" si="2"/>
        <v>1978.0777688204832</v>
      </c>
      <c r="AB30" s="30">
        <f t="shared" si="3"/>
        <v>8357.507768820491</v>
      </c>
      <c r="AC30" s="30">
        <f t="shared" si="4"/>
        <v>8153.0399999999936</v>
      </c>
      <c r="AD30" s="31">
        <f t="shared" si="5"/>
        <v>2.2938755567502384E-2</v>
      </c>
      <c r="AE30" s="30">
        <f t="shared" si="6"/>
        <v>159.20482730335775</v>
      </c>
      <c r="AF30" s="30">
        <f t="shared" si="7"/>
        <v>8312.2448273033515</v>
      </c>
      <c r="AG30" s="30">
        <f t="shared" si="8"/>
        <v>3175.4100000000035</v>
      </c>
      <c r="AH30" s="31">
        <f t="shared" si="9"/>
        <v>1.0944534024851259E-2</v>
      </c>
      <c r="AI30" s="30">
        <f t="shared" si="10"/>
        <v>1029.775474766521</v>
      </c>
      <c r="AJ30" s="30">
        <f t="shared" si="11"/>
        <v>4205.1854747665247</v>
      </c>
      <c r="AK30" s="30">
        <f t="shared" si="12"/>
        <v>3614.8199999999924</v>
      </c>
      <c r="AL30" s="31">
        <f t="shared" si="13"/>
        <v>8.7894007241367863E-3</v>
      </c>
      <c r="AM30" s="30">
        <f t="shared" si="14"/>
        <v>364.10655021383405</v>
      </c>
      <c r="AN30" s="30">
        <f t="shared" si="15"/>
        <v>3978.9265502138264</v>
      </c>
      <c r="AO30" s="30">
        <f t="shared" si="16"/>
        <v>5684.7300000000105</v>
      </c>
      <c r="AP30" s="31">
        <f t="shared" si="17"/>
        <v>1.5696328845010116E-2</v>
      </c>
      <c r="AQ30" s="30">
        <f t="shared" si="18"/>
        <v>1367.5834610765003</v>
      </c>
      <c r="AR30" s="30">
        <f t="shared" si="19"/>
        <v>7052.313461076511</v>
      </c>
      <c r="AS30" s="92">
        <f t="shared" si="20"/>
        <v>6274.6499999999942</v>
      </c>
      <c r="AT30" s="93">
        <f t="shared" si="21"/>
        <v>1.3246335136279441E-2</v>
      </c>
      <c r="AU30" s="94">
        <f t="shared" si="22"/>
        <v>1569.3395533046485</v>
      </c>
      <c r="AV30" s="94">
        <f t="shared" si="23"/>
        <v>7843.9895533046429</v>
      </c>
      <c r="AW30" s="103">
        <f t="shared" si="24"/>
        <v>4947.429999999993</v>
      </c>
      <c r="AX30" s="93">
        <f t="shared" si="25"/>
        <v>1.0665797725107822E-2</v>
      </c>
      <c r="AY30" s="103">
        <f t="shared" si="26"/>
        <v>1102.1464748948133</v>
      </c>
      <c r="AZ30" s="103">
        <f t="shared" si="27"/>
        <v>6049.5764748948059</v>
      </c>
      <c r="BA30" s="103">
        <f t="shared" si="28"/>
        <v>4289</v>
      </c>
      <c r="BB30" s="90">
        <f t="shared" si="30"/>
        <v>1.2209807478750478E-2</v>
      </c>
      <c r="BC30" s="103">
        <f t="shared" si="31"/>
        <v>1055.4158805612656</v>
      </c>
      <c r="BD30" s="103">
        <f t="shared" si="29"/>
        <v>5344.415880561266</v>
      </c>
      <c r="BE30" s="103">
        <f t="shared" si="32"/>
        <v>3480.7200000000012</v>
      </c>
      <c r="BF30" s="93">
        <f t="shared" si="33"/>
        <v>9.0282172251232081E-3</v>
      </c>
      <c r="BG30" s="103">
        <f t="shared" si="34"/>
        <v>701.54746023497398</v>
      </c>
      <c r="BH30" s="103">
        <f t="shared" si="35"/>
        <v>4182.2674602349753</v>
      </c>
      <c r="BI30" s="103">
        <f t="shared" si="36"/>
        <v>3706.320000000007</v>
      </c>
      <c r="BJ30" s="90">
        <f t="shared" si="37"/>
        <v>7.694995070417157E-3</v>
      </c>
      <c r="BK30" s="102">
        <f t="shared" si="38"/>
        <v>867.45425493975404</v>
      </c>
      <c r="BL30" s="102">
        <f t="shared" si="39"/>
        <v>4573.7742549397608</v>
      </c>
      <c r="BM30" s="94">
        <f t="shared" si="40"/>
        <v>3479.5899999999965</v>
      </c>
      <c r="BN30" s="90">
        <f t="shared" si="41"/>
        <v>8.9781429480001191E-3</v>
      </c>
      <c r="BO30" s="94">
        <f t="shared" si="42"/>
        <v>881.27359270262161</v>
      </c>
      <c r="BP30" s="94">
        <f t="shared" si="43"/>
        <v>4360.863592702618</v>
      </c>
      <c r="BQ30" s="94">
        <f t="shared" si="44"/>
        <v>4987.8999999999942</v>
      </c>
      <c r="BR30" s="90">
        <f t="shared" si="45"/>
        <v>9.4751866614051806E-3</v>
      </c>
      <c r="BS30" s="94">
        <f t="shared" si="46"/>
        <v>1077.6975924185003</v>
      </c>
      <c r="BT30" s="94">
        <f t="shared" si="47"/>
        <v>6065.597592418495</v>
      </c>
    </row>
    <row r="31" spans="1:72" ht="13.5" hidden="1">
      <c r="A31" s="16">
        <v>28</v>
      </c>
      <c r="B31" s="16" t="s">
        <v>83</v>
      </c>
      <c r="C31" s="17" t="s">
        <v>84</v>
      </c>
      <c r="D31" s="21" t="s">
        <v>67</v>
      </c>
      <c r="E31" s="18" t="s">
        <v>83</v>
      </c>
      <c r="F31" s="56" t="s">
        <v>103</v>
      </c>
      <c r="G31" s="56" t="s">
        <v>104</v>
      </c>
      <c r="H31" s="53">
        <v>14264.31</v>
      </c>
      <c r="I31" s="53">
        <v>42844.84</v>
      </c>
      <c r="J31" s="53">
        <v>44497.5</v>
      </c>
      <c r="K31" s="53">
        <v>28580.53</v>
      </c>
      <c r="L31" s="53">
        <v>1652.66</v>
      </c>
      <c r="M31" s="53">
        <v>44937.07</v>
      </c>
      <c r="N31" s="53">
        <v>47586.61</v>
      </c>
      <c r="O31" s="53">
        <v>50029.68</v>
      </c>
      <c r="P31" s="53">
        <v>52840.45</v>
      </c>
      <c r="Q31" s="53">
        <v>55385.08</v>
      </c>
      <c r="R31" s="53">
        <v>58214.1</v>
      </c>
      <c r="S31" s="53">
        <v>60674.13</v>
      </c>
      <c r="T31" s="71">
        <v>63021.97</v>
      </c>
      <c r="U31" s="34">
        <v>65656.12</v>
      </c>
      <c r="V31" s="34">
        <v>68355.61</v>
      </c>
      <c r="W31" s="72">
        <v>70672.11</v>
      </c>
      <c r="X31" s="72">
        <v>73442.33</v>
      </c>
      <c r="Y31" s="30">
        <f t="shared" si="0"/>
        <v>2092.2300000000032</v>
      </c>
      <c r="Z31" s="31">
        <f t="shared" si="1"/>
        <v>4.7365089251305784E-3</v>
      </c>
      <c r="AA31" s="30">
        <f t="shared" si="2"/>
        <v>648.74034988381106</v>
      </c>
      <c r="AB31" s="30">
        <f t="shared" si="3"/>
        <v>2740.9703498838144</v>
      </c>
      <c r="AC31" s="30">
        <f t="shared" si="4"/>
        <v>2649.5400000000009</v>
      </c>
      <c r="AD31" s="31">
        <f t="shared" si="5"/>
        <v>7.4545384821269531E-3</v>
      </c>
      <c r="AE31" s="30">
        <f t="shared" si="6"/>
        <v>51.737702517507451</v>
      </c>
      <c r="AF31" s="30">
        <f t="shared" si="7"/>
        <v>2701.2777025175083</v>
      </c>
      <c r="AG31" s="30">
        <f t="shared" si="8"/>
        <v>2443.0699999999997</v>
      </c>
      <c r="AH31" s="31">
        <f t="shared" si="9"/>
        <v>8.4204127152378207E-3</v>
      </c>
      <c r="AI31" s="30">
        <f t="shared" si="10"/>
        <v>792.27991633768272</v>
      </c>
      <c r="AJ31" s="30">
        <f t="shared" si="11"/>
        <v>3235.3499163376823</v>
      </c>
      <c r="AK31" s="30">
        <f t="shared" si="12"/>
        <v>2810.7699999999968</v>
      </c>
      <c r="AL31" s="31">
        <f t="shared" si="13"/>
        <v>6.8343607353566647E-3</v>
      </c>
      <c r="AM31" s="30">
        <f t="shared" si="14"/>
        <v>283.11776745302376</v>
      </c>
      <c r="AN31" s="30">
        <f t="shared" si="15"/>
        <v>3093.8877674530204</v>
      </c>
      <c r="AO31" s="30">
        <f t="shared" si="16"/>
        <v>2544.6300000000047</v>
      </c>
      <c r="AP31" s="31">
        <f t="shared" si="17"/>
        <v>7.0260767475109802E-3</v>
      </c>
      <c r="AQ31" s="30">
        <f t="shared" si="18"/>
        <v>612.16520442643628</v>
      </c>
      <c r="AR31" s="30">
        <f t="shared" si="19"/>
        <v>3156.7952044264412</v>
      </c>
      <c r="AS31" s="92">
        <f t="shared" si="20"/>
        <v>2829.0199999999968</v>
      </c>
      <c r="AT31" s="93">
        <f t="shared" si="21"/>
        <v>5.9723087386925576E-3</v>
      </c>
      <c r="AU31" s="94">
        <f t="shared" si="22"/>
        <v>707.56025963040429</v>
      </c>
      <c r="AV31" s="94">
        <f t="shared" si="23"/>
        <v>3536.5802596304011</v>
      </c>
      <c r="AW31" s="103">
        <f t="shared" si="24"/>
        <v>2460.0299999999988</v>
      </c>
      <c r="AX31" s="93">
        <f t="shared" si="25"/>
        <v>5.3033963851326898E-3</v>
      </c>
      <c r="AY31" s="103">
        <f t="shared" si="26"/>
        <v>548.02460926895185</v>
      </c>
      <c r="AZ31" s="103">
        <f t="shared" si="27"/>
        <v>3008.0546092689506</v>
      </c>
      <c r="BA31" s="103">
        <f t="shared" si="28"/>
        <v>2347.8400000000038</v>
      </c>
      <c r="BB31" s="90">
        <f t="shared" si="30"/>
        <v>6.6837664702517063E-3</v>
      </c>
      <c r="BC31" s="103">
        <f t="shared" si="31"/>
        <v>577.74484052622188</v>
      </c>
      <c r="BD31" s="103">
        <f t="shared" si="29"/>
        <v>2925.5848405262259</v>
      </c>
      <c r="BE31" s="103">
        <f t="shared" si="32"/>
        <v>2634.1499999999942</v>
      </c>
      <c r="BF31" s="93">
        <f t="shared" si="33"/>
        <v>6.8324020327858136E-3</v>
      </c>
      <c r="BG31" s="103">
        <f t="shared" si="34"/>
        <v>530.91924727583717</v>
      </c>
      <c r="BH31" s="103">
        <f t="shared" si="35"/>
        <v>3165.0692472758315</v>
      </c>
      <c r="BI31" s="103">
        <f t="shared" si="36"/>
        <v>2699.4900000000052</v>
      </c>
      <c r="BJ31" s="90">
        <f t="shared" si="37"/>
        <v>5.6046326929785912E-3</v>
      </c>
      <c r="BK31" s="102">
        <f t="shared" si="38"/>
        <v>631.80839395068881</v>
      </c>
      <c r="BL31" s="102">
        <f t="shared" si="39"/>
        <v>3331.2983939506939</v>
      </c>
      <c r="BM31" s="94">
        <f t="shared" si="40"/>
        <v>2316.5</v>
      </c>
      <c r="BN31" s="90">
        <f t="shared" si="41"/>
        <v>5.977103089456602E-3</v>
      </c>
      <c r="BO31" s="94">
        <f t="shared" si="42"/>
        <v>586.6985126108608</v>
      </c>
      <c r="BP31" s="94">
        <f t="shared" si="43"/>
        <v>2903.1985126108607</v>
      </c>
      <c r="BQ31" s="94">
        <f t="shared" si="44"/>
        <v>2770.2200000000012</v>
      </c>
      <c r="BR31" s="90">
        <f t="shared" si="45"/>
        <v>5.2624053395532991E-3</v>
      </c>
      <c r="BS31" s="94">
        <f t="shared" si="46"/>
        <v>598.54035254708037</v>
      </c>
      <c r="BT31" s="94">
        <f t="shared" si="47"/>
        <v>3368.7603525470813</v>
      </c>
    </row>
    <row r="32" spans="1:72" ht="13.5" hidden="1">
      <c r="A32" s="11">
        <v>29</v>
      </c>
      <c r="B32" s="16" t="s">
        <v>105</v>
      </c>
      <c r="C32" s="17" t="s">
        <v>106</v>
      </c>
      <c r="D32" s="20" t="s">
        <v>41</v>
      </c>
      <c r="E32" s="20" t="s">
        <v>105</v>
      </c>
      <c r="F32" s="56" t="s">
        <v>107</v>
      </c>
      <c r="G32" s="56" t="s">
        <v>108</v>
      </c>
      <c r="H32" s="53">
        <v>70928.600000000006</v>
      </c>
      <c r="I32" s="53">
        <v>119805.25</v>
      </c>
      <c r="J32" s="53">
        <v>122179.3</v>
      </c>
      <c r="K32" s="53">
        <v>48876.65</v>
      </c>
      <c r="L32" s="53">
        <v>2374.0500000000002</v>
      </c>
      <c r="M32" s="53">
        <v>122856.7</v>
      </c>
      <c r="N32" s="53">
        <v>127491.05</v>
      </c>
      <c r="O32" s="53">
        <v>131493.75</v>
      </c>
      <c r="P32" s="53">
        <v>136271.46</v>
      </c>
      <c r="Q32" s="53">
        <v>140833.85999999999</v>
      </c>
      <c r="R32" s="53">
        <v>145506.70000000001</v>
      </c>
      <c r="S32" s="53">
        <v>149571.20000000001</v>
      </c>
      <c r="T32" s="71">
        <v>154078.5</v>
      </c>
      <c r="U32" s="34">
        <v>158449.29999999999</v>
      </c>
      <c r="V32" s="34">
        <v>163142.35</v>
      </c>
      <c r="W32" s="72">
        <v>167374.85</v>
      </c>
      <c r="X32" s="72">
        <v>172140.44</v>
      </c>
      <c r="Y32" s="30">
        <f t="shared" si="0"/>
        <v>3051.4499999999971</v>
      </c>
      <c r="Z32" s="31">
        <f t="shared" si="1"/>
        <v>6.9080455588485332E-3</v>
      </c>
      <c r="AA32" s="30">
        <f t="shared" si="2"/>
        <v>946.16688445006059</v>
      </c>
      <c r="AB32" s="30">
        <f t="shared" si="3"/>
        <v>3997.6168844500576</v>
      </c>
      <c r="AC32" s="30">
        <f t="shared" si="4"/>
        <v>4634.3500000000058</v>
      </c>
      <c r="AD32" s="31">
        <f t="shared" si="5"/>
        <v>1.3038844635161227E-2</v>
      </c>
      <c r="AE32" s="30">
        <f t="shared" si="6"/>
        <v>90.495188471210426</v>
      </c>
      <c r="AF32" s="30">
        <f t="shared" si="7"/>
        <v>4724.8451884712158</v>
      </c>
      <c r="AG32" s="30">
        <f t="shared" si="8"/>
        <v>4002.6999999999971</v>
      </c>
      <c r="AH32" s="31">
        <f t="shared" si="9"/>
        <v>1.3795914965712161E-2</v>
      </c>
      <c r="AI32" s="30">
        <f t="shared" si="10"/>
        <v>1298.0630195306892</v>
      </c>
      <c r="AJ32" s="30">
        <f t="shared" si="11"/>
        <v>5300.7630195306865</v>
      </c>
      <c r="AK32" s="30">
        <f t="shared" si="12"/>
        <v>4777.7099999999919</v>
      </c>
      <c r="AL32" s="31">
        <f t="shared" si="13"/>
        <v>1.1616956787257894E-2</v>
      </c>
      <c r="AM32" s="30">
        <f t="shared" si="14"/>
        <v>481.23986976450766</v>
      </c>
      <c r="AN32" s="30">
        <f t="shared" si="15"/>
        <v>5258.9498697644995</v>
      </c>
      <c r="AO32" s="30">
        <f t="shared" si="16"/>
        <v>4562.3999999999942</v>
      </c>
      <c r="AP32" s="31">
        <f t="shared" si="17"/>
        <v>1.2597419881414586E-2</v>
      </c>
      <c r="AQ32" s="30">
        <f t="shared" si="18"/>
        <v>1097.5829604599351</v>
      </c>
      <c r="AR32" s="30">
        <f t="shared" si="19"/>
        <v>5659.982960459929</v>
      </c>
      <c r="AS32" s="92">
        <f t="shared" si="20"/>
        <v>4672.8400000000256</v>
      </c>
      <c r="AT32" s="93">
        <f t="shared" si="21"/>
        <v>9.864774079544265E-3</v>
      </c>
      <c r="AU32" s="94">
        <f t="shared" si="22"/>
        <v>1168.714213265145</v>
      </c>
      <c r="AV32" s="94">
        <f t="shared" si="23"/>
        <v>5841.5542132651708</v>
      </c>
      <c r="AW32" s="103">
        <f t="shared" si="24"/>
        <v>4064.5</v>
      </c>
      <c r="AX32" s="93">
        <f t="shared" si="25"/>
        <v>8.7623543645288168E-3</v>
      </c>
      <c r="AY32" s="103">
        <f t="shared" si="26"/>
        <v>905.45482143455786</v>
      </c>
      <c r="AZ32" s="103">
        <f t="shared" si="27"/>
        <v>4969.9548214345577</v>
      </c>
      <c r="BA32" s="103">
        <f t="shared" si="28"/>
        <v>4507.2999999999884</v>
      </c>
      <c r="BB32" s="90">
        <f t="shared" si="30"/>
        <v>1.2831257927016062E-2</v>
      </c>
      <c r="BC32" s="103">
        <f t="shared" si="31"/>
        <v>1109.1340635238471</v>
      </c>
      <c r="BD32" s="103">
        <f t="shared" si="29"/>
        <v>5616.434063523835</v>
      </c>
      <c r="BE32" s="103">
        <f t="shared" si="32"/>
        <v>4370.7999999999884</v>
      </c>
      <c r="BF32" s="93">
        <f t="shared" si="33"/>
        <v>1.1336887726553242E-2</v>
      </c>
      <c r="BG32" s="103">
        <f t="shared" si="34"/>
        <v>880.94521799944118</v>
      </c>
      <c r="BH32" s="103">
        <f t="shared" si="35"/>
        <v>5251.7452179994298</v>
      </c>
      <c r="BI32" s="103">
        <f t="shared" si="36"/>
        <v>4693.0500000000175</v>
      </c>
      <c r="BJ32" s="90">
        <f t="shared" si="37"/>
        <v>9.7436261885701474E-3</v>
      </c>
      <c r="BK32" s="102">
        <f t="shared" si="38"/>
        <v>1098.3957648408721</v>
      </c>
      <c r="BL32" s="102">
        <f t="shared" si="39"/>
        <v>5791.4457648408898</v>
      </c>
      <c r="BM32" s="94">
        <f t="shared" si="40"/>
        <v>4232.5</v>
      </c>
      <c r="BN32" s="90">
        <f t="shared" si="41"/>
        <v>1.0920824013004562E-2</v>
      </c>
      <c r="BO32" s="94">
        <f t="shared" si="42"/>
        <v>1071.9626395965761</v>
      </c>
      <c r="BP32" s="94">
        <f t="shared" si="43"/>
        <v>5304.4626395965761</v>
      </c>
      <c r="BQ32" s="94">
        <f t="shared" si="44"/>
        <v>4765.5899999999965</v>
      </c>
      <c r="BR32" s="90">
        <f t="shared" si="45"/>
        <v>9.0528789273493712E-3</v>
      </c>
      <c r="BS32" s="94">
        <f t="shared" si="46"/>
        <v>1029.6647626162678</v>
      </c>
      <c r="BT32" s="94">
        <f t="shared" si="47"/>
        <v>5795.2547626162641</v>
      </c>
    </row>
    <row r="33" spans="1:72" ht="13.5" hidden="1">
      <c r="A33" s="16">
        <v>30</v>
      </c>
      <c r="B33" s="16" t="s">
        <v>109</v>
      </c>
      <c r="C33" s="17" t="s">
        <v>110</v>
      </c>
      <c r="D33" s="20" t="s">
        <v>41</v>
      </c>
      <c r="E33" s="20" t="s">
        <v>109</v>
      </c>
      <c r="F33" s="56" t="s">
        <v>111</v>
      </c>
      <c r="G33" s="56" t="s">
        <v>112</v>
      </c>
      <c r="H33" s="53">
        <v>131066.85</v>
      </c>
      <c r="I33" s="53">
        <v>204267.42</v>
      </c>
      <c r="J33" s="53">
        <v>206087.56</v>
      </c>
      <c r="K33" s="53">
        <v>73200.570000000007</v>
      </c>
      <c r="L33" s="53">
        <v>1820.14</v>
      </c>
      <c r="M33" s="53">
        <v>206699.34</v>
      </c>
      <c r="N33" s="53">
        <v>210571.06</v>
      </c>
      <c r="O33" s="53">
        <v>213946.46</v>
      </c>
      <c r="P33" s="53">
        <v>218507.86</v>
      </c>
      <c r="Q33" s="53">
        <v>223299.54</v>
      </c>
      <c r="R33" s="53">
        <v>228213.98</v>
      </c>
      <c r="S33" s="53">
        <v>231412.98</v>
      </c>
      <c r="T33" s="71">
        <v>234299.66</v>
      </c>
      <c r="U33" s="34">
        <v>237393.64</v>
      </c>
      <c r="V33" s="34">
        <v>240306.92</v>
      </c>
      <c r="W33" s="72">
        <v>243258.42</v>
      </c>
      <c r="X33" s="72">
        <v>246845.9</v>
      </c>
      <c r="Y33" s="30">
        <f t="shared" si="0"/>
        <v>2431.9199999999837</v>
      </c>
      <c r="Z33" s="31">
        <f t="shared" si="1"/>
        <v>5.5055184110750065E-3</v>
      </c>
      <c r="AA33" s="30">
        <f t="shared" si="2"/>
        <v>754.06844930501177</v>
      </c>
      <c r="AB33" s="30">
        <f t="shared" si="3"/>
        <v>3185.9884493049954</v>
      </c>
      <c r="AC33" s="30">
        <f t="shared" si="4"/>
        <v>3871.7200000000012</v>
      </c>
      <c r="AD33" s="31">
        <f t="shared" si="5"/>
        <v>1.0893168524355385E-2</v>
      </c>
      <c r="AE33" s="30">
        <f t="shared" si="6"/>
        <v>75.603273621490501</v>
      </c>
      <c r="AF33" s="30">
        <f t="shared" si="7"/>
        <v>3947.3232736214918</v>
      </c>
      <c r="AG33" s="30">
        <f t="shared" si="8"/>
        <v>3375.3999999999942</v>
      </c>
      <c r="AH33" s="31">
        <f t="shared" si="9"/>
        <v>1.1633830008560418E-2</v>
      </c>
      <c r="AI33" s="30">
        <f t="shared" si="10"/>
        <v>1094.6316026991492</v>
      </c>
      <c r="AJ33" s="30">
        <f t="shared" si="11"/>
        <v>4470.0316026991431</v>
      </c>
      <c r="AK33" s="30">
        <f t="shared" si="12"/>
        <v>4561.3999999999942</v>
      </c>
      <c r="AL33" s="31">
        <f t="shared" si="13"/>
        <v>1.1091001063144933E-2</v>
      </c>
      <c r="AM33" s="30">
        <f t="shared" si="14"/>
        <v>459.45181728146457</v>
      </c>
      <c r="AN33" s="30">
        <f t="shared" si="15"/>
        <v>5020.8518172814584</v>
      </c>
      <c r="AO33" s="30">
        <f t="shared" si="16"/>
        <v>4791.6800000000221</v>
      </c>
      <c r="AP33" s="31">
        <f t="shared" si="17"/>
        <v>1.3230493796549404E-2</v>
      </c>
      <c r="AQ33" s="30">
        <f t="shared" si="18"/>
        <v>1152.7411713082352</v>
      </c>
      <c r="AR33" s="30">
        <f t="shared" si="19"/>
        <v>5944.4211713082568</v>
      </c>
      <c r="AS33" s="92">
        <f t="shared" si="20"/>
        <v>4914.4400000000023</v>
      </c>
      <c r="AT33" s="93">
        <f t="shared" si="21"/>
        <v>1.0374812817788598E-2</v>
      </c>
      <c r="AU33" s="94">
        <f t="shared" si="22"/>
        <v>1229.1402826201474</v>
      </c>
      <c r="AV33" s="94">
        <f t="shared" si="23"/>
        <v>6143.5802826201498</v>
      </c>
      <c r="AW33" s="103">
        <f t="shared" si="24"/>
        <v>3199</v>
      </c>
      <c r="AX33" s="93">
        <f t="shared" si="25"/>
        <v>6.896487049360976E-3</v>
      </c>
      <c r="AY33" s="103">
        <f t="shared" si="26"/>
        <v>712.64607547524929</v>
      </c>
      <c r="AZ33" s="103">
        <f t="shared" si="27"/>
        <v>3911.6460754752493</v>
      </c>
      <c r="BA33" s="103">
        <f t="shared" si="28"/>
        <v>2886.679999999993</v>
      </c>
      <c r="BB33" s="90">
        <f t="shared" si="30"/>
        <v>8.2177213925762049E-3</v>
      </c>
      <c r="BC33" s="103">
        <f t="shared" si="31"/>
        <v>710.33991935150073</v>
      </c>
      <c r="BD33" s="103">
        <f t="shared" si="29"/>
        <v>3597.0199193514936</v>
      </c>
      <c r="BE33" s="103">
        <f t="shared" si="32"/>
        <v>3093.9800000000105</v>
      </c>
      <c r="BF33" s="93">
        <f t="shared" si="33"/>
        <v>8.025099269744991E-3</v>
      </c>
      <c r="BG33" s="103">
        <f t="shared" si="34"/>
        <v>623.59908611373828</v>
      </c>
      <c r="BH33" s="103">
        <f t="shared" si="35"/>
        <v>3717.5790861137489</v>
      </c>
      <c r="BI33" s="103">
        <f t="shared" si="36"/>
        <v>2913.2799999999988</v>
      </c>
      <c r="BJ33" s="90">
        <f t="shared" si="37"/>
        <v>6.0484996543053067E-3</v>
      </c>
      <c r="BK33" s="102">
        <f t="shared" si="38"/>
        <v>681.84537002495222</v>
      </c>
      <c r="BL33" s="102">
        <f t="shared" si="39"/>
        <v>3595.1253700249508</v>
      </c>
      <c r="BM33" s="94">
        <f t="shared" si="40"/>
        <v>2951.5</v>
      </c>
      <c r="BN33" s="90">
        <f t="shared" si="41"/>
        <v>7.6155492201731758E-3</v>
      </c>
      <c r="BO33" s="94">
        <f t="shared" si="42"/>
        <v>747.52456722251497</v>
      </c>
      <c r="BP33" s="94">
        <f t="shared" si="43"/>
        <v>3699.0245672225151</v>
      </c>
      <c r="BQ33" s="94">
        <f t="shared" si="44"/>
        <v>3587.4799999999814</v>
      </c>
      <c r="BR33" s="90">
        <f t="shared" si="45"/>
        <v>6.8149005882350722E-3</v>
      </c>
      <c r="BS33" s="94">
        <f t="shared" si="46"/>
        <v>775.11950096222961</v>
      </c>
      <c r="BT33" s="94">
        <f t="shared" si="47"/>
        <v>4362.5995009622111</v>
      </c>
    </row>
    <row r="34" spans="1:72" ht="13.5" hidden="1">
      <c r="A34" s="11">
        <v>31</v>
      </c>
      <c r="B34" s="16" t="s">
        <v>49</v>
      </c>
      <c r="C34" s="17" t="s">
        <v>50</v>
      </c>
      <c r="D34" s="18" t="s">
        <v>41</v>
      </c>
      <c r="E34" s="20" t="s">
        <v>49</v>
      </c>
      <c r="F34" s="56" t="s">
        <v>113</v>
      </c>
      <c r="G34" s="56" t="s">
        <v>114</v>
      </c>
      <c r="H34" s="53">
        <v>66489.69</v>
      </c>
      <c r="I34" s="53">
        <v>108842.21</v>
      </c>
      <c r="J34" s="53">
        <v>110813.58</v>
      </c>
      <c r="K34" s="53">
        <v>42352.52</v>
      </c>
      <c r="L34" s="53">
        <v>1971.37</v>
      </c>
      <c r="M34" s="53">
        <v>111472.86</v>
      </c>
      <c r="N34" s="53">
        <v>114602.49</v>
      </c>
      <c r="O34" s="53">
        <v>117905.82</v>
      </c>
      <c r="P34" s="53">
        <v>121659.45</v>
      </c>
      <c r="Q34" s="53">
        <v>125539.95</v>
      </c>
      <c r="R34" s="53">
        <v>129269.13</v>
      </c>
      <c r="S34" s="53">
        <v>133291.26</v>
      </c>
      <c r="T34" s="71">
        <v>137060.5</v>
      </c>
      <c r="U34" s="34">
        <v>141215.87</v>
      </c>
      <c r="V34" s="34">
        <v>145337.07</v>
      </c>
      <c r="W34" s="72">
        <v>148946.53</v>
      </c>
      <c r="X34" s="72">
        <v>153165.06</v>
      </c>
      <c r="Y34" s="30">
        <f t="shared" si="0"/>
        <v>2630.6499999999942</v>
      </c>
      <c r="Z34" s="31">
        <f t="shared" si="1"/>
        <v>5.9554146551262094E-3</v>
      </c>
      <c r="AA34" s="30">
        <f t="shared" si="2"/>
        <v>815.68890677499189</v>
      </c>
      <c r="AB34" s="30">
        <f t="shared" si="3"/>
        <v>3446.3389067749858</v>
      </c>
      <c r="AC34" s="30">
        <f t="shared" si="4"/>
        <v>3129.6300000000047</v>
      </c>
      <c r="AD34" s="31">
        <f t="shared" si="5"/>
        <v>8.8052821507956115E-3</v>
      </c>
      <c r="AE34" s="30">
        <f t="shared" si="6"/>
        <v>61.112444397845302</v>
      </c>
      <c r="AF34" s="30">
        <f t="shared" si="7"/>
        <v>3190.7424443978498</v>
      </c>
      <c r="AG34" s="30">
        <f t="shared" si="8"/>
        <v>3303.3300000000017</v>
      </c>
      <c r="AH34" s="31">
        <f t="shared" si="9"/>
        <v>1.138542978081945E-2</v>
      </c>
      <c r="AI34" s="30">
        <f t="shared" si="10"/>
        <v>1071.2595283949126</v>
      </c>
      <c r="AJ34" s="30">
        <f t="shared" si="11"/>
        <v>4374.5895283949139</v>
      </c>
      <c r="AK34" s="30">
        <f t="shared" si="12"/>
        <v>3753.6299999999901</v>
      </c>
      <c r="AL34" s="31">
        <f t="shared" si="13"/>
        <v>9.1269159294630284E-3</v>
      </c>
      <c r="AM34" s="30">
        <f t="shared" si="14"/>
        <v>378.08833360420516</v>
      </c>
      <c r="AN34" s="30">
        <f t="shared" si="15"/>
        <v>4131.7183336041953</v>
      </c>
      <c r="AO34" s="30">
        <f t="shared" si="16"/>
        <v>3880.5</v>
      </c>
      <c r="AP34" s="31">
        <f t="shared" si="17"/>
        <v>1.0714599300769193E-2</v>
      </c>
      <c r="AQ34" s="30">
        <f t="shared" si="18"/>
        <v>933.53732203769573</v>
      </c>
      <c r="AR34" s="30">
        <f t="shared" si="19"/>
        <v>4814.037322037696</v>
      </c>
      <c r="AS34" s="92">
        <f t="shared" si="20"/>
        <v>3729.1800000000076</v>
      </c>
      <c r="AT34" s="93">
        <f t="shared" si="21"/>
        <v>7.8726252561514519E-3</v>
      </c>
      <c r="AU34" s="94">
        <f t="shared" si="22"/>
        <v>932.69738955840501</v>
      </c>
      <c r="AV34" s="94">
        <f t="shared" si="23"/>
        <v>4661.8773895584127</v>
      </c>
      <c r="AW34" s="103">
        <f t="shared" si="24"/>
        <v>4022.1300000000047</v>
      </c>
      <c r="AX34" s="93">
        <f t="shared" si="25"/>
        <v>8.6710120212085944E-3</v>
      </c>
      <c r="AY34" s="103">
        <f t="shared" si="26"/>
        <v>896.01599235738286</v>
      </c>
      <c r="AZ34" s="103">
        <f t="shared" si="27"/>
        <v>4918.1459923573875</v>
      </c>
      <c r="BA34" s="103">
        <f t="shared" si="28"/>
        <v>3769.2399999999907</v>
      </c>
      <c r="BB34" s="90">
        <f t="shared" si="30"/>
        <v>1.0730168976732417E-2</v>
      </c>
      <c r="BC34" s="103">
        <f t="shared" si="31"/>
        <v>927.51591365043942</v>
      </c>
      <c r="BD34" s="103">
        <f t="shared" si="29"/>
        <v>4696.7559136504296</v>
      </c>
      <c r="BE34" s="103">
        <f t="shared" si="32"/>
        <v>4155.3699999999953</v>
      </c>
      <c r="BF34" s="93">
        <f t="shared" si="33"/>
        <v>1.0778109991829325E-2</v>
      </c>
      <c r="BG34" s="103">
        <f t="shared" si="34"/>
        <v>837.52478505498846</v>
      </c>
      <c r="BH34" s="103">
        <f t="shared" si="35"/>
        <v>4992.8947850549839</v>
      </c>
      <c r="BI34" s="103">
        <f t="shared" si="36"/>
        <v>4121.2000000000116</v>
      </c>
      <c r="BJ34" s="90">
        <f t="shared" si="37"/>
        <v>8.5563614809847019E-3</v>
      </c>
      <c r="BK34" s="102">
        <f t="shared" si="38"/>
        <v>964.55580615211807</v>
      </c>
      <c r="BL34" s="102">
        <f t="shared" si="39"/>
        <v>5085.7558061521295</v>
      </c>
      <c r="BM34" s="94">
        <f t="shared" si="40"/>
        <v>3609.4599999999919</v>
      </c>
      <c r="BN34" s="90">
        <f t="shared" si="41"/>
        <v>9.3132374346082368E-3</v>
      </c>
      <c r="BO34" s="94">
        <f t="shared" si="42"/>
        <v>914.16568673792062</v>
      </c>
      <c r="BP34" s="94">
        <f t="shared" si="43"/>
        <v>4523.6256867379125</v>
      </c>
      <c r="BQ34" s="94">
        <f t="shared" si="44"/>
        <v>4218.5299999999988</v>
      </c>
      <c r="BR34" s="90">
        <f t="shared" si="45"/>
        <v>8.0136649064210651E-3</v>
      </c>
      <c r="BS34" s="94">
        <f t="shared" si="46"/>
        <v>911.46567183488435</v>
      </c>
      <c r="BT34" s="94">
        <f t="shared" si="47"/>
        <v>5129.9956718348831</v>
      </c>
    </row>
    <row r="35" spans="1:72" ht="13.5" hidden="1">
      <c r="A35" s="16">
        <v>32</v>
      </c>
      <c r="B35" s="16" t="s">
        <v>49</v>
      </c>
      <c r="C35" s="17" t="s">
        <v>50</v>
      </c>
      <c r="D35" s="21" t="s">
        <v>67</v>
      </c>
      <c r="E35" s="20" t="s">
        <v>49</v>
      </c>
      <c r="F35" s="56" t="s">
        <v>115</v>
      </c>
      <c r="G35" s="56" t="s">
        <v>116</v>
      </c>
      <c r="H35" s="53">
        <v>24199.5</v>
      </c>
      <c r="I35" s="53">
        <v>38867.5</v>
      </c>
      <c r="J35" s="53">
        <v>39406.5</v>
      </c>
      <c r="K35" s="53">
        <v>14668</v>
      </c>
      <c r="L35" s="53">
        <v>539</v>
      </c>
      <c r="M35" s="53">
        <v>39572</v>
      </c>
      <c r="N35" s="53">
        <v>40636</v>
      </c>
      <c r="O35" s="53">
        <v>41457.5</v>
      </c>
      <c r="P35" s="53">
        <v>42458.5</v>
      </c>
      <c r="Q35" s="53">
        <v>43027</v>
      </c>
      <c r="R35" s="53">
        <v>43679</v>
      </c>
      <c r="S35" s="53">
        <v>44482.5</v>
      </c>
      <c r="T35" s="71">
        <v>45366</v>
      </c>
      <c r="U35" s="34">
        <v>46327.5</v>
      </c>
      <c r="V35" s="34">
        <v>46997.5</v>
      </c>
      <c r="W35" s="72">
        <v>47569</v>
      </c>
      <c r="X35" s="72">
        <v>48412</v>
      </c>
      <c r="Y35" s="30">
        <f t="shared" si="0"/>
        <v>704.5</v>
      </c>
      <c r="Z35" s="31">
        <f t="shared" si="1"/>
        <v>1.5948870524533571E-3</v>
      </c>
      <c r="AA35" s="30">
        <f t="shared" si="2"/>
        <v>218.44518838423321</v>
      </c>
      <c r="AB35" s="30">
        <f t="shared" si="3"/>
        <v>922.94518838423323</v>
      </c>
      <c r="AC35" s="30">
        <f t="shared" si="4"/>
        <v>1064</v>
      </c>
      <c r="AD35" s="31">
        <f t="shared" si="5"/>
        <v>2.9935871679548434E-3</v>
      </c>
      <c r="AE35" s="30">
        <f t="shared" si="6"/>
        <v>20.776782188088465</v>
      </c>
      <c r="AF35" s="30">
        <f t="shared" si="7"/>
        <v>1084.7767821880884</v>
      </c>
      <c r="AG35" s="30">
        <f t="shared" si="8"/>
        <v>821.5</v>
      </c>
      <c r="AH35" s="31">
        <f t="shared" si="9"/>
        <v>2.8314248243267166E-3</v>
      </c>
      <c r="AI35" s="30">
        <f t="shared" si="10"/>
        <v>266.40986597658133</v>
      </c>
      <c r="AJ35" s="30">
        <f t="shared" si="11"/>
        <v>1087.9098659765814</v>
      </c>
      <c r="AK35" s="30">
        <f t="shared" si="12"/>
        <v>1001</v>
      </c>
      <c r="AL35" s="31">
        <f t="shared" si="13"/>
        <v>2.4339220555548938E-3</v>
      </c>
      <c r="AM35" s="30">
        <f t="shared" si="14"/>
        <v>100.8267788614782</v>
      </c>
      <c r="AN35" s="30">
        <f t="shared" si="15"/>
        <v>1101.8267788614783</v>
      </c>
      <c r="AO35" s="30">
        <f t="shared" si="16"/>
        <v>568.5</v>
      </c>
      <c r="AP35" s="31">
        <f t="shared" si="17"/>
        <v>1.5697074352499125E-3</v>
      </c>
      <c r="AQ35" s="30">
        <f t="shared" si="18"/>
        <v>136.76484153547997</v>
      </c>
      <c r="AR35" s="30">
        <f t="shared" si="19"/>
        <v>705.26484153547995</v>
      </c>
      <c r="AS35" s="92">
        <f t="shared" si="20"/>
        <v>652</v>
      </c>
      <c r="AT35" s="93">
        <f t="shared" si="21"/>
        <v>1.3764290452621586E-3</v>
      </c>
      <c r="AU35" s="94">
        <f t="shared" si="22"/>
        <v>163.07035272957563</v>
      </c>
      <c r="AV35" s="94">
        <f t="shared" si="23"/>
        <v>815.07035272957569</v>
      </c>
      <c r="AW35" s="103">
        <f t="shared" si="24"/>
        <v>803.5</v>
      </c>
      <c r="AX35" s="93">
        <f t="shared" si="25"/>
        <v>1.7322061094596887E-3</v>
      </c>
      <c r="AY35" s="103">
        <f t="shared" si="26"/>
        <v>178.99691204887867</v>
      </c>
      <c r="AZ35" s="103">
        <f t="shared" si="27"/>
        <v>982.4969120488787</v>
      </c>
      <c r="BA35" s="103">
        <f t="shared" si="28"/>
        <v>883.5</v>
      </c>
      <c r="BB35" s="90">
        <f t="shared" si="30"/>
        <v>2.515123550355805E-3</v>
      </c>
      <c r="BC35" s="103">
        <f t="shared" si="31"/>
        <v>217.40730484399117</v>
      </c>
      <c r="BD35" s="103">
        <f t="shared" si="29"/>
        <v>1100.9073048439911</v>
      </c>
      <c r="BE35" s="103">
        <f t="shared" si="32"/>
        <v>961.5</v>
      </c>
      <c r="BF35" s="93">
        <f t="shared" si="33"/>
        <v>2.4939181726642652E-3</v>
      </c>
      <c r="BG35" s="103">
        <f t="shared" si="34"/>
        <v>193.79262997768484</v>
      </c>
      <c r="BH35" s="103">
        <f t="shared" si="35"/>
        <v>1155.2926299776848</v>
      </c>
      <c r="BI35" s="103">
        <f t="shared" si="36"/>
        <v>670</v>
      </c>
      <c r="BJ35" s="90">
        <f t="shared" si="37"/>
        <v>1.391041976186483E-3</v>
      </c>
      <c r="BK35" s="102">
        <f t="shared" si="38"/>
        <v>156.8117029316503</v>
      </c>
      <c r="BL35" s="102">
        <f t="shared" si="39"/>
        <v>826.8117029316503</v>
      </c>
      <c r="BM35" s="94">
        <f t="shared" si="40"/>
        <v>571.5</v>
      </c>
      <c r="BN35" s="90">
        <f t="shared" si="41"/>
        <v>1.4746015176449162E-3</v>
      </c>
      <c r="BO35" s="94">
        <f t="shared" si="42"/>
        <v>144.74344915048866</v>
      </c>
      <c r="BP35" s="94">
        <f t="shared" si="43"/>
        <v>716.24344915048869</v>
      </c>
      <c r="BQ35" s="94">
        <f t="shared" si="44"/>
        <v>843</v>
      </c>
      <c r="BR35" s="90">
        <f t="shared" si="45"/>
        <v>1.6013918393641764E-3</v>
      </c>
      <c r="BS35" s="94">
        <f t="shared" si="46"/>
        <v>182.14059432001378</v>
      </c>
      <c r="BT35" s="94">
        <f t="shared" si="47"/>
        <v>1025.1405943200139</v>
      </c>
    </row>
    <row r="36" spans="1:72" ht="13.5" hidden="1">
      <c r="A36" s="11">
        <v>33</v>
      </c>
      <c r="B36" s="16" t="s">
        <v>49</v>
      </c>
      <c r="C36" s="17" t="s">
        <v>50</v>
      </c>
      <c r="D36" s="21" t="s">
        <v>67</v>
      </c>
      <c r="E36" s="20" t="s">
        <v>49</v>
      </c>
      <c r="F36" s="56" t="s">
        <v>117</v>
      </c>
      <c r="G36" s="56" t="s">
        <v>118</v>
      </c>
      <c r="H36" s="53">
        <v>80681.16</v>
      </c>
      <c r="I36" s="53">
        <v>163194.88</v>
      </c>
      <c r="J36" s="53">
        <v>168568.39</v>
      </c>
      <c r="K36" s="53">
        <v>82513.72</v>
      </c>
      <c r="L36" s="53">
        <v>5373.51</v>
      </c>
      <c r="M36" s="53">
        <v>170288.56</v>
      </c>
      <c r="N36" s="53">
        <v>177311.79</v>
      </c>
      <c r="O36" s="53">
        <v>182469.5</v>
      </c>
      <c r="P36" s="53">
        <v>189576.12</v>
      </c>
      <c r="Q36" s="53">
        <v>195509.91</v>
      </c>
      <c r="R36" s="53">
        <v>203359.4</v>
      </c>
      <c r="S36" s="53">
        <v>210211.75</v>
      </c>
      <c r="T36" s="71">
        <v>216191</v>
      </c>
      <c r="U36" s="34">
        <v>221898.85</v>
      </c>
      <c r="V36" s="34">
        <v>229486.25</v>
      </c>
      <c r="W36" s="72">
        <v>237044.34</v>
      </c>
      <c r="X36" s="72">
        <v>246518.18</v>
      </c>
      <c r="Y36" s="30">
        <f t="shared" si="0"/>
        <v>7093.679999999993</v>
      </c>
      <c r="Z36" s="31">
        <f t="shared" si="1"/>
        <v>1.6059075069194208E-2</v>
      </c>
      <c r="AA36" s="30">
        <f t="shared" si="2"/>
        <v>2199.5461517920025</v>
      </c>
      <c r="AB36" s="30">
        <f t="shared" si="3"/>
        <v>9293.226151791996</v>
      </c>
      <c r="AC36" s="30">
        <f t="shared" si="4"/>
        <v>7023.2300000000105</v>
      </c>
      <c r="AD36" s="31">
        <f t="shared" si="5"/>
        <v>1.9760010531574741E-2</v>
      </c>
      <c r="AE36" s="30">
        <f t="shared" si="6"/>
        <v>137.14296989365485</v>
      </c>
      <c r="AF36" s="30">
        <f t="shared" si="7"/>
        <v>7160.372969893665</v>
      </c>
      <c r="AG36" s="30">
        <f t="shared" si="8"/>
        <v>5157.7099999999919</v>
      </c>
      <c r="AH36" s="31">
        <f t="shared" si="9"/>
        <v>1.7776832782322734E-2</v>
      </c>
      <c r="AI36" s="30">
        <f t="shared" si="10"/>
        <v>1672.6291294535251</v>
      </c>
      <c r="AJ36" s="30">
        <f t="shared" si="11"/>
        <v>6830.3391294535168</v>
      </c>
      <c r="AK36" s="30">
        <f t="shared" si="12"/>
        <v>7106.6199999999953</v>
      </c>
      <c r="AL36" s="31">
        <f t="shared" si="13"/>
        <v>1.7279679478968541E-2</v>
      </c>
      <c r="AM36" s="30">
        <f t="shared" si="14"/>
        <v>715.82178141114662</v>
      </c>
      <c r="AN36" s="30">
        <f t="shared" si="15"/>
        <v>7822.4417814111421</v>
      </c>
      <c r="AO36" s="30">
        <f t="shared" si="16"/>
        <v>5933.7900000000081</v>
      </c>
      <c r="AP36" s="31">
        <f t="shared" si="17"/>
        <v>1.6384018086563926E-2</v>
      </c>
      <c r="AQ36" s="30">
        <f t="shared" si="18"/>
        <v>1427.5001742389038</v>
      </c>
      <c r="AR36" s="30">
        <f t="shared" si="19"/>
        <v>7361.2901742389122</v>
      </c>
      <c r="AS36" s="92">
        <f t="shared" si="20"/>
        <v>7849.4899999999907</v>
      </c>
      <c r="AT36" s="93">
        <f t="shared" si="21"/>
        <v>1.6570960163335657E-2</v>
      </c>
      <c r="AU36" s="94">
        <f t="shared" si="22"/>
        <v>1963.2194832013422</v>
      </c>
      <c r="AV36" s="94">
        <f t="shared" si="23"/>
        <v>9812.7094832013336</v>
      </c>
      <c r="AW36" s="103">
        <f t="shared" si="24"/>
        <v>6852.3500000000058</v>
      </c>
      <c r="AX36" s="93">
        <f t="shared" si="25"/>
        <v>1.4772473595713886E-2</v>
      </c>
      <c r="AY36" s="103">
        <f t="shared" si="26"/>
        <v>1526.5083886473362</v>
      </c>
      <c r="AZ36" s="103">
        <f t="shared" si="27"/>
        <v>8378.8583886473425</v>
      </c>
      <c r="BA36" s="103">
        <f t="shared" si="28"/>
        <v>5979.25</v>
      </c>
      <c r="BB36" s="90">
        <f t="shared" si="30"/>
        <v>1.7021564786038421E-2</v>
      </c>
      <c r="BC36" s="103">
        <f t="shared" si="31"/>
        <v>1471.3442303208083</v>
      </c>
      <c r="BD36" s="103">
        <f t="shared" si="29"/>
        <v>7450.5942303208085</v>
      </c>
      <c r="BE36" s="103">
        <f t="shared" si="32"/>
        <v>5707.8500000000058</v>
      </c>
      <c r="BF36" s="93">
        <f t="shared" si="33"/>
        <v>1.4804899471494271E-2</v>
      </c>
      <c r="BG36" s="103">
        <f t="shared" si="34"/>
        <v>1150.4308507728858</v>
      </c>
      <c r="BH36" s="103">
        <f t="shared" si="35"/>
        <v>6858.2808507728914</v>
      </c>
      <c r="BI36" s="103">
        <f t="shared" si="36"/>
        <v>7587.3999999999942</v>
      </c>
      <c r="BJ36" s="90">
        <f t="shared" si="37"/>
        <v>1.5752823716593003E-2</v>
      </c>
      <c r="BK36" s="102">
        <f t="shared" si="38"/>
        <v>1775.8106191397053</v>
      </c>
      <c r="BL36" s="102">
        <f t="shared" si="39"/>
        <v>9363.2106191396997</v>
      </c>
      <c r="BM36" s="94">
        <f t="shared" si="40"/>
        <v>7558.0899999999965</v>
      </c>
      <c r="BN36" s="90">
        <f t="shared" si="41"/>
        <v>1.9501611521429325E-2</v>
      </c>
      <c r="BO36" s="94">
        <f t="shared" si="42"/>
        <v>1914.232748188655</v>
      </c>
      <c r="BP36" s="94">
        <f t="shared" si="43"/>
        <v>9472.3227481886515</v>
      </c>
      <c r="BQ36" s="94">
        <f t="shared" si="44"/>
        <v>9473.8399999999965</v>
      </c>
      <c r="BR36" s="90">
        <f t="shared" si="45"/>
        <v>1.7996832815470824E-2</v>
      </c>
      <c r="BS36" s="94">
        <f t="shared" si="46"/>
        <v>2046.9405078205441</v>
      </c>
      <c r="BT36" s="94">
        <f t="shared" si="47"/>
        <v>11520.78050782054</v>
      </c>
    </row>
    <row r="37" spans="1:72" ht="13.5" hidden="1">
      <c r="A37" s="16">
        <v>34</v>
      </c>
      <c r="B37" s="16" t="s">
        <v>49</v>
      </c>
      <c r="C37" s="17" t="s">
        <v>50</v>
      </c>
      <c r="D37" s="21" t="s">
        <v>67</v>
      </c>
      <c r="E37" s="20" t="s">
        <v>49</v>
      </c>
      <c r="F37" s="56" t="s">
        <v>119</v>
      </c>
      <c r="G37" s="56" t="s">
        <v>120</v>
      </c>
      <c r="H37" s="53">
        <v>74325.33</v>
      </c>
      <c r="I37" s="53">
        <v>120810.66</v>
      </c>
      <c r="J37" s="53">
        <v>123329.19</v>
      </c>
      <c r="K37" s="53">
        <v>46485.33</v>
      </c>
      <c r="L37" s="53">
        <v>2518.5300000000002</v>
      </c>
      <c r="M37" s="53">
        <v>124017.39</v>
      </c>
      <c r="N37" s="53">
        <v>128684.31</v>
      </c>
      <c r="O37" s="53">
        <v>132381.42000000001</v>
      </c>
      <c r="P37" s="53">
        <v>137306.1</v>
      </c>
      <c r="Q37" s="53">
        <v>141925.23000000001</v>
      </c>
      <c r="R37" s="53">
        <v>146620.10999999999</v>
      </c>
      <c r="S37" s="53">
        <v>150684.24</v>
      </c>
      <c r="T37" s="71">
        <v>154532.03</v>
      </c>
      <c r="U37" s="34">
        <v>158253.70000000001</v>
      </c>
      <c r="V37" s="34">
        <v>162891.18</v>
      </c>
      <c r="W37" s="72">
        <v>166650.1</v>
      </c>
      <c r="X37" s="72">
        <v>170657.08</v>
      </c>
      <c r="Y37" s="30">
        <f t="shared" si="0"/>
        <v>3206.7299999999959</v>
      </c>
      <c r="Z37" s="31">
        <f t="shared" si="1"/>
        <v>7.2595772288342759E-3</v>
      </c>
      <c r="AA37" s="30">
        <f t="shared" si="2"/>
        <v>994.31474655411103</v>
      </c>
      <c r="AB37" s="30">
        <f t="shared" si="3"/>
        <v>4201.0447465541074</v>
      </c>
      <c r="AC37" s="30">
        <f t="shared" si="4"/>
        <v>4666.9199999999983</v>
      </c>
      <c r="AD37" s="31">
        <f t="shared" si="5"/>
        <v>1.3130481039353208E-2</v>
      </c>
      <c r="AE37" s="30">
        <f t="shared" si="6"/>
        <v>91.131184519956562</v>
      </c>
      <c r="AF37" s="30">
        <f t="shared" si="7"/>
        <v>4758.0511845199544</v>
      </c>
      <c r="AG37" s="30">
        <f t="shared" si="8"/>
        <v>3697.1100000000151</v>
      </c>
      <c r="AH37" s="31">
        <f t="shared" si="9"/>
        <v>1.2742652504280694E-2</v>
      </c>
      <c r="AI37" s="30">
        <f t="shared" si="10"/>
        <v>1198.961143762243</v>
      </c>
      <c r="AJ37" s="30">
        <f t="shared" si="11"/>
        <v>4896.0711437622576</v>
      </c>
      <c r="AK37" s="30">
        <f t="shared" si="12"/>
        <v>4924.679999999993</v>
      </c>
      <c r="AL37" s="31">
        <f t="shared" si="13"/>
        <v>1.1974312955594462E-2</v>
      </c>
      <c r="AM37" s="30">
        <f t="shared" si="14"/>
        <v>496.0435777457979</v>
      </c>
      <c r="AN37" s="30">
        <f t="shared" si="15"/>
        <v>5420.7235777457909</v>
      </c>
      <c r="AO37" s="30">
        <f t="shared" si="16"/>
        <v>4619.1300000000047</v>
      </c>
      <c r="AP37" s="31">
        <f t="shared" si="17"/>
        <v>1.2754059288277811E-2</v>
      </c>
      <c r="AQ37" s="30">
        <f t="shared" si="18"/>
        <v>1111.2305760453512</v>
      </c>
      <c r="AR37" s="30">
        <f t="shared" si="19"/>
        <v>5730.3605760453556</v>
      </c>
      <c r="AS37" s="92">
        <f t="shared" si="20"/>
        <v>4694.8799999999756</v>
      </c>
      <c r="AT37" s="93">
        <f t="shared" si="21"/>
        <v>9.9113024478840028E-3</v>
      </c>
      <c r="AU37" s="94">
        <f t="shared" si="22"/>
        <v>1174.2265914463592</v>
      </c>
      <c r="AV37" s="94">
        <f t="shared" si="23"/>
        <v>5869.1065914463343</v>
      </c>
      <c r="AW37" s="103">
        <f t="shared" si="24"/>
        <v>4064.1300000000047</v>
      </c>
      <c r="AX37" s="93">
        <f t="shared" si="25"/>
        <v>8.7615567089463758E-3</v>
      </c>
      <c r="AY37" s="103">
        <f t="shared" si="26"/>
        <v>905.37239597412577</v>
      </c>
      <c r="AZ37" s="103">
        <f t="shared" si="27"/>
        <v>4969.5023959741302</v>
      </c>
      <c r="BA37" s="103">
        <f t="shared" si="28"/>
        <v>3847.7900000000081</v>
      </c>
      <c r="BB37" s="90">
        <f t="shared" si="30"/>
        <v>1.0953782960751085E-2</v>
      </c>
      <c r="BC37" s="103">
        <f t="shared" si="31"/>
        <v>946.84510866515291</v>
      </c>
      <c r="BD37" s="103">
        <f t="shared" si="29"/>
        <v>4794.6351086651612</v>
      </c>
      <c r="BE37" s="103">
        <f t="shared" si="32"/>
        <v>3721.6700000000128</v>
      </c>
      <c r="BF37" s="93">
        <f t="shared" si="33"/>
        <v>9.6531881910134655E-3</v>
      </c>
      <c r="BG37" s="103">
        <f t="shared" si="34"/>
        <v>750.11151035782927</v>
      </c>
      <c r="BH37" s="103">
        <f t="shared" si="35"/>
        <v>4471.7815103578423</v>
      </c>
      <c r="BI37" s="103">
        <f t="shared" si="36"/>
        <v>4637.4799999999814</v>
      </c>
      <c r="BJ37" s="90">
        <f t="shared" si="37"/>
        <v>9.6282527518287541E-3</v>
      </c>
      <c r="BK37" s="102">
        <f t="shared" si="38"/>
        <v>1085.3897553902489</v>
      </c>
      <c r="BL37" s="102">
        <f t="shared" si="39"/>
        <v>5722.8697553902302</v>
      </c>
      <c r="BM37" s="94">
        <f t="shared" si="40"/>
        <v>3758.9200000000128</v>
      </c>
      <c r="BN37" s="90">
        <f t="shared" si="41"/>
        <v>9.6988786294065557E-3</v>
      </c>
      <c r="BO37" s="94">
        <f t="shared" si="42"/>
        <v>952.01932787533974</v>
      </c>
      <c r="BP37" s="94">
        <f t="shared" si="43"/>
        <v>4710.9393278753523</v>
      </c>
      <c r="BQ37" s="94">
        <f t="shared" si="44"/>
        <v>4006.9799999999814</v>
      </c>
      <c r="BR37" s="90">
        <f t="shared" si="45"/>
        <v>7.6117972390218717E-3</v>
      </c>
      <c r="BS37" s="94">
        <f t="shared" si="46"/>
        <v>865.75767334330408</v>
      </c>
      <c r="BT37" s="94">
        <f t="shared" si="47"/>
        <v>4872.7376733432857</v>
      </c>
    </row>
    <row r="38" spans="1:72" ht="24" hidden="1" customHeight="1">
      <c r="A38" s="11">
        <v>35</v>
      </c>
      <c r="B38" s="16" t="s">
        <v>49</v>
      </c>
      <c r="C38" s="17" t="s">
        <v>50</v>
      </c>
      <c r="D38" s="18" t="s">
        <v>121</v>
      </c>
      <c r="E38" s="20" t="s">
        <v>49</v>
      </c>
      <c r="F38" s="58" t="s">
        <v>122</v>
      </c>
      <c r="G38" s="57" t="s">
        <v>123</v>
      </c>
      <c r="H38" s="59">
        <v>162.5</v>
      </c>
      <c r="I38" s="59">
        <v>17220.599999999999</v>
      </c>
      <c r="J38" s="59">
        <v>18842.3</v>
      </c>
      <c r="K38" s="59">
        <v>17058.099999999999</v>
      </c>
      <c r="L38" s="59">
        <v>1621.7</v>
      </c>
      <c r="M38" s="59">
        <v>19345</v>
      </c>
      <c r="N38" s="59">
        <v>21476.2</v>
      </c>
      <c r="O38" s="59">
        <v>23496.400000000001</v>
      </c>
      <c r="P38" s="59">
        <v>26446.799999999999</v>
      </c>
      <c r="Q38" s="59">
        <v>29026</v>
      </c>
      <c r="R38" s="59">
        <v>32143.7</v>
      </c>
      <c r="S38" s="59">
        <v>34876.9</v>
      </c>
      <c r="T38" s="75">
        <v>36950.699999999997</v>
      </c>
      <c r="U38" s="65">
        <v>39101.300000000003</v>
      </c>
      <c r="V38" s="65">
        <v>41707.300000000003</v>
      </c>
      <c r="W38" s="76">
        <v>43606.9</v>
      </c>
      <c r="X38" s="76">
        <v>46084.9</v>
      </c>
      <c r="Y38" s="30">
        <f t="shared" si="0"/>
        <v>2124.4000000000015</v>
      </c>
      <c r="Z38" s="31">
        <f t="shared" si="1"/>
        <v>4.8093371955030715E-3</v>
      </c>
      <c r="AA38" s="30">
        <f t="shared" si="2"/>
        <v>658.71534166567108</v>
      </c>
      <c r="AB38" s="30">
        <f t="shared" si="3"/>
        <v>2783.1153416656725</v>
      </c>
      <c r="AC38" s="30">
        <f t="shared" si="4"/>
        <v>2131.2000000000007</v>
      </c>
      <c r="AD38" s="31">
        <f t="shared" si="5"/>
        <v>5.9961776055877485E-3</v>
      </c>
      <c r="AE38" s="30">
        <f t="shared" si="6"/>
        <v>41.616050939148636</v>
      </c>
      <c r="AF38" s="30">
        <f t="shared" si="7"/>
        <v>2172.8160509391491</v>
      </c>
      <c r="AG38" s="30">
        <f t="shared" si="8"/>
        <v>2020.2000000000007</v>
      </c>
      <c r="AH38" s="31">
        <f t="shared" si="9"/>
        <v>6.9629268777904258E-3</v>
      </c>
      <c r="AI38" s="30">
        <f t="shared" si="10"/>
        <v>655.14450547278113</v>
      </c>
      <c r="AJ38" s="30">
        <f t="shared" si="11"/>
        <v>2675.3445054727817</v>
      </c>
      <c r="AK38" s="30">
        <f t="shared" si="12"/>
        <v>2950.3999999999978</v>
      </c>
      <c r="AL38" s="31">
        <f t="shared" si="13"/>
        <v>7.1738697629462073E-3</v>
      </c>
      <c r="AM38" s="30">
        <f t="shared" si="14"/>
        <v>297.18214620669835</v>
      </c>
      <c r="AN38" s="30">
        <f t="shared" si="15"/>
        <v>3247.5821462066961</v>
      </c>
      <c r="AO38" s="30">
        <f t="shared" si="16"/>
        <v>2579.2000000000007</v>
      </c>
      <c r="AP38" s="31">
        <f t="shared" si="17"/>
        <v>7.1215293174961749E-3</v>
      </c>
      <c r="AQ38" s="30">
        <f t="shared" si="18"/>
        <v>620.48175776307835</v>
      </c>
      <c r="AR38" s="30">
        <f t="shared" si="19"/>
        <v>3199.6817577630791</v>
      </c>
      <c r="AS38" s="92">
        <f t="shared" si="20"/>
        <v>3117.7000000000007</v>
      </c>
      <c r="AT38" s="93">
        <f t="shared" si="21"/>
        <v>6.5817374760948361E-3</v>
      </c>
      <c r="AU38" s="94">
        <f t="shared" si="22"/>
        <v>779.76140905674561</v>
      </c>
      <c r="AV38" s="94">
        <f t="shared" si="23"/>
        <v>3897.4614090567466</v>
      </c>
      <c r="AW38" s="103">
        <f t="shared" si="24"/>
        <v>2733.2000000000007</v>
      </c>
      <c r="AX38" s="93">
        <f t="shared" si="25"/>
        <v>5.8923033458310172E-3</v>
      </c>
      <c r="AY38" s="103">
        <f t="shared" si="26"/>
        <v>608.87910393527727</v>
      </c>
      <c r="AZ38" s="103">
        <f t="shared" si="27"/>
        <v>3342.079103935278</v>
      </c>
      <c r="BA38" s="103">
        <f t="shared" si="28"/>
        <v>2073.7999999999956</v>
      </c>
      <c r="BB38" s="90">
        <f t="shared" si="30"/>
        <v>5.9036369198957068E-3</v>
      </c>
      <c r="BC38" s="103">
        <f t="shared" si="31"/>
        <v>510.31043439215381</v>
      </c>
      <c r="BD38" s="103">
        <f t="shared" si="29"/>
        <v>2584.1104343921493</v>
      </c>
      <c r="BE38" s="103">
        <f t="shared" si="32"/>
        <v>2150.6000000000058</v>
      </c>
      <c r="BF38" s="93">
        <f t="shared" si="33"/>
        <v>5.5781803662317041E-3</v>
      </c>
      <c r="BG38" s="103">
        <f t="shared" si="34"/>
        <v>433.45858557463356</v>
      </c>
      <c r="BH38" s="103">
        <f t="shared" si="35"/>
        <v>2584.0585855746394</v>
      </c>
      <c r="BI38" s="103">
        <f t="shared" si="36"/>
        <v>2606</v>
      </c>
      <c r="BJ38" s="90">
        <f t="shared" si="37"/>
        <v>5.410530432749216E-3</v>
      </c>
      <c r="BK38" s="102">
        <f t="shared" si="38"/>
        <v>609.92731020877716</v>
      </c>
      <c r="BL38" s="102">
        <f t="shared" si="39"/>
        <v>3215.9273102087773</v>
      </c>
      <c r="BM38" s="94">
        <f t="shared" si="40"/>
        <v>1899.5999999999985</v>
      </c>
      <c r="BN38" s="90">
        <f t="shared" si="41"/>
        <v>4.9014051494633082E-3</v>
      </c>
      <c r="BO38" s="94">
        <f t="shared" si="42"/>
        <v>481.11050919731946</v>
      </c>
      <c r="BP38" s="94">
        <f t="shared" si="43"/>
        <v>2380.7105091973181</v>
      </c>
      <c r="BQ38" s="94">
        <f t="shared" si="44"/>
        <v>2478</v>
      </c>
      <c r="BR38" s="90">
        <f t="shared" si="45"/>
        <v>4.707294161262668E-3</v>
      </c>
      <c r="BS38" s="94">
        <f t="shared" si="46"/>
        <v>535.40260109726466</v>
      </c>
      <c r="BT38" s="94">
        <f t="shared" si="47"/>
        <v>3013.4026010972648</v>
      </c>
    </row>
    <row r="39" spans="1:72" ht="27" hidden="1">
      <c r="A39" s="16">
        <v>36</v>
      </c>
      <c r="B39" s="16" t="s">
        <v>39</v>
      </c>
      <c r="C39" s="17" t="s">
        <v>40</v>
      </c>
      <c r="D39" s="18" t="s">
        <v>121</v>
      </c>
      <c r="E39" s="18" t="s">
        <v>124</v>
      </c>
      <c r="F39" s="58" t="s">
        <v>125</v>
      </c>
      <c r="G39" s="57" t="s">
        <v>126</v>
      </c>
      <c r="H39" s="59" t="s">
        <v>127</v>
      </c>
      <c r="I39" s="59">
        <v>1866.9</v>
      </c>
      <c r="J39" s="59">
        <v>2076.5</v>
      </c>
      <c r="K39" s="59">
        <v>1866.9</v>
      </c>
      <c r="L39" s="59">
        <v>209.6</v>
      </c>
      <c r="M39" s="59">
        <v>2140.4</v>
      </c>
      <c r="N39" s="59">
        <v>2557.9</v>
      </c>
      <c r="O39" s="59">
        <v>2856</v>
      </c>
      <c r="P39" s="59">
        <v>3249.4</v>
      </c>
      <c r="Q39" s="59">
        <v>3623.1</v>
      </c>
      <c r="R39" s="59">
        <v>4060.9</v>
      </c>
      <c r="S39" s="59">
        <v>4421.7</v>
      </c>
      <c r="T39" s="75">
        <v>4762.6000000000004</v>
      </c>
      <c r="U39" s="65">
        <v>5108.3</v>
      </c>
      <c r="V39" s="65">
        <v>5486.9</v>
      </c>
      <c r="W39" s="76">
        <v>5826.9</v>
      </c>
      <c r="X39" s="76">
        <v>6233.3</v>
      </c>
      <c r="Y39" s="30">
        <f t="shared" si="0"/>
        <v>273.5</v>
      </c>
      <c r="Z39" s="31">
        <f t="shared" si="1"/>
        <v>6.1916481028529899E-4</v>
      </c>
      <c r="AA39" s="30">
        <f t="shared" si="2"/>
        <v>84.804484063999681</v>
      </c>
      <c r="AB39" s="30">
        <f t="shared" si="3"/>
        <v>358.30448406399967</v>
      </c>
      <c r="AC39" s="30">
        <f t="shared" si="4"/>
        <v>417.5</v>
      </c>
      <c r="AD39" s="31">
        <f t="shared" si="5"/>
        <v>1.1746453408093488E-3</v>
      </c>
      <c r="AE39" s="30">
        <f t="shared" si="6"/>
        <v>8.1525437627132842</v>
      </c>
      <c r="AF39" s="30">
        <f t="shared" si="7"/>
        <v>425.65254376271326</v>
      </c>
      <c r="AG39" s="30">
        <f t="shared" si="8"/>
        <v>298.09999999999991</v>
      </c>
      <c r="AH39" s="31">
        <f t="shared" si="9"/>
        <v>1.0274470360703517E-3</v>
      </c>
      <c r="AI39" s="30">
        <f t="shared" si="10"/>
        <v>96.672892328203119</v>
      </c>
      <c r="AJ39" s="30">
        <f t="shared" si="11"/>
        <v>394.77289232820306</v>
      </c>
      <c r="AK39" s="30">
        <f t="shared" si="12"/>
        <v>393.40000000000009</v>
      </c>
      <c r="AL39" s="31">
        <f t="shared" si="13"/>
        <v>9.5654838826702844E-4</v>
      </c>
      <c r="AM39" s="30">
        <f t="shared" si="14"/>
        <v>39.625629174930602</v>
      </c>
      <c r="AN39" s="30">
        <f t="shared" si="15"/>
        <v>433.02562917493071</v>
      </c>
      <c r="AO39" s="30">
        <f t="shared" si="16"/>
        <v>373.69999999999982</v>
      </c>
      <c r="AP39" s="31">
        <f t="shared" si="17"/>
        <v>1.0318375876040317E-3</v>
      </c>
      <c r="AQ39" s="30">
        <f t="shared" si="18"/>
        <v>89.901532597728831</v>
      </c>
      <c r="AR39" s="30">
        <f t="shared" si="19"/>
        <v>463.60153259772864</v>
      </c>
      <c r="AS39" s="92">
        <f t="shared" si="20"/>
        <v>437.80000000000018</v>
      </c>
      <c r="AT39" s="93">
        <f t="shared" si="21"/>
        <v>9.2423410431867069E-4</v>
      </c>
      <c r="AU39" s="94">
        <f t="shared" si="22"/>
        <v>109.49723991565682</v>
      </c>
      <c r="AV39" s="94">
        <f t="shared" si="23"/>
        <v>547.29723991565697</v>
      </c>
      <c r="AW39" s="103">
        <f t="shared" si="24"/>
        <v>360.79999999999973</v>
      </c>
      <c r="AX39" s="93">
        <f t="shared" si="25"/>
        <v>7.7782198418550744E-4</v>
      </c>
      <c r="AY39" s="103">
        <f t="shared" si="26"/>
        <v>80.375962498114959</v>
      </c>
      <c r="AZ39" s="103">
        <f t="shared" si="27"/>
        <v>441.1759624981147</v>
      </c>
      <c r="BA39" s="103">
        <f t="shared" si="28"/>
        <v>340.90000000000055</v>
      </c>
      <c r="BB39" s="90">
        <f t="shared" si="30"/>
        <v>9.7046476323293181E-4</v>
      </c>
      <c r="BC39" s="103">
        <f t="shared" si="31"/>
        <v>83.886983838502204</v>
      </c>
      <c r="BD39" s="103">
        <f t="shared" si="29"/>
        <v>424.78698383850275</v>
      </c>
      <c r="BE39" s="103">
        <f t="shared" si="32"/>
        <v>345.69999999999982</v>
      </c>
      <c r="BF39" s="93">
        <f t="shared" si="33"/>
        <v>8.9666927955281959E-4</v>
      </c>
      <c r="BG39" s="103">
        <f t="shared" si="34"/>
        <v>69.676663737166535</v>
      </c>
      <c r="BH39" s="103">
        <f t="shared" si="35"/>
        <v>415.37666373716638</v>
      </c>
      <c r="BI39" s="103">
        <f t="shared" si="36"/>
        <v>378.59999999999945</v>
      </c>
      <c r="BJ39" s="90">
        <f t="shared" si="37"/>
        <v>7.8604252564806222E-4</v>
      </c>
      <c r="BK39" s="102">
        <f t="shared" si="38"/>
        <v>88.610314522272716</v>
      </c>
      <c r="BL39" s="102">
        <f t="shared" si="39"/>
        <v>467.21031452227214</v>
      </c>
      <c r="BM39" s="94">
        <f t="shared" si="40"/>
        <v>340</v>
      </c>
      <c r="BN39" s="90">
        <f t="shared" si="41"/>
        <v>8.7727824321832276E-4</v>
      </c>
      <c r="BO39" s="94">
        <f t="shared" si="42"/>
        <v>86.111588296003745</v>
      </c>
      <c r="BP39" s="94">
        <f t="shared" si="43"/>
        <v>426.11158829600373</v>
      </c>
      <c r="BQ39" s="94">
        <f t="shared" si="44"/>
        <v>406.40000000000055</v>
      </c>
      <c r="BR39" s="90">
        <f t="shared" si="45"/>
        <v>7.7201143952265977E-4</v>
      </c>
      <c r="BS39" s="94">
        <f t="shared" si="46"/>
        <v>87.807755079067249</v>
      </c>
      <c r="BT39" s="94">
        <f t="shared" si="47"/>
        <v>494.20775507906779</v>
      </c>
    </row>
    <row r="40" spans="1:72" ht="13.5" hidden="1">
      <c r="A40" s="11">
        <v>37</v>
      </c>
      <c r="B40" s="16" t="s">
        <v>49</v>
      </c>
      <c r="C40" s="17" t="s">
        <v>50</v>
      </c>
      <c r="D40" s="18" t="s">
        <v>121</v>
      </c>
      <c r="E40" s="20" t="s">
        <v>49</v>
      </c>
      <c r="F40" s="58" t="s">
        <v>128</v>
      </c>
      <c r="G40" s="57" t="s">
        <v>129</v>
      </c>
      <c r="H40" s="59" t="s">
        <v>127</v>
      </c>
      <c r="I40" s="59">
        <v>4329.3</v>
      </c>
      <c r="J40" s="59">
        <v>7166</v>
      </c>
      <c r="K40" s="59">
        <v>4329.3</v>
      </c>
      <c r="L40" s="59">
        <v>2836.7</v>
      </c>
      <c r="M40" s="59">
        <v>7985.4</v>
      </c>
      <c r="N40" s="59">
        <v>9440.9</v>
      </c>
      <c r="O40" s="59">
        <v>10004</v>
      </c>
      <c r="P40" s="59">
        <v>11630.3</v>
      </c>
      <c r="Q40" s="59">
        <v>12986.2</v>
      </c>
      <c r="R40" s="59">
        <v>16133.3</v>
      </c>
      <c r="S40" s="59">
        <v>19136.599999999999</v>
      </c>
      <c r="T40" s="75">
        <v>20115.8</v>
      </c>
      <c r="U40" s="65">
        <v>21363.3</v>
      </c>
      <c r="V40" s="65">
        <v>24183.200000000001</v>
      </c>
      <c r="W40" s="76">
        <v>26337</v>
      </c>
      <c r="X40" s="76">
        <v>29939.7</v>
      </c>
      <c r="Y40" s="30">
        <f t="shared" si="0"/>
        <v>3656.0999999999995</v>
      </c>
      <c r="Z40" s="31">
        <f t="shared" si="1"/>
        <v>8.2768865187717779E-3</v>
      </c>
      <c r="AA40" s="30">
        <f t="shared" si="2"/>
        <v>1133.651459548041</v>
      </c>
      <c r="AB40" s="30">
        <f t="shared" si="3"/>
        <v>4789.7514595480407</v>
      </c>
      <c r="AC40" s="30">
        <f t="shared" si="4"/>
        <v>1455.5</v>
      </c>
      <c r="AD40" s="31">
        <f t="shared" si="5"/>
        <v>4.0950809426299568E-3</v>
      </c>
      <c r="AE40" s="30">
        <f t="shared" si="6"/>
        <v>28.421622626656724</v>
      </c>
      <c r="AF40" s="30">
        <f t="shared" si="7"/>
        <v>1483.9216226266567</v>
      </c>
      <c r="AG40" s="30">
        <f t="shared" si="8"/>
        <v>563.10000000000036</v>
      </c>
      <c r="AH40" s="31">
        <f t="shared" si="9"/>
        <v>1.9408098826273585E-3</v>
      </c>
      <c r="AI40" s="30">
        <f t="shared" si="10"/>
        <v>182.61155877226173</v>
      </c>
      <c r="AJ40" s="30">
        <f t="shared" si="11"/>
        <v>745.71155877226215</v>
      </c>
      <c r="AK40" s="30">
        <f t="shared" si="12"/>
        <v>1626.2999999999993</v>
      </c>
      <c r="AL40" s="31">
        <f t="shared" si="13"/>
        <v>3.9543331058430791E-3</v>
      </c>
      <c r="AM40" s="30">
        <f t="shared" si="14"/>
        <v>163.8107796827392</v>
      </c>
      <c r="AN40" s="30">
        <f t="shared" si="15"/>
        <v>1790.1107796827384</v>
      </c>
      <c r="AO40" s="30">
        <f t="shared" si="16"/>
        <v>1355.9000000000015</v>
      </c>
      <c r="AP40" s="31">
        <f t="shared" si="17"/>
        <v>3.7438281643893735E-3</v>
      </c>
      <c r="AQ40" s="30">
        <f t="shared" si="18"/>
        <v>326.19076277565085</v>
      </c>
      <c r="AR40" s="30">
        <f t="shared" si="19"/>
        <v>1682.0907627756524</v>
      </c>
      <c r="AS40" s="92">
        <f t="shared" si="20"/>
        <v>3147.0999999999985</v>
      </c>
      <c r="AT40" s="93">
        <f t="shared" si="21"/>
        <v>6.6438034483811926E-3</v>
      </c>
      <c r="AU40" s="94">
        <f t="shared" si="22"/>
        <v>787.1145814037535</v>
      </c>
      <c r="AV40" s="94">
        <f t="shared" si="23"/>
        <v>3934.2145814037522</v>
      </c>
      <c r="AW40" s="103">
        <f t="shared" si="24"/>
        <v>3003.2999999999993</v>
      </c>
      <c r="AX40" s="93">
        <f t="shared" si="25"/>
        <v>6.4745919210208855E-3</v>
      </c>
      <c r="AY40" s="103">
        <f t="shared" si="26"/>
        <v>669.049690051521</v>
      </c>
      <c r="AZ40" s="103">
        <f t="shared" si="27"/>
        <v>3672.3496900515202</v>
      </c>
      <c r="BA40" s="103">
        <f t="shared" si="28"/>
        <v>979.20000000000073</v>
      </c>
      <c r="BB40" s="90">
        <f t="shared" si="30"/>
        <v>2.7875596836541097E-3</v>
      </c>
      <c r="BC40" s="103">
        <f t="shared" si="31"/>
        <v>240.95668693065795</v>
      </c>
      <c r="BD40" s="103">
        <f t="shared" si="29"/>
        <v>1220.1566869306587</v>
      </c>
      <c r="BE40" s="103">
        <f t="shared" si="32"/>
        <v>1247.5</v>
      </c>
      <c r="BF40" s="93">
        <f t="shared" si="33"/>
        <v>3.2357388667692884E-3</v>
      </c>
      <c r="BG40" s="103">
        <f t="shared" si="34"/>
        <v>251.43661559767224</v>
      </c>
      <c r="BH40" s="103">
        <f t="shared" si="35"/>
        <v>1498.9366155976722</v>
      </c>
      <c r="BI40" s="103">
        <f t="shared" si="36"/>
        <v>2819.9000000000015</v>
      </c>
      <c r="BJ40" s="90">
        <f t="shared" si="37"/>
        <v>5.8546257741018889E-3</v>
      </c>
      <c r="BK40" s="102">
        <f t="shared" si="38"/>
        <v>659.99003148800136</v>
      </c>
      <c r="BL40" s="102">
        <f t="shared" si="39"/>
        <v>3479.8900314880029</v>
      </c>
      <c r="BM40" s="94">
        <f t="shared" si="40"/>
        <v>2153.7999999999993</v>
      </c>
      <c r="BN40" s="90">
        <f t="shared" si="41"/>
        <v>5.5572996477753619E-3</v>
      </c>
      <c r="BO40" s="94">
        <f t="shared" si="42"/>
        <v>545.49158491744947</v>
      </c>
      <c r="BP40" s="94">
        <f t="shared" si="43"/>
        <v>2699.2915849174487</v>
      </c>
      <c r="BQ40" s="94">
        <f t="shared" si="44"/>
        <v>3602.7000000000007</v>
      </c>
      <c r="BR40" s="90">
        <f t="shared" si="45"/>
        <v>6.843813024528256E-3</v>
      </c>
      <c r="BS40" s="94">
        <f t="shared" si="46"/>
        <v>778.40797052990956</v>
      </c>
      <c r="BT40" s="94">
        <f t="shared" si="47"/>
        <v>4381.1079705299107</v>
      </c>
    </row>
    <row r="41" spans="1:72" ht="13.5" hidden="1">
      <c r="A41" s="16">
        <v>38</v>
      </c>
      <c r="B41" s="16" t="s">
        <v>49</v>
      </c>
      <c r="C41" s="17" t="s">
        <v>50</v>
      </c>
      <c r="D41" s="18" t="s">
        <v>121</v>
      </c>
      <c r="E41" s="20" t="s">
        <v>49</v>
      </c>
      <c r="F41" s="58" t="s">
        <v>130</v>
      </c>
      <c r="G41" s="57" t="s">
        <v>131</v>
      </c>
      <c r="H41" s="59">
        <v>610.5</v>
      </c>
      <c r="I41" s="59">
        <v>6649.5</v>
      </c>
      <c r="J41" s="59">
        <v>6902.8</v>
      </c>
      <c r="K41" s="59">
        <v>6039</v>
      </c>
      <c r="L41" s="59">
        <v>253.3</v>
      </c>
      <c r="M41" s="59">
        <v>6965.6</v>
      </c>
      <c r="N41" s="59">
        <v>7124.2</v>
      </c>
      <c r="O41" s="59">
        <v>7249.3</v>
      </c>
      <c r="P41" s="59">
        <v>7718.2</v>
      </c>
      <c r="Q41" s="59">
        <v>8064.8</v>
      </c>
      <c r="R41" s="59">
        <v>8508.4</v>
      </c>
      <c r="S41" s="59">
        <v>9002.5</v>
      </c>
      <c r="T41" s="75">
        <v>9332.4</v>
      </c>
      <c r="U41" s="65">
        <v>9832.7999999999993</v>
      </c>
      <c r="V41" s="65">
        <v>10625.6</v>
      </c>
      <c r="W41" s="76">
        <v>11284.1</v>
      </c>
      <c r="X41" s="76">
        <v>12291.1</v>
      </c>
      <c r="Y41" s="30">
        <f t="shared" si="0"/>
        <v>316.10000000000036</v>
      </c>
      <c r="Z41" s="31">
        <f t="shared" si="1"/>
        <v>7.1560510614692232E-4</v>
      </c>
      <c r="AA41" s="30">
        <f t="shared" si="2"/>
        <v>98.013518876162095</v>
      </c>
      <c r="AB41" s="30">
        <f t="shared" si="3"/>
        <v>414.11351887616246</v>
      </c>
      <c r="AC41" s="30">
        <f t="shared" si="4"/>
        <v>158.59999999999945</v>
      </c>
      <c r="AD41" s="31">
        <f t="shared" si="5"/>
        <v>4.4622455341883133E-4</v>
      </c>
      <c r="AE41" s="30">
        <f t="shared" si="6"/>
        <v>3.0969902772846045</v>
      </c>
      <c r="AF41" s="30">
        <f t="shared" si="7"/>
        <v>161.69699027728407</v>
      </c>
      <c r="AG41" s="30">
        <f t="shared" si="8"/>
        <v>125.10000000000036</v>
      </c>
      <c r="AH41" s="31">
        <f t="shared" si="9"/>
        <v>4.3117619661993091E-4</v>
      </c>
      <c r="AI41" s="30">
        <f t="shared" si="10"/>
        <v>40.569536498685835</v>
      </c>
      <c r="AJ41" s="30">
        <f t="shared" si="11"/>
        <v>165.6695364986862</v>
      </c>
      <c r="AK41" s="30">
        <f t="shared" si="12"/>
        <v>468.89999999999964</v>
      </c>
      <c r="AL41" s="31">
        <f t="shared" si="13"/>
        <v>1.140125925923765E-3</v>
      </c>
      <c r="AM41" s="30">
        <f t="shared" si="14"/>
        <v>47.230446161985107</v>
      </c>
      <c r="AN41" s="30">
        <f t="shared" si="15"/>
        <v>516.13044616198476</v>
      </c>
      <c r="AO41" s="30">
        <f t="shared" si="16"/>
        <v>346.60000000000036</v>
      </c>
      <c r="AP41" s="31">
        <f t="shared" si="17"/>
        <v>9.5701072481551501E-4</v>
      </c>
      <c r="AQ41" s="30">
        <f t="shared" si="18"/>
        <v>83.38204762743608</v>
      </c>
      <c r="AR41" s="30">
        <f t="shared" si="19"/>
        <v>429.98204762743643</v>
      </c>
      <c r="AS41" s="92">
        <f t="shared" si="20"/>
        <v>443.59999999999945</v>
      </c>
      <c r="AT41" s="93">
        <f t="shared" si="21"/>
        <v>9.3647841177652274E-4</v>
      </c>
      <c r="AU41" s="94">
        <f t="shared" si="22"/>
        <v>110.94786575282157</v>
      </c>
      <c r="AV41" s="94">
        <f t="shared" si="23"/>
        <v>554.54786575282105</v>
      </c>
      <c r="AW41" s="103">
        <f t="shared" si="24"/>
        <v>494.10000000000036</v>
      </c>
      <c r="AX41" s="93">
        <f t="shared" si="25"/>
        <v>1.065193576458037E-3</v>
      </c>
      <c r="AY41" s="103">
        <f t="shared" si="26"/>
        <v>110.07140540553952</v>
      </c>
      <c r="AZ41" s="103">
        <f t="shared" si="27"/>
        <v>604.17140540553987</v>
      </c>
      <c r="BA41" s="103">
        <f t="shared" si="28"/>
        <v>329.89999999999964</v>
      </c>
      <c r="BB41" s="90">
        <f t="shared" si="30"/>
        <v>9.3915026515266451E-4</v>
      </c>
      <c r="BC41" s="103">
        <f t="shared" si="31"/>
        <v>81.180158311298925</v>
      </c>
      <c r="BD41" s="103">
        <f t="shared" si="29"/>
        <v>411.08015831129853</v>
      </c>
      <c r="BE41" s="103">
        <f t="shared" si="32"/>
        <v>500.39999999999964</v>
      </c>
      <c r="BF41" s="93">
        <f t="shared" si="33"/>
        <v>1.2979268368187181E-3</v>
      </c>
      <c r="BG41" s="103">
        <f t="shared" si="34"/>
        <v>100.85681959525058</v>
      </c>
      <c r="BH41" s="103">
        <f t="shared" si="35"/>
        <v>601.25681959525025</v>
      </c>
      <c r="BI41" s="103">
        <f t="shared" si="36"/>
        <v>792.80000000000109</v>
      </c>
      <c r="BJ41" s="90">
        <f t="shared" si="37"/>
        <v>1.6459971324188733E-3</v>
      </c>
      <c r="BK41" s="102">
        <f t="shared" si="38"/>
        <v>185.55271355852616</v>
      </c>
      <c r="BL41" s="102">
        <f t="shared" si="39"/>
        <v>978.35271355852728</v>
      </c>
      <c r="BM41" s="94">
        <f t="shared" si="40"/>
        <v>658.5</v>
      </c>
      <c r="BN41" s="90">
        <f t="shared" si="41"/>
        <v>1.6990815387037223E-3</v>
      </c>
      <c r="BO41" s="94">
        <f t="shared" si="42"/>
        <v>166.77788497917197</v>
      </c>
      <c r="BP41" s="94">
        <f t="shared" si="43"/>
        <v>825.27788497917197</v>
      </c>
      <c r="BQ41" s="94">
        <f t="shared" si="44"/>
        <v>1007</v>
      </c>
      <c r="BR41" s="90">
        <f t="shared" si="45"/>
        <v>1.9129318887778479E-3</v>
      </c>
      <c r="BS41" s="94">
        <f t="shared" si="46"/>
        <v>217.57482619247196</v>
      </c>
      <c r="BT41" s="94">
        <f t="shared" si="47"/>
        <v>1224.5748261924718</v>
      </c>
    </row>
    <row r="42" spans="1:72" ht="13.5" hidden="1">
      <c r="A42" s="11">
        <v>39</v>
      </c>
      <c r="B42" s="16" t="s">
        <v>49</v>
      </c>
      <c r="C42" s="17" t="s">
        <v>50</v>
      </c>
      <c r="D42" s="18" t="s">
        <v>121</v>
      </c>
      <c r="E42" s="20" t="s">
        <v>49</v>
      </c>
      <c r="F42" s="58" t="s">
        <v>132</v>
      </c>
      <c r="G42" s="57" t="s">
        <v>133</v>
      </c>
      <c r="H42" s="59">
        <v>216.6</v>
      </c>
      <c r="I42" s="59">
        <v>8296.6</v>
      </c>
      <c r="J42" s="59">
        <v>8863.6</v>
      </c>
      <c r="K42" s="59">
        <v>8080</v>
      </c>
      <c r="L42" s="59">
        <v>567</v>
      </c>
      <c r="M42" s="59">
        <v>9017.9</v>
      </c>
      <c r="N42" s="59">
        <v>9460.1</v>
      </c>
      <c r="O42" s="59">
        <v>9582.7000000000007</v>
      </c>
      <c r="P42" s="59">
        <v>9870.7000000000007</v>
      </c>
      <c r="Q42" s="59">
        <v>10097.9</v>
      </c>
      <c r="R42" s="59">
        <v>10288.200000000001</v>
      </c>
      <c r="S42" s="59">
        <v>10578.9</v>
      </c>
      <c r="T42" s="75">
        <v>10666.2</v>
      </c>
      <c r="U42" s="65">
        <v>10897.8</v>
      </c>
      <c r="V42" s="65">
        <v>11419.6</v>
      </c>
      <c r="W42" s="76">
        <v>11693</v>
      </c>
      <c r="X42" s="76">
        <v>12209.8</v>
      </c>
      <c r="Y42" s="30">
        <f t="shared" si="0"/>
        <v>721.29999999999927</v>
      </c>
      <c r="Z42" s="31">
        <f t="shared" si="1"/>
        <v>1.6329198451875164E-3</v>
      </c>
      <c r="AA42" s="30">
        <f t="shared" si="2"/>
        <v>223.65438521156457</v>
      </c>
      <c r="AB42" s="30">
        <f t="shared" si="3"/>
        <v>944.95438521156382</v>
      </c>
      <c r="AC42" s="30">
        <f t="shared" si="4"/>
        <v>442.20000000000073</v>
      </c>
      <c r="AD42" s="31">
        <f t="shared" si="5"/>
        <v>1.244139328636874E-3</v>
      </c>
      <c r="AE42" s="30">
        <f t="shared" si="6"/>
        <v>8.6348619206510655</v>
      </c>
      <c r="AF42" s="30">
        <f t="shared" si="7"/>
        <v>450.8348619206518</v>
      </c>
      <c r="AG42" s="30">
        <f t="shared" si="8"/>
        <v>122.60000000000036</v>
      </c>
      <c r="AH42" s="31">
        <f t="shared" si="9"/>
        <v>4.2255956599203463E-4</v>
      </c>
      <c r="AI42" s="30">
        <f t="shared" si="10"/>
        <v>39.758794362421135</v>
      </c>
      <c r="AJ42" s="30">
        <f t="shared" si="11"/>
        <v>162.35879436242149</v>
      </c>
      <c r="AK42" s="30">
        <f t="shared" si="12"/>
        <v>288</v>
      </c>
      <c r="AL42" s="31">
        <f t="shared" si="13"/>
        <v>7.0026928271709236E-4</v>
      </c>
      <c r="AM42" s="30">
        <f t="shared" si="14"/>
        <v>29.009103208896825</v>
      </c>
      <c r="AN42" s="30">
        <f t="shared" si="15"/>
        <v>317.00910320889682</v>
      </c>
      <c r="AO42" s="30">
        <f t="shared" si="16"/>
        <v>227.19999999999891</v>
      </c>
      <c r="AP42" s="31">
        <f t="shared" si="17"/>
        <v>6.2733074633030501E-4</v>
      </c>
      <c r="AQ42" s="30">
        <f t="shared" si="18"/>
        <v>54.657822333968156</v>
      </c>
      <c r="AR42" s="30">
        <f t="shared" si="19"/>
        <v>281.85782233396708</v>
      </c>
      <c r="AS42" s="92">
        <f t="shared" si="20"/>
        <v>190.30000000000109</v>
      </c>
      <c r="AT42" s="93">
        <f t="shared" si="21"/>
        <v>4.0173994986716303E-4</v>
      </c>
      <c r="AU42" s="94">
        <f t="shared" si="22"/>
        <v>47.595533933187767</v>
      </c>
      <c r="AV42" s="94">
        <f t="shared" si="23"/>
        <v>237.89553393318886</v>
      </c>
      <c r="AW42" s="103">
        <f t="shared" si="24"/>
        <v>290.69999999999891</v>
      </c>
      <c r="AX42" s="93">
        <f t="shared" si="25"/>
        <v>6.2669858869935236E-4</v>
      </c>
      <c r="AY42" s="103">
        <f t="shared" si="26"/>
        <v>64.759679318741547</v>
      </c>
      <c r="AZ42" s="103">
        <f t="shared" si="27"/>
        <v>355.45967931874043</v>
      </c>
      <c r="BA42" s="103">
        <f t="shared" si="28"/>
        <v>87.300000000001091</v>
      </c>
      <c r="BB42" s="90">
        <f t="shared" si="30"/>
        <v>2.4852324385519472E-4</v>
      </c>
      <c r="BC42" s="103">
        <f t="shared" si="31"/>
        <v>21.482351684075457</v>
      </c>
      <c r="BD42" s="103">
        <f t="shared" si="29"/>
        <v>108.78235168407654</v>
      </c>
      <c r="BE42" s="103">
        <f t="shared" si="32"/>
        <v>231.59999999999854</v>
      </c>
      <c r="BF42" s="93">
        <f t="shared" si="33"/>
        <v>6.0071913550602198E-4</v>
      </c>
      <c r="BG42" s="103">
        <f t="shared" si="34"/>
        <v>46.679535208353123</v>
      </c>
      <c r="BH42" s="103">
        <f t="shared" si="35"/>
        <v>278.27953520835166</v>
      </c>
      <c r="BI42" s="103">
        <f t="shared" si="36"/>
        <v>521.80000000000109</v>
      </c>
      <c r="BJ42" s="90">
        <f t="shared" si="37"/>
        <v>1.0833517957822513E-3</v>
      </c>
      <c r="BK42" s="102">
        <f t="shared" si="38"/>
        <v>122.12589043244076</v>
      </c>
      <c r="BL42" s="102">
        <f t="shared" si="39"/>
        <v>643.92589043244186</v>
      </c>
      <c r="BM42" s="94">
        <f t="shared" si="40"/>
        <v>273.39999999999964</v>
      </c>
      <c r="BN42" s="90">
        <f t="shared" si="41"/>
        <v>7.0543491675261513E-4</v>
      </c>
      <c r="BO42" s="94">
        <f t="shared" si="42"/>
        <v>69.243847765080574</v>
      </c>
      <c r="BP42" s="94">
        <f t="shared" si="43"/>
        <v>342.64384776508018</v>
      </c>
      <c r="BQ42" s="94">
        <f t="shared" si="44"/>
        <v>516.79999999999927</v>
      </c>
      <c r="BR42" s="90">
        <f t="shared" si="45"/>
        <v>9.8173108254259213E-4</v>
      </c>
      <c r="BS42" s="94">
        <f t="shared" si="46"/>
        <v>111.66104287613639</v>
      </c>
      <c r="BT42" s="94">
        <f t="shared" si="47"/>
        <v>628.46104287613571</v>
      </c>
    </row>
    <row r="43" spans="1:72" ht="13.5" hidden="1">
      <c r="A43" s="16">
        <v>40</v>
      </c>
      <c r="B43" s="16" t="s">
        <v>49</v>
      </c>
      <c r="C43" s="17" t="s">
        <v>50</v>
      </c>
      <c r="D43" s="18" t="s">
        <v>121</v>
      </c>
      <c r="E43" s="20" t="s">
        <v>49</v>
      </c>
      <c r="F43" s="58" t="s">
        <v>134</v>
      </c>
      <c r="G43" s="57" t="s">
        <v>135</v>
      </c>
      <c r="H43" s="59" t="s">
        <v>127</v>
      </c>
      <c r="I43" s="59">
        <v>20577.599999999999</v>
      </c>
      <c r="J43" s="59">
        <v>21866.1</v>
      </c>
      <c r="K43" s="59">
        <v>20577.599999999999</v>
      </c>
      <c r="L43" s="59">
        <v>1288.5</v>
      </c>
      <c r="M43" s="59">
        <v>22254.9</v>
      </c>
      <c r="N43" s="59">
        <v>23514.6</v>
      </c>
      <c r="O43" s="59">
        <v>24469.5</v>
      </c>
      <c r="P43" s="59">
        <v>25323.5</v>
      </c>
      <c r="Q43" s="59">
        <v>26004.400000000001</v>
      </c>
      <c r="R43" s="59">
        <v>26973.9</v>
      </c>
      <c r="S43" s="59">
        <v>28054.1</v>
      </c>
      <c r="T43" s="75">
        <v>28822.5</v>
      </c>
      <c r="U43" s="65">
        <v>29975.8</v>
      </c>
      <c r="V43" s="65">
        <v>31720.1</v>
      </c>
      <c r="W43" s="76">
        <v>33140.300000000003</v>
      </c>
      <c r="X43" s="76">
        <v>35121.800000000003</v>
      </c>
      <c r="Y43" s="30">
        <f t="shared" si="0"/>
        <v>1677.3000000000029</v>
      </c>
      <c r="Z43" s="31">
        <f t="shared" si="1"/>
        <v>3.7971668602981125E-3</v>
      </c>
      <c r="AA43" s="30">
        <f t="shared" si="2"/>
        <v>520.08249038591191</v>
      </c>
      <c r="AB43" s="30">
        <f t="shared" si="3"/>
        <v>2197.3824903859149</v>
      </c>
      <c r="AC43" s="30">
        <f t="shared" si="4"/>
        <v>1259.6999999999971</v>
      </c>
      <c r="AD43" s="31">
        <f t="shared" si="5"/>
        <v>3.5441933792036725E-3</v>
      </c>
      <c r="AE43" s="30">
        <f t="shared" si="6"/>
        <v>24.598226054826107</v>
      </c>
      <c r="AF43" s="30">
        <f t="shared" si="7"/>
        <v>1284.2982260548231</v>
      </c>
      <c r="AG43" s="30">
        <f t="shared" si="8"/>
        <v>954.90000000000146</v>
      </c>
      <c r="AH43" s="31">
        <f t="shared" si="9"/>
        <v>3.291208234631267E-3</v>
      </c>
      <c r="AI43" s="30">
        <f t="shared" si="10"/>
        <v>309.6710663676663</v>
      </c>
      <c r="AJ43" s="30">
        <f t="shared" si="11"/>
        <v>1264.5710663676678</v>
      </c>
      <c r="AK43" s="30">
        <f t="shared" si="12"/>
        <v>854</v>
      </c>
      <c r="AL43" s="31">
        <f t="shared" si="13"/>
        <v>2.0764929425013778E-3</v>
      </c>
      <c r="AM43" s="30">
        <f t="shared" si="14"/>
        <v>86.020049098603778</v>
      </c>
      <c r="AN43" s="30">
        <f t="shared" si="15"/>
        <v>940.02004909860375</v>
      </c>
      <c r="AO43" s="30">
        <f t="shared" si="16"/>
        <v>680.90000000000146</v>
      </c>
      <c r="AP43" s="31">
        <f t="shared" si="17"/>
        <v>1.8800594417971289E-3</v>
      </c>
      <c r="AQ43" s="30">
        <f t="shared" si="18"/>
        <v>163.80506702112316</v>
      </c>
      <c r="AR43" s="30">
        <f t="shared" si="19"/>
        <v>844.70506702112459</v>
      </c>
      <c r="AS43" s="92">
        <f t="shared" si="20"/>
        <v>969.5</v>
      </c>
      <c r="AT43" s="93">
        <f t="shared" si="21"/>
        <v>2.0466993242050043E-3</v>
      </c>
      <c r="AU43" s="94">
        <f t="shared" si="22"/>
        <v>242.47961191920797</v>
      </c>
      <c r="AV43" s="94">
        <f t="shared" si="23"/>
        <v>1211.9796119192079</v>
      </c>
      <c r="AW43" s="103">
        <f t="shared" si="24"/>
        <v>1080.1999999999971</v>
      </c>
      <c r="AX43" s="93">
        <f t="shared" si="25"/>
        <v>2.328723135579777E-3</v>
      </c>
      <c r="AY43" s="103">
        <f t="shared" si="26"/>
        <v>240.63779016203887</v>
      </c>
      <c r="AZ43" s="103">
        <f t="shared" si="27"/>
        <v>1320.8377901620361</v>
      </c>
      <c r="BA43" s="103">
        <f t="shared" si="28"/>
        <v>768.40000000000146</v>
      </c>
      <c r="BB43" s="90">
        <f t="shared" si="30"/>
        <v>2.1874600295341304E-3</v>
      </c>
      <c r="BC43" s="103">
        <f t="shared" si="31"/>
        <v>189.08406682753042</v>
      </c>
      <c r="BD43" s="103">
        <f t="shared" si="29"/>
        <v>957.48406682753193</v>
      </c>
      <c r="BE43" s="103">
        <f t="shared" si="32"/>
        <v>1153.2999999999993</v>
      </c>
      <c r="BF43" s="93">
        <f t="shared" si="33"/>
        <v>2.9914049178717578E-3</v>
      </c>
      <c r="BG43" s="103">
        <f t="shared" si="34"/>
        <v>232.45037977458531</v>
      </c>
      <c r="BH43" s="103">
        <f t="shared" si="35"/>
        <v>1385.7503797745846</v>
      </c>
      <c r="BI43" s="103">
        <f t="shared" si="36"/>
        <v>1744.2999999999993</v>
      </c>
      <c r="BJ43" s="90">
        <f t="shared" si="37"/>
        <v>3.6214843568090765E-3</v>
      </c>
      <c r="BK43" s="102">
        <f t="shared" si="38"/>
        <v>408.24873645325005</v>
      </c>
      <c r="BL43" s="102">
        <f t="shared" si="39"/>
        <v>2152.5487364532491</v>
      </c>
      <c r="BM43" s="94">
        <f t="shared" si="40"/>
        <v>1420.2000000000044</v>
      </c>
      <c r="BN43" s="90">
        <f t="shared" si="41"/>
        <v>3.6644428265254878E-3</v>
      </c>
      <c r="BO43" s="94">
        <f t="shared" si="42"/>
        <v>359.6931696999556</v>
      </c>
      <c r="BP43" s="94">
        <f t="shared" si="43"/>
        <v>1779.89316969996</v>
      </c>
      <c r="BQ43" s="94">
        <f t="shared" si="44"/>
        <v>1981.5</v>
      </c>
      <c r="BR43" s="90">
        <f t="shared" si="45"/>
        <v>3.7641256580072547E-3</v>
      </c>
      <c r="BS43" s="94">
        <f t="shared" si="46"/>
        <v>428.12762472729213</v>
      </c>
      <c r="BT43" s="94">
        <f t="shared" si="47"/>
        <v>2409.6276247272922</v>
      </c>
    </row>
    <row r="44" spans="1:72" ht="13.5" hidden="1">
      <c r="A44" s="11">
        <v>41</v>
      </c>
      <c r="B44" s="16" t="s">
        <v>49</v>
      </c>
      <c r="C44" s="17" t="s">
        <v>50</v>
      </c>
      <c r="D44" s="18" t="s">
        <v>121</v>
      </c>
      <c r="E44" s="20" t="s">
        <v>49</v>
      </c>
      <c r="F44" s="58" t="s">
        <v>136</v>
      </c>
      <c r="G44" s="58" t="s">
        <v>137</v>
      </c>
      <c r="H44" s="59">
        <v>442.4</v>
      </c>
      <c r="I44" s="59">
        <v>498.1</v>
      </c>
      <c r="J44" s="59">
        <v>532.6</v>
      </c>
      <c r="K44" s="59">
        <v>55.7</v>
      </c>
      <c r="L44" s="59">
        <v>34.5</v>
      </c>
      <c r="M44" s="59">
        <v>544.20000000000005</v>
      </c>
      <c r="N44" s="59">
        <v>605.6</v>
      </c>
      <c r="O44" s="59">
        <v>652</v>
      </c>
      <c r="P44" s="59">
        <v>711.3</v>
      </c>
      <c r="Q44" s="59">
        <v>759.7</v>
      </c>
      <c r="R44" s="59">
        <v>818.8</v>
      </c>
      <c r="S44" s="59">
        <v>873.8</v>
      </c>
      <c r="T44" s="75">
        <v>926.7</v>
      </c>
      <c r="U44" s="65">
        <v>986.2</v>
      </c>
      <c r="V44" s="65">
        <v>1044.0999999999999</v>
      </c>
      <c r="W44" s="76">
        <v>1096.7</v>
      </c>
      <c r="X44" s="76">
        <v>1157.5999999999999</v>
      </c>
      <c r="Y44" s="30">
        <f t="shared" si="0"/>
        <v>46.100000000000023</v>
      </c>
      <c r="Z44" s="31">
        <f t="shared" si="1"/>
        <v>1.0436379434790603E-4</v>
      </c>
      <c r="AA44" s="30">
        <f t="shared" si="2"/>
        <v>14.294284151189716</v>
      </c>
      <c r="AB44" s="30">
        <f t="shared" si="3"/>
        <v>60.394284151189737</v>
      </c>
      <c r="AC44" s="30">
        <f t="shared" si="4"/>
        <v>61.399999999999977</v>
      </c>
      <c r="AD44" s="31">
        <f t="shared" si="5"/>
        <v>1.7275023694777002E-4</v>
      </c>
      <c r="AE44" s="30">
        <f t="shared" si="6"/>
        <v>1.1989609270193902</v>
      </c>
      <c r="AF44" s="30">
        <f t="shared" si="7"/>
        <v>62.59896092701937</v>
      </c>
      <c r="AG44" s="30">
        <f t="shared" si="8"/>
        <v>46.399999999999977</v>
      </c>
      <c r="AH44" s="31">
        <f t="shared" si="9"/>
        <v>1.599246644537548E-4</v>
      </c>
      <c r="AI44" s="30">
        <f t="shared" si="10"/>
        <v>15.047374049072873</v>
      </c>
      <c r="AJ44" s="30">
        <f t="shared" si="11"/>
        <v>61.447374049072849</v>
      </c>
      <c r="AK44" s="30">
        <f t="shared" si="12"/>
        <v>59.299999999999955</v>
      </c>
      <c r="AL44" s="31">
        <f t="shared" si="13"/>
        <v>1.4418739050390118E-4</v>
      </c>
      <c r="AM44" s="30">
        <f t="shared" si="14"/>
        <v>5.9730549315540982</v>
      </c>
      <c r="AN44" s="30">
        <f t="shared" si="15"/>
        <v>65.273054931554057</v>
      </c>
      <c r="AO44" s="30">
        <f t="shared" si="16"/>
        <v>48.400000000000091</v>
      </c>
      <c r="AP44" s="31">
        <f t="shared" si="17"/>
        <v>1.3363912025698488E-4</v>
      </c>
      <c r="AQ44" s="30">
        <f t="shared" si="18"/>
        <v>11.64365581410245</v>
      </c>
      <c r="AR44" s="30">
        <f t="shared" si="19"/>
        <v>60.043655814102543</v>
      </c>
      <c r="AS44" s="92">
        <f t="shared" si="20"/>
        <v>59.099999999999909</v>
      </c>
      <c r="AT44" s="93">
        <f t="shared" si="21"/>
        <v>1.2476527082054211E-4</v>
      </c>
      <c r="AU44" s="94">
        <f t="shared" si="22"/>
        <v>14.781377064904765</v>
      </c>
      <c r="AV44" s="94">
        <f t="shared" si="23"/>
        <v>73.881377064904669</v>
      </c>
      <c r="AW44" s="103">
        <f t="shared" si="24"/>
        <v>55</v>
      </c>
      <c r="AX44" s="93">
        <f t="shared" si="25"/>
        <v>1.1857042441852256E-4</v>
      </c>
      <c r="AY44" s="103">
        <f t="shared" si="26"/>
        <v>12.252433307639485</v>
      </c>
      <c r="AZ44" s="103">
        <f t="shared" si="27"/>
        <v>67.252433307639478</v>
      </c>
      <c r="BA44" s="103">
        <f t="shared" si="28"/>
        <v>52.900000000000091</v>
      </c>
      <c r="BB44" s="90">
        <f t="shared" si="30"/>
        <v>1.5059426804054591E-4</v>
      </c>
      <c r="BC44" s="103">
        <f t="shared" si="31"/>
        <v>13.017370035367462</v>
      </c>
      <c r="BD44" s="103">
        <f t="shared" si="29"/>
        <v>65.917370035367554</v>
      </c>
      <c r="BE44" s="103">
        <f t="shared" si="32"/>
        <v>59.5</v>
      </c>
      <c r="BF44" s="93">
        <f t="shared" si="33"/>
        <v>1.5432982971765342E-4</v>
      </c>
      <c r="BG44" s="103">
        <f t="shared" si="34"/>
        <v>11.992367637724646</v>
      </c>
      <c r="BH44" s="103">
        <f t="shared" si="35"/>
        <v>71.492367637724641</v>
      </c>
      <c r="BI44" s="103">
        <f t="shared" si="36"/>
        <v>57.899999999999864</v>
      </c>
      <c r="BJ44" s="90">
        <f t="shared" si="37"/>
        <v>1.2021094092715996E-4</v>
      </c>
      <c r="BK44" s="102">
        <f t="shared" si="38"/>
        <v>13.551339701108255</v>
      </c>
      <c r="BL44" s="102">
        <f t="shared" si="39"/>
        <v>71.451339701108111</v>
      </c>
      <c r="BM44" s="94">
        <f t="shared" si="40"/>
        <v>52.600000000000136</v>
      </c>
      <c r="BN44" s="90">
        <f t="shared" si="41"/>
        <v>1.357201046861291E-4</v>
      </c>
      <c r="BO44" s="94">
        <f t="shared" si="42"/>
        <v>13.321969248146496</v>
      </c>
      <c r="BP44" s="94">
        <f t="shared" si="43"/>
        <v>65.921969248146638</v>
      </c>
      <c r="BQ44" s="94">
        <f t="shared" si="44"/>
        <v>60.899999999999864</v>
      </c>
      <c r="BR44" s="90">
        <f t="shared" si="45"/>
        <v>1.156877378615399E-4</v>
      </c>
      <c r="BS44" s="94">
        <f t="shared" si="46"/>
        <v>13.158199518492069</v>
      </c>
      <c r="BT44" s="94">
        <f t="shared" si="47"/>
        <v>74.058199518491932</v>
      </c>
    </row>
    <row r="45" spans="1:72" ht="13.5" hidden="1">
      <c r="A45" s="16">
        <v>42</v>
      </c>
      <c r="B45" s="16" t="s">
        <v>49</v>
      </c>
      <c r="C45" s="17" t="s">
        <v>50</v>
      </c>
      <c r="D45" s="119" t="s">
        <v>138</v>
      </c>
      <c r="E45" s="20" t="s">
        <v>49</v>
      </c>
      <c r="F45" s="58" t="s">
        <v>139</v>
      </c>
      <c r="G45" s="58" t="s">
        <v>140</v>
      </c>
      <c r="H45" s="59">
        <v>79.5</v>
      </c>
      <c r="I45" s="59">
        <v>474.8</v>
      </c>
      <c r="J45" s="59">
        <v>496.1</v>
      </c>
      <c r="K45" s="59">
        <v>395.3</v>
      </c>
      <c r="L45" s="59">
        <v>21.3</v>
      </c>
      <c r="M45" s="59">
        <v>503.2</v>
      </c>
      <c r="N45" s="59">
        <v>553.1</v>
      </c>
      <c r="O45" s="59">
        <v>590.9</v>
      </c>
      <c r="P45" s="59">
        <v>638.5</v>
      </c>
      <c r="Q45" s="59">
        <v>678.9</v>
      </c>
      <c r="R45" s="59">
        <v>725</v>
      </c>
      <c r="S45" s="59">
        <v>768.6</v>
      </c>
      <c r="T45" s="75">
        <v>809.9</v>
      </c>
      <c r="U45" s="65">
        <v>854.5</v>
      </c>
      <c r="V45" s="65">
        <v>899.6</v>
      </c>
      <c r="W45" s="76">
        <v>940.3</v>
      </c>
      <c r="X45" s="76">
        <v>988.3</v>
      </c>
      <c r="Y45" s="30">
        <f t="shared" si="0"/>
        <v>28.399999999999977</v>
      </c>
      <c r="Z45" s="31">
        <f t="shared" si="1"/>
        <v>6.4293530574414904E-5</v>
      </c>
      <c r="AA45" s="30">
        <f t="shared" si="2"/>
        <v>8.8060232081081864</v>
      </c>
      <c r="AB45" s="30">
        <f t="shared" si="3"/>
        <v>37.206023208108164</v>
      </c>
      <c r="AC45" s="30">
        <f t="shared" si="4"/>
        <v>49.900000000000034</v>
      </c>
      <c r="AD45" s="31">
        <f t="shared" si="5"/>
        <v>1.4039473654224322E-4</v>
      </c>
      <c r="AE45" s="30">
        <f t="shared" si="6"/>
        <v>0.97439984133986379</v>
      </c>
      <c r="AF45" s="30">
        <f t="shared" si="7"/>
        <v>50.874399841339901</v>
      </c>
      <c r="AG45" s="30">
        <f t="shared" si="8"/>
        <v>37.799999999999955</v>
      </c>
      <c r="AH45" s="31">
        <f t="shared" si="9"/>
        <v>1.3028345509379154E-4</v>
      </c>
      <c r="AI45" s="30">
        <f t="shared" si="10"/>
        <v>12.258421100322288</v>
      </c>
      <c r="AJ45" s="30">
        <f t="shared" si="11"/>
        <v>50.058421100322242</v>
      </c>
      <c r="AK45" s="30">
        <f t="shared" si="12"/>
        <v>47.600000000000023</v>
      </c>
      <c r="AL45" s="31">
        <f t="shared" si="13"/>
        <v>1.1573895089351948E-4</v>
      </c>
      <c r="AM45" s="30">
        <f t="shared" si="14"/>
        <v>4.7945601136926719</v>
      </c>
      <c r="AN45" s="30">
        <f t="shared" si="15"/>
        <v>52.394560113692691</v>
      </c>
      <c r="AO45" s="30">
        <f t="shared" si="16"/>
        <v>40.399999999999977</v>
      </c>
      <c r="AP45" s="31">
        <f t="shared" si="17"/>
        <v>1.1155000947070612E-4</v>
      </c>
      <c r="AQ45" s="30">
        <f t="shared" si="18"/>
        <v>9.7190846051598729</v>
      </c>
      <c r="AR45" s="30">
        <f t="shared" si="19"/>
        <v>50.119084605159848</v>
      </c>
      <c r="AS45" s="92">
        <f t="shared" si="20"/>
        <v>46.100000000000023</v>
      </c>
      <c r="AT45" s="93">
        <f t="shared" si="21"/>
        <v>9.7321133415008505E-5</v>
      </c>
      <c r="AU45" s="94">
        <f t="shared" si="22"/>
        <v>11.529974326431658</v>
      </c>
      <c r="AV45" s="94">
        <f t="shared" si="23"/>
        <v>57.629974326431679</v>
      </c>
      <c r="AW45" s="103">
        <f t="shared" si="24"/>
        <v>43.600000000000023</v>
      </c>
      <c r="AX45" s="93">
        <f t="shared" si="25"/>
        <v>9.3994009175410657E-5</v>
      </c>
      <c r="AY45" s="103">
        <f t="shared" si="26"/>
        <v>9.7128380402378518</v>
      </c>
      <c r="AZ45" s="103">
        <f t="shared" si="27"/>
        <v>53.312838040237878</v>
      </c>
      <c r="BA45" s="103">
        <f t="shared" si="28"/>
        <v>41.299999999999955</v>
      </c>
      <c r="BB45" s="90">
        <f t="shared" si="30"/>
        <v>1.1757170642863003E-4</v>
      </c>
      <c r="BC45" s="103">
        <f t="shared" si="31"/>
        <v>10.162899479407839</v>
      </c>
      <c r="BD45" s="103">
        <f t="shared" si="29"/>
        <v>51.462899479407795</v>
      </c>
      <c r="BE45" s="103">
        <f t="shared" si="32"/>
        <v>44.600000000000023</v>
      </c>
      <c r="BF45" s="93">
        <f t="shared" si="33"/>
        <v>1.1568252782197221E-4</v>
      </c>
      <c r="BG45" s="103">
        <f t="shared" si="34"/>
        <v>8.9892369183616729</v>
      </c>
      <c r="BH45" s="103">
        <f t="shared" si="35"/>
        <v>53.589236918361692</v>
      </c>
      <c r="BI45" s="103">
        <f t="shared" si="36"/>
        <v>45.100000000000023</v>
      </c>
      <c r="BJ45" s="90">
        <f t="shared" si="37"/>
        <v>9.3635810635836432E-5</v>
      </c>
      <c r="BK45" s="102">
        <f t="shared" si="38"/>
        <v>10.555534033160345</v>
      </c>
      <c r="BL45" s="102">
        <f t="shared" si="39"/>
        <v>55.655534033160365</v>
      </c>
      <c r="BM45" s="94">
        <f t="shared" si="40"/>
        <v>40.699999999999932</v>
      </c>
      <c r="BN45" s="90">
        <f t="shared" si="41"/>
        <v>1.0501536617348729E-4</v>
      </c>
      <c r="BO45" s="94">
        <f t="shared" si="42"/>
        <v>10.308063657786315</v>
      </c>
      <c r="BP45" s="94">
        <f t="shared" si="43"/>
        <v>51.008063657786245</v>
      </c>
      <c r="BQ45" s="94">
        <f t="shared" si="44"/>
        <v>48</v>
      </c>
      <c r="BR45" s="90">
        <f t="shared" si="45"/>
        <v>9.1182453486928194E-5</v>
      </c>
      <c r="BS45" s="94">
        <f t="shared" si="46"/>
        <v>10.370994694378007</v>
      </c>
      <c r="BT45" s="94">
        <f t="shared" si="47"/>
        <v>58.370994694378005</v>
      </c>
    </row>
    <row r="46" spans="1:72" ht="13.5" hidden="1">
      <c r="A46" s="11">
        <v>43</v>
      </c>
      <c r="B46" s="16" t="s">
        <v>39</v>
      </c>
      <c r="C46" s="17" t="s">
        <v>40</v>
      </c>
      <c r="D46" s="18" t="s">
        <v>121</v>
      </c>
      <c r="E46" s="18" t="s">
        <v>124</v>
      </c>
      <c r="F46" s="60" t="s">
        <v>141</v>
      </c>
      <c r="G46" s="55" t="s">
        <v>142</v>
      </c>
      <c r="H46" s="59" t="s">
        <v>127</v>
      </c>
      <c r="I46" s="59">
        <v>290.89999999999998</v>
      </c>
      <c r="J46" s="59">
        <v>599</v>
      </c>
      <c r="K46" s="59">
        <v>290.89999999999998</v>
      </c>
      <c r="L46" s="59">
        <v>308.10000000000002</v>
      </c>
      <c r="M46" s="59">
        <v>704.7</v>
      </c>
      <c r="N46" s="59">
        <v>782.8</v>
      </c>
      <c r="O46" s="59">
        <v>810.4</v>
      </c>
      <c r="P46" s="59">
        <v>973.3</v>
      </c>
      <c r="Q46" s="59">
        <v>1056.7</v>
      </c>
      <c r="R46" s="59">
        <v>1430.4</v>
      </c>
      <c r="S46" s="59">
        <v>1800.7</v>
      </c>
      <c r="T46" s="75">
        <v>1940.9</v>
      </c>
      <c r="U46" s="65">
        <v>2094.9</v>
      </c>
      <c r="V46" s="65">
        <v>2495.3000000000002</v>
      </c>
      <c r="W46" s="76">
        <v>2751.1</v>
      </c>
      <c r="X46" s="76">
        <v>3143.4</v>
      </c>
      <c r="Y46" s="30">
        <f t="shared" si="0"/>
        <v>413.80000000000007</v>
      </c>
      <c r="Z46" s="31">
        <f t="shared" si="1"/>
        <v>9.3678390674975054E-4</v>
      </c>
      <c r="AA46" s="30">
        <f t="shared" si="2"/>
        <v>128.30747899701308</v>
      </c>
      <c r="AB46" s="30">
        <f t="shared" si="3"/>
        <v>542.10747899701312</v>
      </c>
      <c r="AC46" s="30">
        <f t="shared" si="4"/>
        <v>78.099999999999909</v>
      </c>
      <c r="AD46" s="31">
        <f t="shared" si="5"/>
        <v>2.1973605058014378E-4</v>
      </c>
      <c r="AE46" s="30">
        <f t="shared" si="6"/>
        <v>1.5250626775279201</v>
      </c>
      <c r="AF46" s="30">
        <f t="shared" si="7"/>
        <v>79.625062677527836</v>
      </c>
      <c r="AG46" s="30">
        <f t="shared" si="8"/>
        <v>27.600000000000023</v>
      </c>
      <c r="AH46" s="31">
        <f t="shared" si="9"/>
        <v>9.5127602131974976E-5</v>
      </c>
      <c r="AI46" s="30">
        <f t="shared" si="10"/>
        <v>8.9505931843623259</v>
      </c>
      <c r="AJ46" s="30">
        <f t="shared" si="11"/>
        <v>36.550593184362349</v>
      </c>
      <c r="AK46" s="30">
        <f t="shared" si="12"/>
        <v>162.89999999999998</v>
      </c>
      <c r="AL46" s="31">
        <f t="shared" si="13"/>
        <v>3.9608981303685531E-4</v>
      </c>
      <c r="AM46" s="30">
        <f t="shared" si="14"/>
        <v>16.408274002532266</v>
      </c>
      <c r="AN46" s="30">
        <f t="shared" si="15"/>
        <v>179.30827400253224</v>
      </c>
      <c r="AO46" s="30">
        <f t="shared" si="16"/>
        <v>83.400000000000091</v>
      </c>
      <c r="AP46" s="31">
        <f t="shared" si="17"/>
        <v>2.3027897994695311E-4</v>
      </c>
      <c r="AQ46" s="30">
        <f t="shared" si="18"/>
        <v>20.063654853226108</v>
      </c>
      <c r="AR46" s="30">
        <f t="shared" si="19"/>
        <v>103.4636548532262</v>
      </c>
      <c r="AS46" s="92">
        <f t="shared" si="20"/>
        <v>373.70000000000005</v>
      </c>
      <c r="AT46" s="93">
        <f t="shared" si="21"/>
        <v>7.8891339603446122E-4</v>
      </c>
      <c r="AU46" s="94">
        <f t="shared" si="22"/>
        <v>93.465323335954636</v>
      </c>
      <c r="AV46" s="94">
        <f t="shared" si="23"/>
        <v>467.16532333595467</v>
      </c>
      <c r="AW46" s="103">
        <f t="shared" si="24"/>
        <v>370.29999999999995</v>
      </c>
      <c r="AX46" s="93">
        <f t="shared" si="25"/>
        <v>7.9830233022143448E-4</v>
      </c>
      <c r="AY46" s="103">
        <f t="shared" si="26"/>
        <v>82.492291887616375</v>
      </c>
      <c r="AZ46" s="103">
        <f t="shared" si="27"/>
        <v>452.79229188761633</v>
      </c>
      <c r="BA46" s="103">
        <f t="shared" si="28"/>
        <v>140.20000000000005</v>
      </c>
      <c r="BB46" s="90">
        <f t="shared" si="30"/>
        <v>3.9911751189573738E-4</v>
      </c>
      <c r="BC46" s="103">
        <f t="shared" si="31"/>
        <v>34.49972171944264</v>
      </c>
      <c r="BD46" s="103">
        <f t="shared" si="29"/>
        <v>174.69972171944269</v>
      </c>
      <c r="BE46" s="103">
        <f t="shared" si="32"/>
        <v>154</v>
      </c>
      <c r="BF46" s="93">
        <f t="shared" si="33"/>
        <v>3.9944191221039712E-4</v>
      </c>
      <c r="BG46" s="103">
        <f t="shared" si="34"/>
        <v>31.039069179993206</v>
      </c>
      <c r="BH46" s="103">
        <f t="shared" si="35"/>
        <v>185.03906917999319</v>
      </c>
      <c r="BI46" s="103">
        <f t="shared" si="36"/>
        <v>400.40000000000009</v>
      </c>
      <c r="BJ46" s="90">
        <f t="shared" si="37"/>
        <v>8.3130329442547449E-4</v>
      </c>
      <c r="BK46" s="102">
        <f t="shared" si="38"/>
        <v>93.712546050496712</v>
      </c>
      <c r="BL46" s="102">
        <f t="shared" si="39"/>
        <v>494.1125460504968</v>
      </c>
      <c r="BM46" s="94">
        <f t="shared" si="40"/>
        <v>255.79999999999973</v>
      </c>
      <c r="BN46" s="90">
        <f t="shared" si="41"/>
        <v>6.6002286651543158E-4</v>
      </c>
      <c r="BO46" s="94">
        <f t="shared" si="42"/>
        <v>64.786306723875697</v>
      </c>
      <c r="BP46" s="94">
        <f t="shared" si="43"/>
        <v>320.5863067238754</v>
      </c>
      <c r="BQ46" s="94">
        <f t="shared" si="44"/>
        <v>392.30000000000018</v>
      </c>
      <c r="BR46" s="90">
        <f t="shared" si="45"/>
        <v>7.4522659381087394E-4</v>
      </c>
      <c r="BS46" s="94">
        <f t="shared" si="46"/>
        <v>84.761275387593642</v>
      </c>
      <c r="BT46" s="94">
        <f t="shared" si="47"/>
        <v>477.06127538759381</v>
      </c>
    </row>
    <row r="47" spans="1:72" ht="13.5" hidden="1">
      <c r="A47" s="16">
        <v>44</v>
      </c>
      <c r="B47" s="16" t="s">
        <v>39</v>
      </c>
      <c r="C47" s="17" t="s">
        <v>40</v>
      </c>
      <c r="D47" s="18" t="s">
        <v>121</v>
      </c>
      <c r="E47" s="18" t="s">
        <v>124</v>
      </c>
      <c r="F47" s="60" t="s">
        <v>43</v>
      </c>
      <c r="G47" s="55" t="s">
        <v>44</v>
      </c>
      <c r="H47" s="59">
        <v>478.3</v>
      </c>
      <c r="I47" s="59">
        <v>1280.2</v>
      </c>
      <c r="J47" s="59">
        <v>1391.8</v>
      </c>
      <c r="K47" s="59">
        <v>801.9</v>
      </c>
      <c r="L47" s="59">
        <v>111.6</v>
      </c>
      <c r="M47" s="59">
        <v>1427</v>
      </c>
      <c r="N47" s="59">
        <v>1549.4</v>
      </c>
      <c r="O47" s="59">
        <v>1626.7</v>
      </c>
      <c r="P47" s="59">
        <v>1726.2</v>
      </c>
      <c r="Q47" s="59">
        <v>1836.5</v>
      </c>
      <c r="R47" s="59">
        <v>1969.1</v>
      </c>
      <c r="S47" s="59">
        <v>2074.1</v>
      </c>
      <c r="T47" s="75">
        <v>2198.4</v>
      </c>
      <c r="U47" s="65">
        <v>2299.4</v>
      </c>
      <c r="V47" s="65">
        <v>2418</v>
      </c>
      <c r="W47" s="76">
        <v>2504.1999999999998</v>
      </c>
      <c r="X47" s="76">
        <v>2584.4</v>
      </c>
      <c r="Y47" s="30">
        <f t="shared" si="0"/>
        <v>146.79999999999995</v>
      </c>
      <c r="Z47" s="31">
        <f t="shared" si="1"/>
        <v>3.3233416508183497E-4</v>
      </c>
      <c r="AA47" s="30">
        <f t="shared" si="2"/>
        <v>45.518457991207129</v>
      </c>
      <c r="AB47" s="30">
        <f t="shared" si="3"/>
        <v>192.31845799120708</v>
      </c>
      <c r="AC47" s="30">
        <f t="shared" si="4"/>
        <v>122.40000000000009</v>
      </c>
      <c r="AD47" s="31">
        <f t="shared" si="5"/>
        <v>3.44375065185783E-4</v>
      </c>
      <c r="AE47" s="30">
        <f t="shared" si="6"/>
        <v>2.3901110336673215</v>
      </c>
      <c r="AF47" s="30">
        <f t="shared" si="7"/>
        <v>124.79011103366742</v>
      </c>
      <c r="AG47" s="30">
        <f t="shared" si="8"/>
        <v>77.299999999999955</v>
      </c>
      <c r="AH47" s="31">
        <f t="shared" si="9"/>
        <v>2.664262190145527E-4</v>
      </c>
      <c r="AI47" s="30">
        <f t="shared" si="10"/>
        <v>25.06814685330459</v>
      </c>
      <c r="AJ47" s="30">
        <f t="shared" si="11"/>
        <v>102.36814685330455</v>
      </c>
      <c r="AK47" s="30">
        <f t="shared" si="12"/>
        <v>99.5</v>
      </c>
      <c r="AL47" s="31">
        <f t="shared" si="13"/>
        <v>2.4193331121649545E-4</v>
      </c>
      <c r="AM47" s="30">
        <f t="shared" si="14"/>
        <v>10.022242254462618</v>
      </c>
      <c r="AN47" s="30">
        <f t="shared" si="15"/>
        <v>109.52224225446261</v>
      </c>
      <c r="AO47" s="30">
        <f t="shared" si="16"/>
        <v>110.29999999999995</v>
      </c>
      <c r="AP47" s="31">
        <f t="shared" si="17"/>
        <v>3.0455361496581405E-4</v>
      </c>
      <c r="AQ47" s="30">
        <f t="shared" si="18"/>
        <v>26.535025543295401</v>
      </c>
      <c r="AR47" s="30">
        <f t="shared" si="19"/>
        <v>136.83502554329536</v>
      </c>
      <c r="AS47" s="92">
        <f t="shared" si="20"/>
        <v>132.59999999999991</v>
      </c>
      <c r="AT47" s="93">
        <f t="shared" si="21"/>
        <v>2.7993020153644493E-4</v>
      </c>
      <c r="AU47" s="94">
        <f t="shared" si="22"/>
        <v>33.164307932425942</v>
      </c>
      <c r="AV47" s="94">
        <f t="shared" si="23"/>
        <v>165.76430793242585</v>
      </c>
      <c r="AW47" s="103">
        <f t="shared" si="24"/>
        <v>105</v>
      </c>
      <c r="AX47" s="93">
        <f t="shared" si="25"/>
        <v>2.2636171934445215E-4</v>
      </c>
      <c r="AY47" s="103">
        <f t="shared" si="26"/>
        <v>23.391009041857199</v>
      </c>
      <c r="AZ47" s="103">
        <f t="shared" si="27"/>
        <v>128.39100904185719</v>
      </c>
      <c r="BA47" s="103">
        <f t="shared" si="28"/>
        <v>124.30000000000018</v>
      </c>
      <c r="BB47" s="90">
        <f t="shared" si="30"/>
        <v>3.5385382830699152E-4</v>
      </c>
      <c r="BC47" s="103">
        <f t="shared" si="31"/>
        <v>30.587128457394613</v>
      </c>
      <c r="BD47" s="103">
        <f t="shared" si="29"/>
        <v>154.88712845739479</v>
      </c>
      <c r="BE47" s="103">
        <f t="shared" si="32"/>
        <v>101</v>
      </c>
      <c r="BF47" s="93">
        <f t="shared" si="33"/>
        <v>2.6197164372240329E-4</v>
      </c>
      <c r="BG47" s="103">
        <f t="shared" si="34"/>
        <v>20.356792124540998</v>
      </c>
      <c r="BH47" s="103">
        <f t="shared" si="35"/>
        <v>121.356792124541</v>
      </c>
      <c r="BI47" s="103">
        <f t="shared" si="36"/>
        <v>118.59999999999991</v>
      </c>
      <c r="BJ47" s="90">
        <f t="shared" si="37"/>
        <v>2.4623519160554738E-4</v>
      </c>
      <c r="BK47" s="102">
        <f t="shared" si="38"/>
        <v>27.758011892080166</v>
      </c>
      <c r="BL47" s="102">
        <f t="shared" si="39"/>
        <v>146.35801189208007</v>
      </c>
      <c r="BM47" s="94">
        <f t="shared" si="40"/>
        <v>86.199999999999818</v>
      </c>
      <c r="BN47" s="90">
        <f t="shared" si="41"/>
        <v>2.2241583695711549E-4</v>
      </c>
      <c r="BO47" s="94">
        <f t="shared" si="42"/>
        <v>21.831820326810316</v>
      </c>
      <c r="BP47" s="94">
        <f t="shared" si="43"/>
        <v>108.03182032681013</v>
      </c>
      <c r="BQ47" s="94">
        <f t="shared" si="44"/>
        <v>80.200000000000273</v>
      </c>
      <c r="BR47" s="90">
        <f t="shared" si="45"/>
        <v>1.5235068270107638E-4</v>
      </c>
      <c r="BS47" s="94">
        <f t="shared" si="46"/>
        <v>17.328203635189979</v>
      </c>
      <c r="BT47" s="94">
        <f t="shared" si="47"/>
        <v>97.528203635190252</v>
      </c>
    </row>
    <row r="48" spans="1:72" ht="13.5" hidden="1">
      <c r="A48" s="11">
        <v>45</v>
      </c>
      <c r="B48" s="16" t="s">
        <v>39</v>
      </c>
      <c r="C48" s="17" t="s">
        <v>40</v>
      </c>
      <c r="D48" s="18" t="s">
        <v>121</v>
      </c>
      <c r="E48" s="18" t="s">
        <v>124</v>
      </c>
      <c r="F48" s="60" t="s">
        <v>143</v>
      </c>
      <c r="G48" s="55" t="s">
        <v>46</v>
      </c>
      <c r="H48" s="59">
        <v>409.7</v>
      </c>
      <c r="I48" s="59">
        <v>9044.1</v>
      </c>
      <c r="J48" s="59">
        <v>11826</v>
      </c>
      <c r="K48" s="59">
        <v>8634.4</v>
      </c>
      <c r="L48" s="59">
        <v>2781.9</v>
      </c>
      <c r="M48" s="59">
        <v>12673.1</v>
      </c>
      <c r="N48" s="59">
        <v>15350.5</v>
      </c>
      <c r="O48" s="59">
        <v>15842.6</v>
      </c>
      <c r="P48" s="59">
        <v>18110.5</v>
      </c>
      <c r="Q48" s="59">
        <v>20319.5</v>
      </c>
      <c r="R48" s="59">
        <v>24446.7</v>
      </c>
      <c r="S48" s="59">
        <v>28914.2</v>
      </c>
      <c r="T48" s="75">
        <v>30800.799999999999</v>
      </c>
      <c r="U48" s="65">
        <v>32302.3</v>
      </c>
      <c r="V48" s="65">
        <v>36776.400000000001</v>
      </c>
      <c r="W48" s="76">
        <v>40857.599999999999</v>
      </c>
      <c r="X48" s="76">
        <v>43858.400000000001</v>
      </c>
      <c r="Y48" s="30">
        <f t="shared" si="0"/>
        <v>3629</v>
      </c>
      <c r="Z48" s="31">
        <f t="shared" si="1"/>
        <v>8.2155360019208409E-3</v>
      </c>
      <c r="AA48" s="30">
        <f t="shared" si="2"/>
        <v>1125.2485289515716</v>
      </c>
      <c r="AB48" s="30">
        <f t="shared" si="3"/>
        <v>4754.2485289515716</v>
      </c>
      <c r="AC48" s="30">
        <f t="shared" si="4"/>
        <v>2677.3999999999996</v>
      </c>
      <c r="AD48" s="31">
        <f t="shared" si="5"/>
        <v>7.5329231987615571E-3</v>
      </c>
      <c r="AE48" s="30">
        <f t="shared" si="6"/>
        <v>52.281726156379747</v>
      </c>
      <c r="AF48" s="30">
        <f t="shared" si="7"/>
        <v>2729.6817261563792</v>
      </c>
      <c r="AG48" s="30">
        <f t="shared" si="8"/>
        <v>492.10000000000036</v>
      </c>
      <c r="AH48" s="31">
        <f t="shared" si="9"/>
        <v>1.6960975727951042E-3</v>
      </c>
      <c r="AI48" s="30">
        <f t="shared" si="10"/>
        <v>159.58648210234418</v>
      </c>
      <c r="AJ48" s="30">
        <f t="shared" si="11"/>
        <v>651.6864821023446</v>
      </c>
      <c r="AK48" s="30">
        <f t="shared" si="12"/>
        <v>2267.8999999999996</v>
      </c>
      <c r="AL48" s="31">
        <f t="shared" si="13"/>
        <v>5.5143774523406025E-3</v>
      </c>
      <c r="AM48" s="30">
        <f t="shared" si="14"/>
        <v>228.43661516478161</v>
      </c>
      <c r="AN48" s="30">
        <f t="shared" si="15"/>
        <v>2496.3366151647811</v>
      </c>
      <c r="AO48" s="30">
        <f t="shared" si="16"/>
        <v>2209</v>
      </c>
      <c r="AP48" s="31">
        <f t="shared" si="17"/>
        <v>6.0993557158611376E-3</v>
      </c>
      <c r="AQ48" s="30">
        <f t="shared" si="18"/>
        <v>531.42222506926169</v>
      </c>
      <c r="AR48" s="30">
        <f t="shared" si="19"/>
        <v>2740.4222250692619</v>
      </c>
      <c r="AS48" s="92">
        <f t="shared" si="20"/>
        <v>4127.2000000000007</v>
      </c>
      <c r="AT48" s="93">
        <f t="shared" si="21"/>
        <v>8.7128803000091747E-3</v>
      </c>
      <c r="AU48" s="94">
        <f t="shared" si="22"/>
        <v>1032.2453370943324</v>
      </c>
      <c r="AV48" s="94">
        <f t="shared" si="23"/>
        <v>5159.4453370943329</v>
      </c>
      <c r="AW48" s="103">
        <f t="shared" si="24"/>
        <v>4467.5</v>
      </c>
      <c r="AX48" s="93">
        <f t="shared" si="25"/>
        <v>9.6311522016318089E-3</v>
      </c>
      <c r="AY48" s="103">
        <f t="shared" si="26"/>
        <v>995.23174185235268</v>
      </c>
      <c r="AZ48" s="103">
        <f t="shared" si="27"/>
        <v>5462.7317418523526</v>
      </c>
      <c r="BA48" s="103">
        <f t="shared" si="28"/>
        <v>1886.5999999999985</v>
      </c>
      <c r="BB48" s="90">
        <f t="shared" si="30"/>
        <v>5.3707210980206655E-3</v>
      </c>
      <c r="BC48" s="103">
        <f t="shared" si="31"/>
        <v>464.24518542011702</v>
      </c>
      <c r="BD48" s="103">
        <f t="shared" si="29"/>
        <v>2350.8451854201157</v>
      </c>
      <c r="BE48" s="103">
        <f t="shared" si="32"/>
        <v>1501.5</v>
      </c>
      <c r="BF48" s="93">
        <f t="shared" si="33"/>
        <v>3.8945586440513719E-3</v>
      </c>
      <c r="BG48" s="103">
        <f t="shared" si="34"/>
        <v>302.63092450493372</v>
      </c>
      <c r="BH48" s="103">
        <f t="shared" si="35"/>
        <v>1804.1309245049338</v>
      </c>
      <c r="BI48" s="103">
        <f t="shared" si="36"/>
        <v>4474.1000000000022</v>
      </c>
      <c r="BJ48" s="90">
        <f t="shared" si="37"/>
        <v>9.2890461278446954E-3</v>
      </c>
      <c r="BK48" s="102">
        <f t="shared" si="38"/>
        <v>1047.1511046067119</v>
      </c>
      <c r="BL48" s="102">
        <f t="shared" si="39"/>
        <v>5521.2511046067139</v>
      </c>
      <c r="BM48" s="94">
        <f t="shared" si="40"/>
        <v>4081.1999999999971</v>
      </c>
      <c r="BN48" s="90">
        <f t="shared" si="41"/>
        <v>1.0530435194772401E-2</v>
      </c>
      <c r="BO48" s="94">
        <f t="shared" si="42"/>
        <v>1033.6429828048535</v>
      </c>
      <c r="BP48" s="94">
        <f t="shared" si="43"/>
        <v>5114.8429828048502</v>
      </c>
      <c r="BQ48" s="94">
        <f t="shared" si="44"/>
        <v>3000.8000000000029</v>
      </c>
      <c r="BR48" s="90">
        <f t="shared" si="45"/>
        <v>5.7004230504911334E-3</v>
      </c>
      <c r="BS48" s="94">
        <f t="shared" si="46"/>
        <v>648.36001831019917</v>
      </c>
      <c r="BT48" s="94">
        <f t="shared" si="47"/>
        <v>3649.1600183102018</v>
      </c>
    </row>
    <row r="49" spans="1:72" ht="13.5" hidden="1">
      <c r="A49" s="16">
        <v>46</v>
      </c>
      <c r="B49" s="16" t="s">
        <v>39</v>
      </c>
      <c r="C49" s="17" t="s">
        <v>40</v>
      </c>
      <c r="D49" s="18" t="s">
        <v>121</v>
      </c>
      <c r="E49" s="18" t="s">
        <v>124</v>
      </c>
      <c r="F49" s="60" t="s">
        <v>144</v>
      </c>
      <c r="G49" s="55" t="s">
        <v>145</v>
      </c>
      <c r="H49" s="59">
        <v>5515</v>
      </c>
      <c r="I49" s="59">
        <v>104997.3</v>
      </c>
      <c r="J49" s="59">
        <v>113287.7</v>
      </c>
      <c r="K49" s="59">
        <v>99482.3</v>
      </c>
      <c r="L49" s="59">
        <v>8290.4</v>
      </c>
      <c r="M49" s="59">
        <v>115759.8</v>
      </c>
      <c r="N49" s="59">
        <v>129491.8</v>
      </c>
      <c r="O49" s="59">
        <v>139776.9</v>
      </c>
      <c r="P49" s="59">
        <v>154252.1</v>
      </c>
      <c r="Q49" s="59">
        <v>165998.20000000001</v>
      </c>
      <c r="R49" s="59">
        <v>181111.9</v>
      </c>
      <c r="S49" s="59">
        <v>196265.5</v>
      </c>
      <c r="T49" s="75">
        <v>208812.5</v>
      </c>
      <c r="U49" s="65">
        <v>222403.20000000001</v>
      </c>
      <c r="V49" s="65">
        <v>235842.1</v>
      </c>
      <c r="W49" s="76">
        <v>248994</v>
      </c>
      <c r="X49" s="76">
        <v>265353.59999999998</v>
      </c>
      <c r="Y49" s="30">
        <f t="shared" si="0"/>
        <v>10762.5</v>
      </c>
      <c r="Z49" s="31">
        <f t="shared" si="1"/>
        <v>2.4364757845321865E-2</v>
      </c>
      <c r="AA49" s="30">
        <f t="shared" si="2"/>
        <v>3337.1417175093111</v>
      </c>
      <c r="AB49" s="30">
        <f t="shared" si="3"/>
        <v>14099.641717509312</v>
      </c>
      <c r="AC49" s="30">
        <f t="shared" si="4"/>
        <v>13732</v>
      </c>
      <c r="AD49" s="31">
        <f t="shared" si="5"/>
        <v>3.8635281005973597E-2</v>
      </c>
      <c r="AE49" s="30">
        <f t="shared" si="6"/>
        <v>268.14546335228454</v>
      </c>
      <c r="AF49" s="30">
        <f t="shared" si="7"/>
        <v>14000.145463352284</v>
      </c>
      <c r="AG49" s="30">
        <f t="shared" si="8"/>
        <v>10285.099999999991</v>
      </c>
      <c r="AH49" s="31">
        <f t="shared" si="9"/>
        <v>3.5449163068390369E-2</v>
      </c>
      <c r="AI49" s="30">
        <f t="shared" si="10"/>
        <v>3335.4255782784344</v>
      </c>
      <c r="AJ49" s="30">
        <f t="shared" si="11"/>
        <v>13620.525578278426</v>
      </c>
      <c r="AK49" s="30">
        <f t="shared" si="12"/>
        <v>14475.200000000012</v>
      </c>
      <c r="AL49" s="31">
        <f t="shared" si="13"/>
        <v>3.5196312226341883E-2</v>
      </c>
      <c r="AM49" s="30">
        <f t="shared" si="14"/>
        <v>1458.0297596160542</v>
      </c>
      <c r="AN49" s="30">
        <f t="shared" si="15"/>
        <v>15933.229759616066</v>
      </c>
      <c r="AO49" s="30">
        <f t="shared" si="16"/>
        <v>11746.100000000006</v>
      </c>
      <c r="AP49" s="31">
        <f t="shared" si="17"/>
        <v>3.2432613025838185E-2</v>
      </c>
      <c r="AQ49" s="30">
        <f t="shared" si="18"/>
        <v>2825.7757346700128</v>
      </c>
      <c r="AR49" s="30">
        <f t="shared" si="19"/>
        <v>14571.875734670019</v>
      </c>
      <c r="AS49" s="92">
        <f t="shared" si="20"/>
        <v>15113.699999999983</v>
      </c>
      <c r="AT49" s="93">
        <f t="shared" si="21"/>
        <v>3.1906343038924333E-2</v>
      </c>
      <c r="AU49" s="94">
        <f t="shared" si="22"/>
        <v>3780.0558129585656</v>
      </c>
      <c r="AV49" s="94">
        <f t="shared" si="23"/>
        <v>18893.755812958549</v>
      </c>
      <c r="AW49" s="103">
        <f t="shared" si="24"/>
        <v>15153.600000000006</v>
      </c>
      <c r="AX49" s="93">
        <f t="shared" si="25"/>
        <v>3.2668523335791351E-2</v>
      </c>
      <c r="AY49" s="103">
        <f t="shared" si="26"/>
        <v>3375.7904249208323</v>
      </c>
      <c r="AZ49" s="103">
        <f t="shared" si="27"/>
        <v>18529.390424920839</v>
      </c>
      <c r="BA49" s="103">
        <f t="shared" si="28"/>
        <v>12547</v>
      </c>
      <c r="BB49" s="90">
        <f t="shared" si="30"/>
        <v>3.5718455219371004E-2</v>
      </c>
      <c r="BC49" s="103">
        <f t="shared" si="31"/>
        <v>3087.5036263469801</v>
      </c>
      <c r="BD49" s="103">
        <f t="shared" si="29"/>
        <v>15634.503626346981</v>
      </c>
      <c r="BE49" s="103">
        <f t="shared" si="32"/>
        <v>13590.700000000012</v>
      </c>
      <c r="BF49" s="93">
        <f t="shared" si="33"/>
        <v>3.5251267508297719E-2</v>
      </c>
      <c r="BG49" s="103">
        <f t="shared" si="34"/>
        <v>2739.2381656138573</v>
      </c>
      <c r="BH49" s="103">
        <f t="shared" si="35"/>
        <v>16329.938165613868</v>
      </c>
      <c r="BI49" s="103">
        <f t="shared" si="36"/>
        <v>13438.899999999994</v>
      </c>
      <c r="BJ49" s="90">
        <f t="shared" si="37"/>
        <v>2.7901603005630625E-2</v>
      </c>
      <c r="BK49" s="102">
        <f t="shared" si="38"/>
        <v>3145.3384992957531</v>
      </c>
      <c r="BL49" s="102">
        <f t="shared" si="39"/>
        <v>16584.238499295749</v>
      </c>
      <c r="BM49" s="94">
        <f t="shared" si="40"/>
        <v>13151.899999999994</v>
      </c>
      <c r="BN49" s="90">
        <f t="shared" si="41"/>
        <v>3.3934928608773687E-2</v>
      </c>
      <c r="BO49" s="94">
        <f t="shared" si="42"/>
        <v>3330.9735238535623</v>
      </c>
      <c r="BP49" s="94">
        <f t="shared" si="43"/>
        <v>16482.873523853556</v>
      </c>
      <c r="BQ49" s="94">
        <f t="shared" si="44"/>
        <v>16359.599999999977</v>
      </c>
      <c r="BR49" s="90">
        <f t="shared" si="45"/>
        <v>3.107725970968226E-2</v>
      </c>
      <c r="BS49" s="94">
        <f t="shared" si="46"/>
        <v>3534.6942667113799</v>
      </c>
      <c r="BT49" s="94">
        <f t="shared" si="47"/>
        <v>19894.294266711357</v>
      </c>
    </row>
    <row r="50" spans="1:72" ht="13.5" hidden="1">
      <c r="A50" s="11">
        <v>47</v>
      </c>
      <c r="B50" s="16" t="s">
        <v>49</v>
      </c>
      <c r="C50" s="17" t="s">
        <v>50</v>
      </c>
      <c r="D50" s="119" t="s">
        <v>138</v>
      </c>
      <c r="E50" s="20" t="s">
        <v>49</v>
      </c>
      <c r="F50" s="58" t="s">
        <v>61</v>
      </c>
      <c r="G50" s="57" t="s">
        <v>62</v>
      </c>
      <c r="H50" s="59">
        <v>400.5</v>
      </c>
      <c r="I50" s="59">
        <v>9257.7000000000007</v>
      </c>
      <c r="J50" s="59">
        <v>13823.3</v>
      </c>
      <c r="K50" s="59">
        <v>8857.2000000000007</v>
      </c>
      <c r="L50" s="59">
        <v>4565.6000000000004</v>
      </c>
      <c r="M50" s="59">
        <v>15252.3</v>
      </c>
      <c r="N50" s="59">
        <v>16655.8</v>
      </c>
      <c r="O50" s="59">
        <v>17301.8</v>
      </c>
      <c r="P50" s="59">
        <v>20671.5</v>
      </c>
      <c r="Q50" s="59">
        <v>22560</v>
      </c>
      <c r="R50" s="59">
        <v>28972.1</v>
      </c>
      <c r="S50" s="59">
        <v>35373.699999999997</v>
      </c>
      <c r="T50" s="75">
        <v>37493.199999999997</v>
      </c>
      <c r="U50" s="65">
        <v>39840.199999999997</v>
      </c>
      <c r="V50" s="65">
        <v>45582.8</v>
      </c>
      <c r="W50" s="76">
        <v>49350.5</v>
      </c>
      <c r="X50" s="76">
        <v>55946.9</v>
      </c>
      <c r="Y50" s="30">
        <f t="shared" si="0"/>
        <v>5994.5999999999985</v>
      </c>
      <c r="Z50" s="31">
        <f t="shared" si="1"/>
        <v>1.3570915435964359E-2</v>
      </c>
      <c r="AA50" s="30">
        <f t="shared" si="2"/>
        <v>1858.7530536382169</v>
      </c>
      <c r="AB50" s="30">
        <f t="shared" si="3"/>
        <v>7853.353053638215</v>
      </c>
      <c r="AC50" s="30">
        <f t="shared" si="4"/>
        <v>1403.5</v>
      </c>
      <c r="AD50" s="31">
        <f t="shared" si="5"/>
        <v>3.9487778103614877E-3</v>
      </c>
      <c r="AE50" s="30">
        <f t="shared" si="6"/>
        <v>27.406215978366692</v>
      </c>
      <c r="AF50" s="30">
        <f t="shared" si="7"/>
        <v>1430.9062159783666</v>
      </c>
      <c r="AG50" s="30">
        <f t="shared" si="8"/>
        <v>646</v>
      </c>
      <c r="AH50" s="31">
        <f t="shared" si="9"/>
        <v>2.2265373542483978E-3</v>
      </c>
      <c r="AI50" s="30">
        <f t="shared" si="10"/>
        <v>209.49576801079917</v>
      </c>
      <c r="AJ50" s="30">
        <f t="shared" si="11"/>
        <v>855.49576801079911</v>
      </c>
      <c r="AK50" s="30">
        <f t="shared" si="12"/>
        <v>3369.7000000000007</v>
      </c>
      <c r="AL50" s="31">
        <f t="shared" si="13"/>
        <v>8.1933937568464815E-3</v>
      </c>
      <c r="AM50" s="30">
        <f t="shared" si="14"/>
        <v>339.41658014937383</v>
      </c>
      <c r="AN50" s="30">
        <f t="shared" si="15"/>
        <v>3709.1165801493744</v>
      </c>
      <c r="AO50" s="30">
        <f t="shared" si="16"/>
        <v>1888.5</v>
      </c>
      <c r="AP50" s="31">
        <f t="shared" si="17"/>
        <v>5.214410714985857E-3</v>
      </c>
      <c r="AQ50" s="30">
        <f t="shared" si="18"/>
        <v>454.31909101100075</v>
      </c>
      <c r="AR50" s="30">
        <f t="shared" si="19"/>
        <v>2342.8190910110006</v>
      </c>
      <c r="AS50" s="92">
        <f t="shared" si="20"/>
        <v>6412.0999999999985</v>
      </c>
      <c r="AT50" s="93">
        <f t="shared" si="21"/>
        <v>1.3536504112155652E-2</v>
      </c>
      <c r="AU50" s="94">
        <f t="shared" si="22"/>
        <v>1603.7168845664291</v>
      </c>
      <c r="AV50" s="94">
        <f t="shared" si="23"/>
        <v>8015.8168845664277</v>
      </c>
      <c r="AW50" s="103">
        <f t="shared" si="24"/>
        <v>6401.5999999999985</v>
      </c>
      <c r="AX50" s="93">
        <f t="shared" si="25"/>
        <v>1.3800735071956616E-2</v>
      </c>
      <c r="AY50" s="103">
        <f t="shared" si="26"/>
        <v>1426.094128403362</v>
      </c>
      <c r="AZ50" s="103">
        <f t="shared" si="27"/>
        <v>7827.6941284033601</v>
      </c>
      <c r="BA50" s="103">
        <f t="shared" si="28"/>
        <v>2119.5</v>
      </c>
      <c r="BB50" s="90">
        <f t="shared" si="30"/>
        <v>6.0337344255564553E-3</v>
      </c>
      <c r="BC50" s="103">
        <f t="shared" si="31"/>
        <v>521.55606408244398</v>
      </c>
      <c r="BD50" s="103">
        <f t="shared" si="29"/>
        <v>2641.0560640824442</v>
      </c>
      <c r="BE50" s="103">
        <f t="shared" si="32"/>
        <v>2347</v>
      </c>
      <c r="BF50" s="93">
        <f t="shared" si="33"/>
        <v>6.0875984932324805E-3</v>
      </c>
      <c r="BG50" s="103">
        <f t="shared" si="34"/>
        <v>473.04347639898731</v>
      </c>
      <c r="BH50" s="103">
        <f t="shared" si="35"/>
        <v>2820.0434763989874</v>
      </c>
      <c r="BI50" s="103">
        <f t="shared" si="36"/>
        <v>5742.6000000000058</v>
      </c>
      <c r="BJ50" s="90">
        <f t="shared" si="37"/>
        <v>1.1922683063355978E-2</v>
      </c>
      <c r="BK50" s="102">
        <f t="shared" si="38"/>
        <v>1344.0401272467104</v>
      </c>
      <c r="BL50" s="102">
        <f t="shared" si="39"/>
        <v>7086.6401272467165</v>
      </c>
      <c r="BM50" s="94">
        <f t="shared" si="40"/>
        <v>3767.6999999999971</v>
      </c>
      <c r="BN50" s="90">
        <f t="shared" si="41"/>
        <v>9.7215330499225653E-3</v>
      </c>
      <c r="BO50" s="94">
        <f t="shared" si="42"/>
        <v>954.24303300839142</v>
      </c>
      <c r="BP50" s="94">
        <f t="shared" si="43"/>
        <v>4721.9430330083887</v>
      </c>
      <c r="BQ50" s="94">
        <f t="shared" si="44"/>
        <v>6596.4000000000015</v>
      </c>
      <c r="BR50" s="90">
        <f t="shared" si="45"/>
        <v>1.253074867044111E-2</v>
      </c>
      <c r="BS50" s="94">
        <f t="shared" si="46"/>
        <v>1425.2339458748982</v>
      </c>
      <c r="BT50" s="94">
        <f t="shared" si="47"/>
        <v>8021.6339458748998</v>
      </c>
    </row>
    <row r="51" spans="1:72" ht="13.5" hidden="1">
      <c r="A51" s="16">
        <v>48</v>
      </c>
      <c r="B51" s="16" t="s">
        <v>39</v>
      </c>
      <c r="C51" s="17" t="s">
        <v>40</v>
      </c>
      <c r="D51" s="18" t="s">
        <v>121</v>
      </c>
      <c r="E51" s="18" t="s">
        <v>124</v>
      </c>
      <c r="F51" s="60" t="s">
        <v>146</v>
      </c>
      <c r="G51" s="55" t="s">
        <v>147</v>
      </c>
      <c r="H51" s="59">
        <v>192.4</v>
      </c>
      <c r="I51" s="59">
        <v>3088.1</v>
      </c>
      <c r="J51" s="59">
        <v>3861.6</v>
      </c>
      <c r="K51" s="59">
        <v>2895.7</v>
      </c>
      <c r="L51" s="59">
        <v>773.5</v>
      </c>
      <c r="M51" s="59">
        <v>4073.4</v>
      </c>
      <c r="N51" s="59">
        <v>4490.1000000000004</v>
      </c>
      <c r="O51" s="59">
        <v>4692.1000000000004</v>
      </c>
      <c r="P51" s="59">
        <v>5118.3</v>
      </c>
      <c r="Q51" s="59">
        <v>5370</v>
      </c>
      <c r="R51" s="59">
        <v>5706.2</v>
      </c>
      <c r="S51" s="59">
        <v>5949.2</v>
      </c>
      <c r="T51" s="75">
        <v>6163.4</v>
      </c>
      <c r="U51" s="65">
        <v>6395.2</v>
      </c>
      <c r="V51" s="65">
        <v>6788.5</v>
      </c>
      <c r="W51" s="76">
        <v>7081.3</v>
      </c>
      <c r="X51" s="76">
        <v>7463.1</v>
      </c>
      <c r="Y51" s="30">
        <f t="shared" si="0"/>
        <v>985.30000000000018</v>
      </c>
      <c r="Z51" s="31">
        <f t="shared" si="1"/>
        <v>2.2305780167243337E-3</v>
      </c>
      <c r="AA51" s="30">
        <f t="shared" si="2"/>
        <v>305.51319249820443</v>
      </c>
      <c r="AB51" s="30">
        <f t="shared" si="3"/>
        <v>1290.8131924982047</v>
      </c>
      <c r="AC51" s="30">
        <f t="shared" si="4"/>
        <v>416.70000000000027</v>
      </c>
      <c r="AD51" s="31">
        <f t="shared" si="5"/>
        <v>1.1723945233898347E-3</v>
      </c>
      <c r="AE51" s="30">
        <f t="shared" si="6"/>
        <v>8.1369221219703665</v>
      </c>
      <c r="AF51" s="30">
        <f t="shared" si="7"/>
        <v>424.83692212197064</v>
      </c>
      <c r="AG51" s="30">
        <f t="shared" si="8"/>
        <v>202</v>
      </c>
      <c r="AH51" s="31">
        <f t="shared" si="9"/>
        <v>6.9622375473401914E-4</v>
      </c>
      <c r="AI51" s="30">
        <f t="shared" si="10"/>
        <v>65.507964610187969</v>
      </c>
      <c r="AJ51" s="30">
        <f t="shared" si="11"/>
        <v>267.50796461018797</v>
      </c>
      <c r="AK51" s="30">
        <f t="shared" si="12"/>
        <v>426.19999999999982</v>
      </c>
      <c r="AL51" s="31">
        <f t="shared" si="13"/>
        <v>1.0363012787986967E-3</v>
      </c>
      <c r="AM51" s="30">
        <f t="shared" si="14"/>
        <v>42.929443707054936</v>
      </c>
      <c r="AN51" s="30">
        <f t="shared" si="15"/>
        <v>469.12944370705475</v>
      </c>
      <c r="AO51" s="30">
        <f t="shared" si="16"/>
        <v>251.69999999999982</v>
      </c>
      <c r="AP51" s="31">
        <f t="shared" si="17"/>
        <v>6.9497864811328533E-4</v>
      </c>
      <c r="AQ51" s="30">
        <f t="shared" si="18"/>
        <v>60.551821661354943</v>
      </c>
      <c r="AR51" s="30">
        <f t="shared" si="19"/>
        <v>312.25182166135477</v>
      </c>
      <c r="AS51" s="92">
        <f t="shared" si="20"/>
        <v>336.19999999999982</v>
      </c>
      <c r="AT51" s="93">
        <f t="shared" si="21"/>
        <v>7.097476150569593E-4</v>
      </c>
      <c r="AU51" s="94">
        <f t="shared" si="22"/>
        <v>84.086276974974382</v>
      </c>
      <c r="AV51" s="94">
        <f t="shared" si="23"/>
        <v>420.28627697497421</v>
      </c>
      <c r="AW51" s="103">
        <f t="shared" si="24"/>
        <v>243</v>
      </c>
      <c r="AX51" s="93">
        <f t="shared" si="25"/>
        <v>5.2386569334001787E-4</v>
      </c>
      <c r="AY51" s="103">
        <f t="shared" si="26"/>
        <v>54.133478068298089</v>
      </c>
      <c r="AZ51" s="103">
        <f t="shared" si="27"/>
        <v>297.13347806829807</v>
      </c>
      <c r="BA51" s="103">
        <f t="shared" si="28"/>
        <v>214.19999999999982</v>
      </c>
      <c r="BB51" s="90">
        <f t="shared" si="30"/>
        <v>6.0977868079933558E-4</v>
      </c>
      <c r="BC51" s="103">
        <f t="shared" si="31"/>
        <v>52.709275266081349</v>
      </c>
      <c r="BD51" s="103">
        <f t="shared" si="29"/>
        <v>266.90927526608118</v>
      </c>
      <c r="BE51" s="103">
        <f t="shared" si="32"/>
        <v>231.80000000000018</v>
      </c>
      <c r="BF51" s="93">
        <f t="shared" si="33"/>
        <v>6.0123789123616963E-4</v>
      </c>
      <c r="BG51" s="103">
        <f t="shared" si="34"/>
        <v>46.71984568780799</v>
      </c>
      <c r="BH51" s="103">
        <f t="shared" si="35"/>
        <v>278.51984568780819</v>
      </c>
      <c r="BI51" s="103">
        <f t="shared" si="36"/>
        <v>393.30000000000018</v>
      </c>
      <c r="BJ51" s="90">
        <f t="shared" si="37"/>
        <v>8.1656240184200602E-4</v>
      </c>
      <c r="BK51" s="102">
        <f t="shared" si="38"/>
        <v>92.050810094056857</v>
      </c>
      <c r="BL51" s="102">
        <f t="shared" si="39"/>
        <v>485.35081009405701</v>
      </c>
      <c r="BM51" s="94">
        <f t="shared" si="40"/>
        <v>292.80000000000018</v>
      </c>
      <c r="BN51" s="90">
        <f t="shared" si="41"/>
        <v>7.5549138121860319E-4</v>
      </c>
      <c r="BO51" s="94">
        <f t="shared" si="42"/>
        <v>74.157273685499746</v>
      </c>
      <c r="BP51" s="94">
        <f t="shared" si="43"/>
        <v>366.9572736854999</v>
      </c>
      <c r="BQ51" s="94">
        <f t="shared" si="44"/>
        <v>381.80000000000018</v>
      </c>
      <c r="BR51" s="90">
        <f t="shared" si="45"/>
        <v>7.2528043211060838E-4</v>
      </c>
      <c r="BS51" s="94">
        <f t="shared" si="46"/>
        <v>82.492620298198446</v>
      </c>
      <c r="BT51" s="94">
        <f t="shared" si="47"/>
        <v>464.29262029819864</v>
      </c>
    </row>
    <row r="52" spans="1:72" ht="13.5">
      <c r="A52" s="11">
        <v>49</v>
      </c>
      <c r="B52" s="16" t="s">
        <v>49</v>
      </c>
      <c r="C52" s="17" t="s">
        <v>50</v>
      </c>
      <c r="D52" s="18" t="s">
        <v>121</v>
      </c>
      <c r="E52" s="20" t="s">
        <v>49</v>
      </c>
      <c r="F52" s="58" t="s">
        <v>148</v>
      </c>
      <c r="G52" s="57" t="s">
        <v>149</v>
      </c>
      <c r="H52" s="59">
        <v>6501.2</v>
      </c>
      <c r="I52" s="59">
        <v>89607.5</v>
      </c>
      <c r="J52" s="59">
        <v>108980.9</v>
      </c>
      <c r="K52" s="59">
        <v>83106.3</v>
      </c>
      <c r="L52" s="59">
        <v>19373.400000000001</v>
      </c>
      <c r="M52" s="59">
        <v>109235.2</v>
      </c>
      <c r="N52" s="59">
        <v>109687.2</v>
      </c>
      <c r="O52" s="59">
        <v>109871.6</v>
      </c>
      <c r="P52" s="59">
        <v>115891.1</v>
      </c>
      <c r="Q52" s="59">
        <v>131146.9</v>
      </c>
      <c r="R52" s="59">
        <v>145245.79999999999</v>
      </c>
      <c r="S52" s="59">
        <v>145273.9</v>
      </c>
      <c r="T52" s="75">
        <v>152002.79999999999</v>
      </c>
      <c r="U52" s="65">
        <v>160825.9</v>
      </c>
      <c r="V52" s="65">
        <v>175605.1</v>
      </c>
      <c r="W52" s="76">
        <v>191313.5</v>
      </c>
      <c r="X52" s="76">
        <v>199773.6</v>
      </c>
      <c r="Y52" s="30">
        <f t="shared" si="0"/>
        <v>19627.699999999997</v>
      </c>
      <c r="Z52" s="31">
        <f t="shared" si="1"/>
        <v>4.443430035406494E-2</v>
      </c>
      <c r="AA52" s="30">
        <f t="shared" si="2"/>
        <v>6085.9852718938437</v>
      </c>
      <c r="AB52" s="30">
        <f t="shared" si="3"/>
        <v>25713.685271893839</v>
      </c>
      <c r="AC52" s="30">
        <f t="shared" si="4"/>
        <v>452</v>
      </c>
      <c r="AD52" s="31">
        <f t="shared" si="5"/>
        <v>1.2717118420259297E-3</v>
      </c>
      <c r="AE52" s="30">
        <f t="shared" si="6"/>
        <v>8.8262270197518671</v>
      </c>
      <c r="AF52" s="30">
        <f t="shared" si="7"/>
        <v>460.82622701975185</v>
      </c>
      <c r="AG52" s="30">
        <f t="shared" si="8"/>
        <v>184.40000000000873</v>
      </c>
      <c r="AH52" s="31">
        <f t="shared" si="9"/>
        <v>6.3556267511365942E-4</v>
      </c>
      <c r="AI52" s="30">
        <f t="shared" si="10"/>
        <v>59.800339970887293</v>
      </c>
      <c r="AJ52" s="30">
        <f t="shared" si="11"/>
        <v>244.20033997089604</v>
      </c>
      <c r="AK52" s="30">
        <f t="shared" si="12"/>
        <v>6019.5</v>
      </c>
      <c r="AL52" s="31">
        <f t="shared" si="13"/>
        <v>1.4636357455956726E-2</v>
      </c>
      <c r="AM52" s="30">
        <f t="shared" si="14"/>
        <v>606.32047488178625</v>
      </c>
      <c r="AN52" s="30">
        <f t="shared" si="15"/>
        <v>6625.8204748817861</v>
      </c>
      <c r="AO52" s="30">
        <f t="shared" si="16"/>
        <v>15255.799999999988</v>
      </c>
      <c r="AP52" s="31">
        <f t="shared" si="17"/>
        <v>4.212338204166332E-2</v>
      </c>
      <c r="AQ52" s="30">
        <f t="shared" si="18"/>
        <v>3670.1091811732167</v>
      </c>
      <c r="AR52" s="30">
        <f t="shared" si="19"/>
        <v>18925.909181173207</v>
      </c>
      <c r="AS52" s="92">
        <f t="shared" si="20"/>
        <v>14098.899999999994</v>
      </c>
      <c r="AT52" s="93">
        <f t="shared" si="21"/>
        <v>2.976401145129853E-2</v>
      </c>
      <c r="AU52" s="94">
        <f t="shared" si="22"/>
        <v>3526.2463130352962</v>
      </c>
      <c r="AV52" s="94">
        <f t="shared" si="23"/>
        <v>17625.146313035289</v>
      </c>
      <c r="AW52" s="103">
        <f t="shared" si="24"/>
        <v>28.100000000005821</v>
      </c>
      <c r="AX52" s="93">
        <f t="shared" si="25"/>
        <v>6.0578707748384985E-5</v>
      </c>
      <c r="AY52" s="103">
        <f t="shared" si="26"/>
        <v>6.2598795626316521</v>
      </c>
      <c r="AZ52" s="103">
        <f t="shared" si="27"/>
        <v>34.359879562637474</v>
      </c>
      <c r="BA52" s="103">
        <f t="shared" si="28"/>
        <v>6728.8999999999942</v>
      </c>
      <c r="BB52" s="90">
        <f t="shared" si="30"/>
        <v>1.9155647830208445E-2</v>
      </c>
      <c r="BC52" s="103">
        <f t="shared" si="31"/>
        <v>1655.8143899996953</v>
      </c>
      <c r="BD52" s="103">
        <f t="shared" si="29"/>
        <v>8384.71438999969</v>
      </c>
      <c r="BE52" s="103">
        <f t="shared" si="32"/>
        <v>8823.1000000000058</v>
      </c>
      <c r="BF52" s="93">
        <f t="shared" si="33"/>
        <v>2.2885168413139981E-2</v>
      </c>
      <c r="BG52" s="103">
        <f t="shared" si="34"/>
        <v>1778.3169563766119</v>
      </c>
      <c r="BH52" s="103">
        <f t="shared" si="35"/>
        <v>10601.416956376617</v>
      </c>
      <c r="BI52" s="103">
        <f t="shared" si="36"/>
        <v>14779.200000000012</v>
      </c>
      <c r="BJ52" s="90">
        <f t="shared" si="37"/>
        <v>3.0684309812619829E-2</v>
      </c>
      <c r="BK52" s="102">
        <f t="shared" si="38"/>
        <v>3459.0321193544</v>
      </c>
      <c r="BL52" s="102">
        <f t="shared" si="39"/>
        <v>18238.232119354412</v>
      </c>
      <c r="BM52" s="94">
        <f t="shared" si="40"/>
        <v>15708.399999999994</v>
      </c>
      <c r="BN52" s="90">
        <f t="shared" si="41"/>
        <v>4.0531286928737344E-2</v>
      </c>
      <c r="BO52" s="94">
        <f t="shared" si="42"/>
        <v>3978.4566870263084</v>
      </c>
      <c r="BP52" s="94">
        <f t="shared" si="43"/>
        <v>19686.856687026302</v>
      </c>
      <c r="BQ52" s="94">
        <f t="shared" si="44"/>
        <v>8460.1000000000058</v>
      </c>
      <c r="BR52" s="90">
        <f t="shared" si="45"/>
        <v>1.6071097390515869E-2</v>
      </c>
      <c r="BS52" s="94">
        <f t="shared" si="46"/>
        <v>1827.9094211230718</v>
      </c>
      <c r="BT52" s="94">
        <f t="shared" si="47"/>
        <v>10288.009421123077</v>
      </c>
    </row>
    <row r="53" spans="1:72" ht="13.5">
      <c r="A53" s="16">
        <v>50</v>
      </c>
      <c r="B53" s="16" t="s">
        <v>49</v>
      </c>
      <c r="C53" s="17" t="s">
        <v>50</v>
      </c>
      <c r="D53" s="18" t="s">
        <v>121</v>
      </c>
      <c r="E53" s="20" t="s">
        <v>49</v>
      </c>
      <c r="F53" s="58" t="s">
        <v>150</v>
      </c>
      <c r="G53" s="57" t="s">
        <v>151</v>
      </c>
      <c r="H53" s="59">
        <v>45.8</v>
      </c>
      <c r="I53" s="59">
        <v>64488.1</v>
      </c>
      <c r="J53" s="59">
        <v>69049.2</v>
      </c>
      <c r="K53" s="59">
        <v>64442.3</v>
      </c>
      <c r="L53" s="59">
        <v>4561.1000000000004</v>
      </c>
      <c r="M53" s="59">
        <v>75320.5</v>
      </c>
      <c r="N53" s="59">
        <v>82578.2</v>
      </c>
      <c r="O53" s="59">
        <v>86703.4</v>
      </c>
      <c r="P53" s="59">
        <v>99401.5</v>
      </c>
      <c r="Q53" s="59">
        <v>99724.3</v>
      </c>
      <c r="R53" s="59">
        <v>112360.6</v>
      </c>
      <c r="S53" s="59">
        <v>133521.29999999999</v>
      </c>
      <c r="T53" s="75">
        <v>136745.20000000001</v>
      </c>
      <c r="U53" s="65">
        <v>140103.9</v>
      </c>
      <c r="V53" s="65">
        <v>152584.1</v>
      </c>
      <c r="W53" s="76">
        <v>156474.6</v>
      </c>
      <c r="X53" s="76">
        <v>182539.1</v>
      </c>
      <c r="Y53" s="30">
        <f t="shared" si="0"/>
        <v>10832.400000000001</v>
      </c>
      <c r="Z53" s="31">
        <f t="shared" si="1"/>
        <v>2.4523001429376506E-2</v>
      </c>
      <c r="AA53" s="30">
        <f t="shared" si="2"/>
        <v>3358.8156971658877</v>
      </c>
      <c r="AB53" s="30">
        <f t="shared" si="3"/>
        <v>14191.21569716589</v>
      </c>
      <c r="AC53" s="30">
        <f t="shared" si="4"/>
        <v>7257.6999999999971</v>
      </c>
      <c r="AD53" s="31">
        <f t="shared" si="5"/>
        <v>2.0419696982016785E-2</v>
      </c>
      <c r="AE53" s="30">
        <f t="shared" si="6"/>
        <v>141.72147752489624</v>
      </c>
      <c r="AF53" s="30">
        <f t="shared" si="7"/>
        <v>7399.4214775248929</v>
      </c>
      <c r="AG53" s="30">
        <f t="shared" si="8"/>
        <v>4125.1999999999971</v>
      </c>
      <c r="AH53" s="31">
        <f t="shared" si="9"/>
        <v>1.4218129866479077E-2</v>
      </c>
      <c r="AI53" s="30">
        <f t="shared" si="10"/>
        <v>1337.7893842076596</v>
      </c>
      <c r="AJ53" s="30">
        <f t="shared" si="11"/>
        <v>5462.9893842076563</v>
      </c>
      <c r="AK53" s="30">
        <f t="shared" si="12"/>
        <v>12698.100000000006</v>
      </c>
      <c r="AL53" s="31">
        <f t="shared" si="13"/>
        <v>3.0875310343298313E-2</v>
      </c>
      <c r="AM53" s="30">
        <f t="shared" si="14"/>
        <v>1279.0294911697672</v>
      </c>
      <c r="AN53" s="30">
        <f t="shared" si="15"/>
        <v>13977.129491169773</v>
      </c>
      <c r="AO53" s="30">
        <f t="shared" si="16"/>
        <v>322.80000000000291</v>
      </c>
      <c r="AP53" s="31">
        <f t="shared" si="17"/>
        <v>8.9129562022634366E-4</v>
      </c>
      <c r="AQ53" s="30">
        <f t="shared" si="18"/>
        <v>77.656448280832606</v>
      </c>
      <c r="AR53" s="30">
        <f t="shared" si="19"/>
        <v>400.4564482808355</v>
      </c>
      <c r="AS53" s="92">
        <f t="shared" si="20"/>
        <v>12636.300000000003</v>
      </c>
      <c r="AT53" s="93">
        <f t="shared" si="21"/>
        <v>2.6676334884426715E-2</v>
      </c>
      <c r="AU53" s="94">
        <f t="shared" si="22"/>
        <v>3160.4384941667745</v>
      </c>
      <c r="AV53" s="94">
        <f t="shared" si="23"/>
        <v>15796.738494166777</v>
      </c>
      <c r="AW53" s="103">
        <f t="shared" si="24"/>
        <v>21160.699999999983</v>
      </c>
      <c r="AX53" s="93">
        <f t="shared" si="25"/>
        <v>4.5618785090782335E-2</v>
      </c>
      <c r="AY53" s="103">
        <f t="shared" si="26"/>
        <v>4714.0011907812122</v>
      </c>
      <c r="AZ53" s="103">
        <f t="shared" si="27"/>
        <v>25874.701190781194</v>
      </c>
      <c r="BA53" s="103">
        <f t="shared" si="28"/>
        <v>3223.9000000000233</v>
      </c>
      <c r="BB53" s="90">
        <f t="shared" si="30"/>
        <v>9.1777100328150965E-3</v>
      </c>
      <c r="BC53" s="103">
        <f t="shared" si="31"/>
        <v>793.3213470136368</v>
      </c>
      <c r="BD53" s="103">
        <f t="shared" si="29"/>
        <v>4017.2213470136603</v>
      </c>
      <c r="BE53" s="103">
        <f t="shared" si="32"/>
        <v>3358.6999999999825</v>
      </c>
      <c r="BF53" s="93">
        <f t="shared" si="33"/>
        <v>8.7117243541626876E-3</v>
      </c>
      <c r="BG53" s="103">
        <f t="shared" si="34"/>
        <v>676.95403671975737</v>
      </c>
      <c r="BH53" s="103">
        <f t="shared" si="35"/>
        <v>4035.6540367197399</v>
      </c>
      <c r="BI53" s="103">
        <f t="shared" si="36"/>
        <v>12480.200000000012</v>
      </c>
      <c r="BJ53" s="90">
        <f t="shared" si="37"/>
        <v>2.5911167270451584E-2</v>
      </c>
      <c r="BK53" s="102">
        <f t="shared" si="38"/>
        <v>2920.957335712812</v>
      </c>
      <c r="BL53" s="102">
        <f t="shared" si="39"/>
        <v>15401.157335712824</v>
      </c>
      <c r="BM53" s="94">
        <f t="shared" si="40"/>
        <v>3890.5</v>
      </c>
      <c r="BN53" s="90">
        <f t="shared" si="41"/>
        <v>1.0038385309532015E-2</v>
      </c>
      <c r="BO53" s="94">
        <f t="shared" si="42"/>
        <v>985.3445125458901</v>
      </c>
      <c r="BP53" s="94">
        <f t="shared" si="43"/>
        <v>4875.8445125458902</v>
      </c>
      <c r="BQ53" s="94">
        <f t="shared" si="44"/>
        <v>26064.5</v>
      </c>
      <c r="BR53" s="90">
        <f t="shared" si="45"/>
        <v>4.9513022060625834E-2</v>
      </c>
      <c r="BS53" s="94">
        <f t="shared" si="46"/>
        <v>5631.5581502419918</v>
      </c>
      <c r="BT53" s="94">
        <f t="shared" si="47"/>
        <v>31696.058150241992</v>
      </c>
    </row>
    <row r="54" spans="1:72" ht="13.5" hidden="1">
      <c r="A54" s="11">
        <v>51</v>
      </c>
      <c r="B54" s="16" t="s">
        <v>39</v>
      </c>
      <c r="C54" s="17" t="s">
        <v>40</v>
      </c>
      <c r="D54" s="18" t="s">
        <v>121</v>
      </c>
      <c r="E54" s="18" t="s">
        <v>124</v>
      </c>
      <c r="F54" s="60" t="s">
        <v>152</v>
      </c>
      <c r="G54" s="55" t="s">
        <v>153</v>
      </c>
      <c r="H54" s="59">
        <v>78.2</v>
      </c>
      <c r="I54" s="59">
        <v>46669.4</v>
      </c>
      <c r="J54" s="59">
        <v>73262.899999999994</v>
      </c>
      <c r="K54" s="59">
        <v>46591.199999999997</v>
      </c>
      <c r="L54" s="59">
        <v>26593.5</v>
      </c>
      <c r="M54" s="59">
        <v>82055.100000000006</v>
      </c>
      <c r="N54" s="59">
        <v>92324.3</v>
      </c>
      <c r="O54" s="59">
        <v>93523.8</v>
      </c>
      <c r="P54" s="59">
        <v>114886.3</v>
      </c>
      <c r="Q54" s="59">
        <v>123950.6</v>
      </c>
      <c r="R54" s="59">
        <v>153473.20000000001</v>
      </c>
      <c r="S54" s="59">
        <v>186088.7</v>
      </c>
      <c r="T54" s="75">
        <v>192070.7</v>
      </c>
      <c r="U54" s="65">
        <v>195074.5</v>
      </c>
      <c r="V54" s="65">
        <v>230833.7</v>
      </c>
      <c r="W54" s="76">
        <v>244041.3</v>
      </c>
      <c r="X54" s="76">
        <v>273236.3</v>
      </c>
      <c r="Y54" s="30">
        <f t="shared" si="0"/>
        <v>35385.700000000004</v>
      </c>
      <c r="Z54" s="31">
        <f t="shared" si="1"/>
        <v>8.0108154396023798E-2</v>
      </c>
      <c r="AA54" s="30">
        <f t="shared" si="2"/>
        <v>10972.087867435006</v>
      </c>
      <c r="AB54" s="30">
        <f t="shared" si="3"/>
        <v>46357.787867435007</v>
      </c>
      <c r="AC54" s="30">
        <f t="shared" si="4"/>
        <v>10269.199999999997</v>
      </c>
      <c r="AD54" s="31">
        <f t="shared" si="5"/>
        <v>2.889261780560326E-2</v>
      </c>
      <c r="AE54" s="30">
        <f t="shared" si="6"/>
        <v>200.52719139653948</v>
      </c>
      <c r="AF54" s="30">
        <f t="shared" si="7"/>
        <v>10469.727191396536</v>
      </c>
      <c r="AG54" s="30">
        <f t="shared" si="8"/>
        <v>1199.5</v>
      </c>
      <c r="AH54" s="31">
        <f t="shared" si="9"/>
        <v>4.1342593752646331E-3</v>
      </c>
      <c r="AI54" s="30">
        <f t="shared" si="10"/>
        <v>388.99407697980428</v>
      </c>
      <c r="AJ54" s="30">
        <f t="shared" si="11"/>
        <v>1588.4940769798043</v>
      </c>
      <c r="AK54" s="30">
        <f t="shared" si="12"/>
        <v>21362.5</v>
      </c>
      <c r="AL54" s="31">
        <f t="shared" si="13"/>
        <v>5.1942717194596824E-2</v>
      </c>
      <c r="AM54" s="30">
        <f t="shared" si="14"/>
        <v>2151.7603031252029</v>
      </c>
      <c r="AN54" s="30">
        <f t="shared" si="15"/>
        <v>23514.260303125204</v>
      </c>
      <c r="AO54" s="30">
        <f t="shared" si="16"/>
        <v>9064.3000000000029</v>
      </c>
      <c r="AP54" s="31">
        <f t="shared" si="17"/>
        <v>2.5027790862507979E-2</v>
      </c>
      <c r="AQ54" s="30">
        <f t="shared" si="18"/>
        <v>2180.6113511522453</v>
      </c>
      <c r="AR54" s="30">
        <f t="shared" si="19"/>
        <v>11244.911351152248</v>
      </c>
      <c r="AS54" s="92">
        <f t="shared" si="20"/>
        <v>29522.600000000006</v>
      </c>
      <c r="AT54" s="93">
        <f t="shared" si="21"/>
        <v>6.2324791612970262E-2</v>
      </c>
      <c r="AU54" s="94">
        <f t="shared" si="22"/>
        <v>7383.8355759113047</v>
      </c>
      <c r="AV54" s="94">
        <f t="shared" si="23"/>
        <v>36906.43557591131</v>
      </c>
      <c r="AW54" s="103">
        <f t="shared" si="24"/>
        <v>32615.5</v>
      </c>
      <c r="AX54" s="93">
        <f t="shared" si="25"/>
        <v>7.0313339593133142E-2</v>
      </c>
      <c r="AY54" s="103">
        <f t="shared" si="26"/>
        <v>7265.8043371875574</v>
      </c>
      <c r="AZ54" s="103">
        <f t="shared" si="27"/>
        <v>39881.304337187554</v>
      </c>
      <c r="BA54" s="103">
        <f t="shared" si="28"/>
        <v>5982</v>
      </c>
      <c r="BB54" s="90">
        <f t="shared" si="30"/>
        <v>1.702939341055849E-2</v>
      </c>
      <c r="BC54" s="103">
        <f t="shared" si="31"/>
        <v>1472.0209367026091</v>
      </c>
      <c r="BD54" s="103">
        <f t="shared" si="29"/>
        <v>7454.0209367026091</v>
      </c>
      <c r="BE54" s="103">
        <f t="shared" si="32"/>
        <v>3003.7999999999884</v>
      </c>
      <c r="BF54" s="93">
        <f t="shared" si="33"/>
        <v>7.7911923110232876E-3</v>
      </c>
      <c r="BG54" s="103">
        <f t="shared" si="34"/>
        <v>605.42309092768335</v>
      </c>
      <c r="BH54" s="103">
        <f t="shared" si="35"/>
        <v>3609.2230909276718</v>
      </c>
      <c r="BI54" s="103">
        <f t="shared" si="36"/>
        <v>35759.200000000012</v>
      </c>
      <c r="BJ54" s="90">
        <f t="shared" si="37"/>
        <v>7.4242609305742835E-2</v>
      </c>
      <c r="BK54" s="102">
        <f t="shared" si="38"/>
        <v>8369.3448469753312</v>
      </c>
      <c r="BL54" s="102">
        <f t="shared" si="39"/>
        <v>44128.544846975346</v>
      </c>
      <c r="BM54" s="94">
        <f t="shared" si="40"/>
        <v>13207.599999999977</v>
      </c>
      <c r="BN54" s="90">
        <f t="shared" si="41"/>
        <v>3.407864742685382E-2</v>
      </c>
      <c r="BO54" s="94">
        <f t="shared" si="42"/>
        <v>3345.0806281714617</v>
      </c>
      <c r="BP54" s="94">
        <f t="shared" si="43"/>
        <v>16552.680628171438</v>
      </c>
      <c r="BQ54" s="94">
        <f t="shared" si="44"/>
        <v>29195</v>
      </c>
      <c r="BR54" s="90">
        <f t="shared" si="45"/>
        <v>5.5459827698976435E-2</v>
      </c>
      <c r="BS54" s="94">
        <f t="shared" si="46"/>
        <v>6307.9414604659578</v>
      </c>
      <c r="BT54" s="94">
        <f t="shared" si="47"/>
        <v>35502.941460465954</v>
      </c>
    </row>
    <row r="55" spans="1:72" ht="13.5" hidden="1">
      <c r="A55" s="16">
        <v>52</v>
      </c>
      <c r="B55" s="16" t="s">
        <v>39</v>
      </c>
      <c r="C55" s="17" t="s">
        <v>40</v>
      </c>
      <c r="D55" s="18" t="s">
        <v>121</v>
      </c>
      <c r="E55" s="18" t="s">
        <v>124</v>
      </c>
      <c r="F55" s="60" t="s">
        <v>154</v>
      </c>
      <c r="G55" s="55" t="s">
        <v>155</v>
      </c>
      <c r="H55" s="59">
        <v>2608.6</v>
      </c>
      <c r="I55" s="59">
        <v>17697.8</v>
      </c>
      <c r="J55" s="59">
        <v>18820.099999999999</v>
      </c>
      <c r="K55" s="59">
        <v>15089.2</v>
      </c>
      <c r="L55" s="59">
        <v>1122.3</v>
      </c>
      <c r="M55" s="59">
        <v>19148.400000000001</v>
      </c>
      <c r="N55" s="59">
        <v>20358.099999999999</v>
      </c>
      <c r="O55" s="59">
        <v>21329.599999999999</v>
      </c>
      <c r="P55" s="59">
        <v>23227.4</v>
      </c>
      <c r="Q55" s="59">
        <v>25757.599999999999</v>
      </c>
      <c r="R55" s="59">
        <v>27865.3</v>
      </c>
      <c r="S55" s="59">
        <v>29130.1</v>
      </c>
      <c r="T55" s="75">
        <v>30252.9</v>
      </c>
      <c r="U55" s="65">
        <v>31466.400000000001</v>
      </c>
      <c r="V55" s="65">
        <v>32821.199999999997</v>
      </c>
      <c r="W55" s="76">
        <v>34290.800000000003</v>
      </c>
      <c r="X55" s="76">
        <v>36120.199999999997</v>
      </c>
      <c r="Y55" s="30">
        <f t="shared" si="0"/>
        <v>1450.6000000000022</v>
      </c>
      <c r="Z55" s="31">
        <f t="shared" si="1"/>
        <v>3.2839505440579748E-3</v>
      </c>
      <c r="AA55" s="30">
        <f t="shared" si="2"/>
        <v>449.78934034090724</v>
      </c>
      <c r="AB55" s="30">
        <f t="shared" si="3"/>
        <v>1900.3893403409095</v>
      </c>
      <c r="AC55" s="30">
        <f t="shared" si="4"/>
        <v>1209.6999999999971</v>
      </c>
      <c r="AD55" s="31">
        <f t="shared" si="5"/>
        <v>3.4035172904839897E-3</v>
      </c>
      <c r="AE55" s="30">
        <f t="shared" si="6"/>
        <v>23.621873508393378</v>
      </c>
      <c r="AF55" s="30">
        <f t="shared" si="7"/>
        <v>1233.3218735083906</v>
      </c>
      <c r="AG55" s="30">
        <f t="shared" si="8"/>
        <v>971.5</v>
      </c>
      <c r="AH55" s="31">
        <f t="shared" si="9"/>
        <v>3.3484226620004933E-3</v>
      </c>
      <c r="AI55" s="30">
        <f t="shared" si="10"/>
        <v>315.05439415246349</v>
      </c>
      <c r="AJ55" s="30">
        <f t="shared" si="11"/>
        <v>1286.5543941524634</v>
      </c>
      <c r="AK55" s="30">
        <f t="shared" si="12"/>
        <v>1897.8000000000029</v>
      </c>
      <c r="AL55" s="31">
        <f t="shared" si="13"/>
        <v>4.614482794237847E-3</v>
      </c>
      <c r="AM55" s="30">
        <f t="shared" si="14"/>
        <v>191.15790302029333</v>
      </c>
      <c r="AN55" s="30">
        <f t="shared" si="15"/>
        <v>2088.9579030202963</v>
      </c>
      <c r="AO55" s="30">
        <f t="shared" si="16"/>
        <v>2530.1999999999971</v>
      </c>
      <c r="AP55" s="31">
        <f t="shared" si="17"/>
        <v>6.9862335139302097E-3</v>
      </c>
      <c r="AQ55" s="30">
        <f t="shared" si="18"/>
        <v>608.69375910830433</v>
      </c>
      <c r="AR55" s="30">
        <f t="shared" si="19"/>
        <v>3138.8937591083013</v>
      </c>
      <c r="AS55" s="92">
        <f t="shared" si="20"/>
        <v>2107.7000000000007</v>
      </c>
      <c r="AT55" s="93">
        <f t="shared" si="21"/>
        <v>4.4495391084341303E-3</v>
      </c>
      <c r="AU55" s="94">
        <f t="shared" si="22"/>
        <v>527.15242706767901</v>
      </c>
      <c r="AV55" s="94">
        <f t="shared" si="23"/>
        <v>2634.8524270676799</v>
      </c>
      <c r="AW55" s="103">
        <f t="shared" si="24"/>
        <v>1264.7999999999993</v>
      </c>
      <c r="AX55" s="93">
        <f t="shared" si="25"/>
        <v>2.7266885964463135E-3</v>
      </c>
      <c r="AY55" s="103">
        <f t="shared" si="26"/>
        <v>281.76141177277111</v>
      </c>
      <c r="AZ55" s="103">
        <f t="shared" si="27"/>
        <v>1546.5614117727705</v>
      </c>
      <c r="BA55" s="103">
        <f t="shared" si="28"/>
        <v>1122.8000000000029</v>
      </c>
      <c r="BB55" s="90">
        <f t="shared" si="30"/>
        <v>3.1963562222292077E-3</v>
      </c>
      <c r="BC55" s="103">
        <f t="shared" si="31"/>
        <v>276.2930638130548</v>
      </c>
      <c r="BD55" s="103">
        <f t="shared" si="29"/>
        <v>1399.0930638130576</v>
      </c>
      <c r="BE55" s="103">
        <f t="shared" si="32"/>
        <v>1213.5</v>
      </c>
      <c r="BF55" s="93">
        <f t="shared" si="33"/>
        <v>3.1475503926449151E-3</v>
      </c>
      <c r="BG55" s="103">
        <f t="shared" si="34"/>
        <v>244.58383409040101</v>
      </c>
      <c r="BH55" s="103">
        <f t="shared" si="35"/>
        <v>1458.0838340904011</v>
      </c>
      <c r="BI55" s="103">
        <f t="shared" si="36"/>
        <v>1354.7999999999956</v>
      </c>
      <c r="BJ55" s="90">
        <f t="shared" si="37"/>
        <v>2.8128114467723003E-3</v>
      </c>
      <c r="BK55" s="102">
        <f t="shared" si="38"/>
        <v>317.08730616686444</v>
      </c>
      <c r="BL55" s="102">
        <f t="shared" si="39"/>
        <v>1671.8873061668601</v>
      </c>
      <c r="BM55" s="94">
        <f t="shared" si="40"/>
        <v>1469.6000000000058</v>
      </c>
      <c r="BN55" s="90">
        <f t="shared" si="41"/>
        <v>3.7919061948048596E-3</v>
      </c>
      <c r="BO55" s="94">
        <f t="shared" si="42"/>
        <v>372.20467694061063</v>
      </c>
      <c r="BP55" s="94">
        <f t="shared" si="43"/>
        <v>1841.8046769406164</v>
      </c>
      <c r="BQ55" s="94">
        <f t="shared" si="44"/>
        <v>1829.3999999999942</v>
      </c>
      <c r="BR55" s="90">
        <f t="shared" si="45"/>
        <v>3.4751912585205399E-3</v>
      </c>
      <c r="BS55" s="94">
        <f t="shared" si="46"/>
        <v>395.26453528948059</v>
      </c>
      <c r="BT55" s="94">
        <f t="shared" si="47"/>
        <v>2224.6645352894748</v>
      </c>
    </row>
    <row r="56" spans="1:72" ht="13.5" hidden="1">
      <c r="A56" s="11">
        <v>53</v>
      </c>
      <c r="B56" s="16" t="s">
        <v>39</v>
      </c>
      <c r="C56" s="17" t="s">
        <v>40</v>
      </c>
      <c r="D56" s="18" t="s">
        <v>121</v>
      </c>
      <c r="E56" s="18" t="s">
        <v>124</v>
      </c>
      <c r="F56" s="60" t="s">
        <v>156</v>
      </c>
      <c r="G56" s="55" t="s">
        <v>157</v>
      </c>
      <c r="H56" s="59">
        <v>55.1</v>
      </c>
      <c r="I56" s="59">
        <v>73778.600000000006</v>
      </c>
      <c r="J56" s="59">
        <v>114503</v>
      </c>
      <c r="K56" s="59">
        <v>73723.5</v>
      </c>
      <c r="L56" s="59">
        <v>40724.400000000001</v>
      </c>
      <c r="M56" s="59">
        <v>128051.5</v>
      </c>
      <c r="N56" s="59">
        <v>132099.79999999999</v>
      </c>
      <c r="O56" s="59">
        <v>141253.9</v>
      </c>
      <c r="P56" s="59">
        <v>160478.29999999999</v>
      </c>
      <c r="Q56" s="59">
        <v>174429.2</v>
      </c>
      <c r="R56" s="59">
        <v>218442.9</v>
      </c>
      <c r="S56" s="59">
        <v>271797.3</v>
      </c>
      <c r="T56" s="75">
        <v>296874.8</v>
      </c>
      <c r="U56" s="65">
        <v>325663.5</v>
      </c>
      <c r="V56" s="65">
        <v>363463.9</v>
      </c>
      <c r="W56" s="76">
        <v>395517.3</v>
      </c>
      <c r="X56" s="76">
        <v>453507.2</v>
      </c>
      <c r="Y56" s="30">
        <f t="shared" si="0"/>
        <v>54272.899999999994</v>
      </c>
      <c r="Z56" s="31">
        <f t="shared" si="1"/>
        <v>0.12286606885606216</v>
      </c>
      <c r="AA56" s="30">
        <f t="shared" si="2"/>
        <v>16828.465386314616</v>
      </c>
      <c r="AB56" s="30">
        <f t="shared" si="3"/>
        <v>71101.365386314603</v>
      </c>
      <c r="AC56" s="30">
        <f t="shared" si="4"/>
        <v>4048.2999999999884</v>
      </c>
      <c r="AD56" s="31">
        <f t="shared" si="5"/>
        <v>1.1389980199277779E-2</v>
      </c>
      <c r="AE56" s="30">
        <f t="shared" si="6"/>
        <v>79.051360274472074</v>
      </c>
      <c r="AF56" s="30">
        <f t="shared" si="7"/>
        <v>4127.3513602744606</v>
      </c>
      <c r="AG56" s="30">
        <f t="shared" si="8"/>
        <v>9154.1000000000058</v>
      </c>
      <c r="AH56" s="31">
        <f t="shared" si="9"/>
        <v>3.1550999372330142E-2</v>
      </c>
      <c r="AI56" s="30">
        <f t="shared" si="10"/>
        <v>2968.6458358322875</v>
      </c>
      <c r="AJ56" s="30">
        <f t="shared" si="11"/>
        <v>12122.745835832293</v>
      </c>
      <c r="AK56" s="30">
        <f t="shared" si="12"/>
        <v>19224.399999999994</v>
      </c>
      <c r="AL56" s="31">
        <f t="shared" si="13"/>
        <v>4.6743947217591897E-2</v>
      </c>
      <c r="AM56" s="30">
        <f t="shared" si="14"/>
        <v>1936.397929614986</v>
      </c>
      <c r="AN56" s="30">
        <f t="shared" si="15"/>
        <v>21160.797929614979</v>
      </c>
      <c r="AO56" s="30">
        <f t="shared" si="16"/>
        <v>13950.900000000023</v>
      </c>
      <c r="AP56" s="31">
        <f t="shared" si="17"/>
        <v>3.8520371958536574E-2</v>
      </c>
      <c r="AQ56" s="30">
        <f t="shared" si="18"/>
        <v>3356.1875598545835</v>
      </c>
      <c r="AR56" s="30">
        <f t="shared" si="19"/>
        <v>17307.087559854608</v>
      </c>
      <c r="AS56" s="92">
        <f t="shared" si="20"/>
        <v>44013.699999999983</v>
      </c>
      <c r="AT56" s="93">
        <f t="shared" si="21"/>
        <v>9.2916771578918783E-2</v>
      </c>
      <c r="AU56" s="94">
        <f t="shared" si="22"/>
        <v>11008.174208487302</v>
      </c>
      <c r="AV56" s="94">
        <f t="shared" si="23"/>
        <v>55021.874208487287</v>
      </c>
      <c r="AW56" s="103">
        <f t="shared" si="24"/>
        <v>53354.399999999994</v>
      </c>
      <c r="AX56" s="93">
        <f t="shared" si="25"/>
        <v>0.11502279731992035</v>
      </c>
      <c r="AY56" s="103">
        <f t="shared" si="26"/>
        <v>11885.840503074911</v>
      </c>
      <c r="AZ56" s="103">
        <f t="shared" si="27"/>
        <v>65240.240503074907</v>
      </c>
      <c r="BA56" s="103">
        <f t="shared" si="28"/>
        <v>25077.5</v>
      </c>
      <c r="BB56" s="90">
        <f t="shared" si="30"/>
        <v>7.1389938691621621E-2</v>
      </c>
      <c r="BC56" s="103">
        <f t="shared" si="31"/>
        <v>6170.9470144031566</v>
      </c>
      <c r="BD56" s="103">
        <f t="shared" si="29"/>
        <v>31248.447014403158</v>
      </c>
      <c r="BE56" s="103">
        <f t="shared" si="32"/>
        <v>28788.700000000012</v>
      </c>
      <c r="BF56" s="93">
        <f t="shared" si="33"/>
        <v>7.4671515441892627E-2</v>
      </c>
      <c r="BG56" s="103">
        <f t="shared" si="34"/>
        <v>5802.4314993640955</v>
      </c>
      <c r="BH56" s="103">
        <f t="shared" si="35"/>
        <v>34591.131499364106</v>
      </c>
      <c r="BI56" s="103">
        <f t="shared" si="36"/>
        <v>37800.400000000023</v>
      </c>
      <c r="BJ56" s="90">
        <f t="shared" si="37"/>
        <v>7.8480512114387405E-2</v>
      </c>
      <c r="BK56" s="102">
        <f t="shared" si="38"/>
        <v>8847.0822320859061</v>
      </c>
      <c r="BL56" s="102">
        <f t="shared" si="39"/>
        <v>46647.482232085931</v>
      </c>
      <c r="BM56" s="94">
        <f t="shared" si="40"/>
        <v>32053.399999999965</v>
      </c>
      <c r="BN56" s="90">
        <f t="shared" si="41"/>
        <v>8.2705148356394587E-2</v>
      </c>
      <c r="BO56" s="94">
        <f t="shared" si="42"/>
        <v>8118.1446596680116</v>
      </c>
      <c r="BP56" s="94">
        <f t="shared" si="43"/>
        <v>40171.544659667976</v>
      </c>
      <c r="BQ56" s="94">
        <f t="shared" si="44"/>
        <v>57989.900000000023</v>
      </c>
      <c r="BR56" s="90">
        <f t="shared" si="45"/>
        <v>0.11015961165545041</v>
      </c>
      <c r="BS56" s="94">
        <f t="shared" si="46"/>
        <v>12529.436358906489</v>
      </c>
      <c r="BT56" s="94">
        <f t="shared" si="47"/>
        <v>70519.336358906512</v>
      </c>
    </row>
    <row r="57" spans="1:72" ht="13.5" hidden="1">
      <c r="A57" s="16">
        <v>54</v>
      </c>
      <c r="B57" s="16" t="s">
        <v>39</v>
      </c>
      <c r="C57" s="17" t="s">
        <v>40</v>
      </c>
      <c r="D57" s="18" t="s">
        <v>121</v>
      </c>
      <c r="E57" s="18" t="s">
        <v>124</v>
      </c>
      <c r="F57" s="60" t="s">
        <v>158</v>
      </c>
      <c r="G57" s="55" t="s">
        <v>159</v>
      </c>
      <c r="H57" s="59">
        <v>15.8</v>
      </c>
      <c r="I57" s="59">
        <v>18863.3</v>
      </c>
      <c r="J57" s="59">
        <v>30140.5</v>
      </c>
      <c r="K57" s="59">
        <v>18847.5</v>
      </c>
      <c r="L57" s="59">
        <v>11277.2</v>
      </c>
      <c r="M57" s="59">
        <v>34034</v>
      </c>
      <c r="N57" s="59">
        <v>38124.1</v>
      </c>
      <c r="O57" s="59">
        <v>38668.699999999997</v>
      </c>
      <c r="P57" s="59">
        <v>48230.1</v>
      </c>
      <c r="Q57" s="59">
        <v>52354.6</v>
      </c>
      <c r="R57" s="59">
        <v>66083.8</v>
      </c>
      <c r="S57" s="59">
        <v>82253.2</v>
      </c>
      <c r="T57" s="75">
        <v>84956.5</v>
      </c>
      <c r="U57" s="65">
        <v>86485.4</v>
      </c>
      <c r="V57" s="65">
        <v>104031.7</v>
      </c>
      <c r="W57" s="76">
        <v>110298.6</v>
      </c>
      <c r="X57" s="76">
        <v>123910.7</v>
      </c>
      <c r="Y57" s="30">
        <f t="shared" si="0"/>
        <v>15170.7</v>
      </c>
      <c r="Z57" s="31">
        <f t="shared" si="1"/>
        <v>3.4344290995960459E-2</v>
      </c>
      <c r="AA57" s="30">
        <f t="shared" si="2"/>
        <v>4703.9977564523588</v>
      </c>
      <c r="AB57" s="30">
        <f t="shared" si="3"/>
        <v>19874.697756452359</v>
      </c>
      <c r="AC57" s="30">
        <f t="shared" si="4"/>
        <v>4090.0999999999985</v>
      </c>
      <c r="AD57" s="31">
        <f t="shared" si="5"/>
        <v>1.1507585409447463E-2</v>
      </c>
      <c r="AE57" s="30">
        <f t="shared" si="6"/>
        <v>79.86759100329003</v>
      </c>
      <c r="AF57" s="30">
        <f t="shared" si="7"/>
        <v>4169.9675910032884</v>
      </c>
      <c r="AG57" s="30">
        <f t="shared" si="8"/>
        <v>544.59999999999854</v>
      </c>
      <c r="AH57" s="31">
        <f t="shared" si="9"/>
        <v>1.8770468159809198E-3</v>
      </c>
      <c r="AI57" s="30">
        <f t="shared" si="10"/>
        <v>176.61206696390235</v>
      </c>
      <c r="AJ57" s="30">
        <f t="shared" si="11"/>
        <v>721.21206696390095</v>
      </c>
      <c r="AK57" s="30">
        <f t="shared" si="12"/>
        <v>9561.4000000000015</v>
      </c>
      <c r="AL57" s="31">
        <f t="shared" si="13"/>
        <v>2.3248453888094472E-2</v>
      </c>
      <c r="AM57" s="30">
        <f t="shared" si="14"/>
        <v>963.08208132481298</v>
      </c>
      <c r="AN57" s="30">
        <f t="shared" si="15"/>
        <v>10524.482081324815</v>
      </c>
      <c r="AO57" s="30">
        <f t="shared" si="16"/>
        <v>4124.5</v>
      </c>
      <c r="AP57" s="31">
        <f t="shared" si="17"/>
        <v>1.1388317179750685E-2</v>
      </c>
      <c r="AQ57" s="30">
        <f t="shared" si="18"/>
        <v>992.23674391044358</v>
      </c>
      <c r="AR57" s="30">
        <f t="shared" si="19"/>
        <v>5116.7367439104437</v>
      </c>
      <c r="AS57" s="92">
        <f t="shared" si="20"/>
        <v>13729.200000000004</v>
      </c>
      <c r="AT57" s="93">
        <f t="shared" si="21"/>
        <v>2.8983542405235024E-2</v>
      </c>
      <c r="AU57" s="94">
        <f t="shared" si="22"/>
        <v>3433.7814213111824</v>
      </c>
      <c r="AV57" s="94">
        <f t="shared" si="23"/>
        <v>17162.981421311186</v>
      </c>
      <c r="AW57" s="103">
        <f t="shared" si="24"/>
        <v>16169.399999999994</v>
      </c>
      <c r="AX57" s="93">
        <f t="shared" si="25"/>
        <v>3.4858411283506509E-2</v>
      </c>
      <c r="AY57" s="103">
        <f t="shared" si="26"/>
        <v>3602.0817295371967</v>
      </c>
      <c r="AZ57" s="103">
        <f t="shared" si="27"/>
        <v>19771.48172953719</v>
      </c>
      <c r="BA57" s="103">
        <f t="shared" si="28"/>
        <v>2703.3000000000029</v>
      </c>
      <c r="BB57" s="90">
        <f t="shared" si="30"/>
        <v>7.695680241852694E-3</v>
      </c>
      <c r="BC57" s="103">
        <f t="shared" si="31"/>
        <v>665.21467706254896</v>
      </c>
      <c r="BD57" s="103">
        <f t="shared" si="29"/>
        <v>3368.514677062552</v>
      </c>
      <c r="BE57" s="103">
        <f t="shared" si="32"/>
        <v>1528.8999999999942</v>
      </c>
      <c r="BF57" s="93">
        <f t="shared" si="33"/>
        <v>3.9656281790809988E-3</v>
      </c>
      <c r="BG57" s="103">
        <f t="shared" si="34"/>
        <v>308.1534601902041</v>
      </c>
      <c r="BH57" s="103">
        <f t="shared" si="35"/>
        <v>1837.0534601901982</v>
      </c>
      <c r="BI57" s="103">
        <f t="shared" si="36"/>
        <v>17546.300000000003</v>
      </c>
      <c r="BJ57" s="90">
        <f t="shared" si="37"/>
        <v>3.6429313174269985E-2</v>
      </c>
      <c r="BK57" s="102">
        <f t="shared" si="38"/>
        <v>4106.6644524621133</v>
      </c>
      <c r="BL57" s="102">
        <f t="shared" si="39"/>
        <v>21652.964452462118</v>
      </c>
      <c r="BM57" s="94">
        <f t="shared" si="40"/>
        <v>6266.9000000000087</v>
      </c>
      <c r="BN57" s="90">
        <f t="shared" si="41"/>
        <v>1.617004418360269E-2</v>
      </c>
      <c r="BO57" s="94">
        <f t="shared" si="42"/>
        <v>1587.2138608594901</v>
      </c>
      <c r="BP57" s="94">
        <f t="shared" si="43"/>
        <v>7854.1138608594993</v>
      </c>
      <c r="BQ57" s="94">
        <f t="shared" si="44"/>
        <v>13612.099999999991</v>
      </c>
      <c r="BR57" s="90">
        <f t="shared" si="45"/>
        <v>2.5858014064779469E-2</v>
      </c>
      <c r="BS57" s="94">
        <f t="shared" si="46"/>
        <v>2941.0628516529746</v>
      </c>
      <c r="BT57" s="94">
        <f t="shared" si="47"/>
        <v>16553.162851652967</v>
      </c>
    </row>
    <row r="58" spans="1:72" ht="13.5" hidden="1">
      <c r="A58" s="11">
        <v>55</v>
      </c>
      <c r="B58" s="16" t="s">
        <v>39</v>
      </c>
      <c r="C58" s="17" t="s">
        <v>40</v>
      </c>
      <c r="D58" s="18" t="s">
        <v>121</v>
      </c>
      <c r="E58" s="18" t="s">
        <v>124</v>
      </c>
      <c r="F58" s="60" t="s">
        <v>160</v>
      </c>
      <c r="G58" s="55" t="s">
        <v>161</v>
      </c>
      <c r="H58" s="59">
        <v>35.299999999999997</v>
      </c>
      <c r="I58" s="59">
        <v>37991.4</v>
      </c>
      <c r="J58" s="59">
        <v>57456</v>
      </c>
      <c r="K58" s="59">
        <v>37956.1</v>
      </c>
      <c r="L58" s="59">
        <v>19464.599999999999</v>
      </c>
      <c r="M58" s="59">
        <v>64149.1</v>
      </c>
      <c r="N58" s="59">
        <v>68020.7</v>
      </c>
      <c r="O58" s="59">
        <v>71786.899999999994</v>
      </c>
      <c r="P58" s="59">
        <v>84677.5</v>
      </c>
      <c r="Q58" s="59">
        <v>91263.8</v>
      </c>
      <c r="R58" s="59">
        <v>117047.6</v>
      </c>
      <c r="S58" s="59">
        <v>140814.6</v>
      </c>
      <c r="T58" s="75">
        <v>150550.5</v>
      </c>
      <c r="U58" s="65">
        <v>162042</v>
      </c>
      <c r="V58" s="65">
        <v>181041.5</v>
      </c>
      <c r="W58" s="76">
        <v>196769.5</v>
      </c>
      <c r="X58" s="76">
        <v>222644.6</v>
      </c>
      <c r="Y58" s="30">
        <f t="shared" si="0"/>
        <v>26157.699999999997</v>
      </c>
      <c r="Z58" s="31">
        <f t="shared" si="1"/>
        <v>5.9217284672759649E-2</v>
      </c>
      <c r="AA58" s="30">
        <f t="shared" si="2"/>
        <v>8110.7504672792847</v>
      </c>
      <c r="AB58" s="30">
        <f t="shared" si="3"/>
        <v>34268.450467279283</v>
      </c>
      <c r="AC58" s="30">
        <f t="shared" si="4"/>
        <v>3871.5999999999985</v>
      </c>
      <c r="AD58" s="31">
        <f t="shared" si="5"/>
        <v>1.0892830901742451E-2</v>
      </c>
      <c r="AE58" s="30">
        <f t="shared" si="6"/>
        <v>75.600930375379008</v>
      </c>
      <c r="AF58" s="30">
        <f t="shared" si="7"/>
        <v>3947.2009303753775</v>
      </c>
      <c r="AG58" s="30">
        <f t="shared" si="8"/>
        <v>3766.1999999999971</v>
      </c>
      <c r="AH58" s="31">
        <f t="shared" si="9"/>
        <v>1.2980781708313172E-2</v>
      </c>
      <c r="AI58" s="30">
        <f t="shared" si="10"/>
        <v>1221.3668134400482</v>
      </c>
      <c r="AJ58" s="30">
        <f t="shared" si="11"/>
        <v>4987.5668134400457</v>
      </c>
      <c r="AK58" s="30">
        <f t="shared" si="12"/>
        <v>12890.600000000006</v>
      </c>
      <c r="AL58" s="31">
        <f t="shared" si="13"/>
        <v>3.134337227705887E-2</v>
      </c>
      <c r="AM58" s="30">
        <f t="shared" si="14"/>
        <v>1298.4192563354361</v>
      </c>
      <c r="AN58" s="30">
        <f t="shared" si="15"/>
        <v>14189.019256335441</v>
      </c>
      <c r="AO58" s="30">
        <f t="shared" si="16"/>
        <v>6586.3000000000029</v>
      </c>
      <c r="AP58" s="31">
        <f t="shared" si="17"/>
        <v>1.8185688796458231E-2</v>
      </c>
      <c r="AQ58" s="30">
        <f t="shared" si="18"/>
        <v>1584.4754191822906</v>
      </c>
      <c r="AR58" s="30">
        <f t="shared" si="19"/>
        <v>8170.7754191822933</v>
      </c>
      <c r="AS58" s="92">
        <f t="shared" si="20"/>
        <v>25783.800000000003</v>
      </c>
      <c r="AT58" s="93">
        <f t="shared" si="21"/>
        <v>5.4431857695138725E-2</v>
      </c>
      <c r="AU58" s="94">
        <f t="shared" si="22"/>
        <v>6448.7321483264304</v>
      </c>
      <c r="AV58" s="94">
        <f t="shared" si="23"/>
        <v>32232.532148326434</v>
      </c>
      <c r="AW58" s="103">
        <f t="shared" si="24"/>
        <v>23767</v>
      </c>
      <c r="AX58" s="93">
        <f t="shared" si="25"/>
        <v>5.1237514130091373E-2</v>
      </c>
      <c r="AY58" s="103">
        <f t="shared" si="26"/>
        <v>5294.6105895030478</v>
      </c>
      <c r="AZ58" s="103">
        <f t="shared" si="27"/>
        <v>29061.610589503049</v>
      </c>
      <c r="BA58" s="103">
        <f t="shared" si="28"/>
        <v>9735.8999999999942</v>
      </c>
      <c r="BB58" s="90">
        <f t="shared" si="30"/>
        <v>2.7715892896331713E-2</v>
      </c>
      <c r="BC58" s="103">
        <f t="shared" si="31"/>
        <v>2395.7620591178406</v>
      </c>
      <c r="BD58" s="103">
        <f t="shared" si="29"/>
        <v>12131.662059117834</v>
      </c>
      <c r="BE58" s="103">
        <f t="shared" si="32"/>
        <v>11491.5</v>
      </c>
      <c r="BF58" s="93">
        <f t="shared" si="33"/>
        <v>2.9806407364712847E-2</v>
      </c>
      <c r="BG58" s="103">
        <f t="shared" si="34"/>
        <v>2316.1393732590382</v>
      </c>
      <c r="BH58" s="103">
        <f t="shared" si="35"/>
        <v>13807.639373259039</v>
      </c>
      <c r="BI58" s="103">
        <f t="shared" si="36"/>
        <v>18999.5</v>
      </c>
      <c r="BJ58" s="90">
        <f t="shared" si="37"/>
        <v>3.9446420935156844E-2</v>
      </c>
      <c r="BK58" s="102">
        <f t="shared" si="38"/>
        <v>4446.782014701329</v>
      </c>
      <c r="BL58" s="102">
        <f t="shared" si="39"/>
        <v>23446.28201470133</v>
      </c>
      <c r="BM58" s="94">
        <f t="shared" si="40"/>
        <v>15728</v>
      </c>
      <c r="BN58" s="90">
        <f t="shared" si="41"/>
        <v>4.0581859439228769E-2</v>
      </c>
      <c r="BO58" s="94">
        <f t="shared" si="42"/>
        <v>3983.420766822197</v>
      </c>
      <c r="BP58" s="94">
        <f t="shared" si="43"/>
        <v>19711.420766822197</v>
      </c>
      <c r="BQ58" s="94">
        <f t="shared" si="44"/>
        <v>25875.100000000006</v>
      </c>
      <c r="BR58" s="90">
        <f t="shared" si="45"/>
        <v>4.9153231296242009E-2</v>
      </c>
      <c r="BS58" s="94">
        <f t="shared" si="46"/>
        <v>5590.6359336770929</v>
      </c>
      <c r="BT58" s="94">
        <f t="shared" si="47"/>
        <v>31465.735933677097</v>
      </c>
    </row>
    <row r="59" spans="1:72" ht="13.5" hidden="1">
      <c r="A59" s="16">
        <v>56</v>
      </c>
      <c r="B59" s="16" t="s">
        <v>39</v>
      </c>
      <c r="C59" s="17" t="s">
        <v>40</v>
      </c>
      <c r="D59" s="18" t="s">
        <v>121</v>
      </c>
      <c r="E59" s="18" t="s">
        <v>124</v>
      </c>
      <c r="F59" s="60" t="s">
        <v>162</v>
      </c>
      <c r="G59" s="55" t="s">
        <v>163</v>
      </c>
      <c r="H59" s="59" t="s">
        <v>127</v>
      </c>
      <c r="I59" s="59">
        <v>10113.700000000001</v>
      </c>
      <c r="J59" s="59">
        <v>14696.2</v>
      </c>
      <c r="K59" s="59">
        <v>10113.700000000001</v>
      </c>
      <c r="L59" s="59">
        <v>4582.5</v>
      </c>
      <c r="M59" s="59">
        <v>16346.9</v>
      </c>
      <c r="N59" s="59">
        <v>17204.2</v>
      </c>
      <c r="O59" s="59">
        <v>17605.3</v>
      </c>
      <c r="P59" s="59">
        <v>20196.8</v>
      </c>
      <c r="Q59" s="59">
        <v>21688.5</v>
      </c>
      <c r="R59" s="59">
        <v>28385.8</v>
      </c>
      <c r="S59" s="59">
        <v>35750.199999999997</v>
      </c>
      <c r="T59" s="75">
        <v>37852.300000000003</v>
      </c>
      <c r="U59" s="65">
        <v>40343.599999999999</v>
      </c>
      <c r="V59" s="65">
        <v>46896.3</v>
      </c>
      <c r="W59" s="76">
        <v>50773.3</v>
      </c>
      <c r="X59" s="76">
        <v>59315.4</v>
      </c>
      <c r="Y59" s="30">
        <f t="shared" si="0"/>
        <v>6233.1999999999989</v>
      </c>
      <c r="Z59" s="31">
        <f t="shared" si="1"/>
        <v>1.4111071647057861E-2</v>
      </c>
      <c r="AA59" s="30">
        <f t="shared" si="2"/>
        <v>1932.736051435915</v>
      </c>
      <c r="AB59" s="30">
        <f t="shared" si="3"/>
        <v>8165.9360514359141</v>
      </c>
      <c r="AC59" s="30">
        <f t="shared" si="4"/>
        <v>857.30000000000109</v>
      </c>
      <c r="AD59" s="31">
        <f t="shared" si="5"/>
        <v>2.412032217187679E-3</v>
      </c>
      <c r="AE59" s="30">
        <f t="shared" si="6"/>
        <v>16.740540761135584</v>
      </c>
      <c r="AF59" s="30">
        <f t="shared" si="7"/>
        <v>874.04054076113664</v>
      </c>
      <c r="AG59" s="30">
        <f t="shared" si="8"/>
        <v>401.09999999999854</v>
      </c>
      <c r="AH59" s="31">
        <f t="shared" si="9"/>
        <v>1.3824522179396736E-3</v>
      </c>
      <c r="AI59" s="30">
        <f t="shared" si="10"/>
        <v>130.07546834230843</v>
      </c>
      <c r="AJ59" s="30">
        <f t="shared" si="11"/>
        <v>531.175468342307</v>
      </c>
      <c r="AK59" s="30">
        <f t="shared" si="12"/>
        <v>2591.5</v>
      </c>
      <c r="AL59" s="31">
        <f t="shared" si="13"/>
        <v>6.3012077991713355E-3</v>
      </c>
      <c r="AM59" s="30">
        <f t="shared" si="14"/>
        <v>261.03156585366708</v>
      </c>
      <c r="AN59" s="30">
        <f t="shared" si="15"/>
        <v>2852.531565853667</v>
      </c>
      <c r="AO59" s="30">
        <f t="shared" si="16"/>
        <v>1491.7000000000007</v>
      </c>
      <c r="AP59" s="31">
        <f t="shared" si="17"/>
        <v>4.1187908199864483E-3</v>
      </c>
      <c r="AQ59" s="30">
        <f t="shared" si="18"/>
        <v>358.86035904745046</v>
      </c>
      <c r="AR59" s="30">
        <f t="shared" si="19"/>
        <v>1850.5603590474511</v>
      </c>
      <c r="AS59" s="92">
        <f t="shared" si="20"/>
        <v>6697.2999999999993</v>
      </c>
      <c r="AT59" s="93">
        <f t="shared" si="21"/>
        <v>1.4138586265083212E-2</v>
      </c>
      <c r="AU59" s="94">
        <f t="shared" si="22"/>
        <v>1675.0476584904707</v>
      </c>
      <c r="AV59" s="94">
        <f t="shared" si="23"/>
        <v>8372.3476584904693</v>
      </c>
      <c r="AW59" s="103">
        <f t="shared" si="24"/>
        <v>7364.3999999999978</v>
      </c>
      <c r="AX59" s="93">
        <f t="shared" si="25"/>
        <v>1.5876364247050315E-2</v>
      </c>
      <c r="AY59" s="103">
        <f t="shared" si="26"/>
        <v>1640.5785427414583</v>
      </c>
      <c r="AZ59" s="103">
        <f t="shared" si="27"/>
        <v>9004.9785427414554</v>
      </c>
      <c r="BA59" s="103">
        <f t="shared" si="28"/>
        <v>2102.1000000000058</v>
      </c>
      <c r="BB59" s="90">
        <f t="shared" si="30"/>
        <v>5.9842005831385993E-3</v>
      </c>
      <c r="BC59" s="103">
        <f t="shared" si="31"/>
        <v>517.27435824850602</v>
      </c>
      <c r="BD59" s="103">
        <f t="shared" si="29"/>
        <v>2619.3743582485117</v>
      </c>
      <c r="BE59" s="103">
        <f t="shared" si="32"/>
        <v>2491.2999999999956</v>
      </c>
      <c r="BF59" s="93">
        <f t="shared" si="33"/>
        <v>6.4618807525309132E-3</v>
      </c>
      <c r="BG59" s="103">
        <f t="shared" si="34"/>
        <v>502.12748732543463</v>
      </c>
      <c r="BH59" s="103">
        <f t="shared" si="35"/>
        <v>2993.4274873254303</v>
      </c>
      <c r="BI59" s="103">
        <f t="shared" si="36"/>
        <v>6552.7000000000044</v>
      </c>
      <c r="BJ59" s="90">
        <f t="shared" si="37"/>
        <v>1.3604598145309213E-2</v>
      </c>
      <c r="BK59" s="102">
        <f t="shared" si="38"/>
        <v>1533.6418594033219</v>
      </c>
      <c r="BL59" s="102">
        <f t="shared" si="39"/>
        <v>8086.3418594033265</v>
      </c>
      <c r="BM59" s="94">
        <f t="shared" si="40"/>
        <v>3877</v>
      </c>
      <c r="BN59" s="90">
        <f t="shared" si="41"/>
        <v>1.0003552202815992E-2</v>
      </c>
      <c r="BO59" s="94">
        <f t="shared" si="42"/>
        <v>981.92537595178385</v>
      </c>
      <c r="BP59" s="94">
        <f t="shared" si="43"/>
        <v>4858.9253759517842</v>
      </c>
      <c r="BQ59" s="94">
        <f t="shared" si="44"/>
        <v>8542.0999999999985</v>
      </c>
      <c r="BR59" s="90">
        <f t="shared" si="45"/>
        <v>1.6226867415222692E-2</v>
      </c>
      <c r="BS59" s="94">
        <f t="shared" si="46"/>
        <v>1845.6265370592994</v>
      </c>
      <c r="BT59" s="94">
        <f t="shared" si="47"/>
        <v>10387.726537059298</v>
      </c>
    </row>
    <row r="60" spans="1:72" ht="13.5" hidden="1">
      <c r="A60" s="11">
        <v>57</v>
      </c>
      <c r="B60" s="16" t="s">
        <v>83</v>
      </c>
      <c r="C60" s="17" t="s">
        <v>84</v>
      </c>
      <c r="D60" s="119" t="s">
        <v>138</v>
      </c>
      <c r="E60" s="18" t="s">
        <v>83</v>
      </c>
      <c r="F60" s="58" t="s">
        <v>164</v>
      </c>
      <c r="G60" s="58" t="s">
        <v>165</v>
      </c>
      <c r="H60" s="59">
        <v>53.3</v>
      </c>
      <c r="I60" s="59">
        <v>4794.8</v>
      </c>
      <c r="J60" s="59">
        <v>5112.7</v>
      </c>
      <c r="K60" s="59">
        <v>4741.5</v>
      </c>
      <c r="L60" s="59">
        <v>317.89999999999998</v>
      </c>
      <c r="M60" s="59">
        <v>5209.5</v>
      </c>
      <c r="N60" s="59">
        <v>5829.2</v>
      </c>
      <c r="O60" s="59">
        <v>6338.3</v>
      </c>
      <c r="P60" s="59">
        <v>7114.3</v>
      </c>
      <c r="Q60" s="59">
        <v>7900.8</v>
      </c>
      <c r="R60" s="59">
        <v>8657.5</v>
      </c>
      <c r="S60" s="59">
        <v>9334.2999999999993</v>
      </c>
      <c r="T60" s="75">
        <v>10333.1</v>
      </c>
      <c r="U60" s="65">
        <v>11116.6</v>
      </c>
      <c r="V60" s="65">
        <v>11927.4</v>
      </c>
      <c r="W60" s="76">
        <v>12715.7</v>
      </c>
      <c r="X60" s="76">
        <v>14362.8</v>
      </c>
      <c r="Y60" s="30">
        <f t="shared" si="0"/>
        <v>414.69999999999982</v>
      </c>
      <c r="Z60" s="31">
        <f t="shared" si="1"/>
        <v>9.3882137778908002E-4</v>
      </c>
      <c r="AA60" s="30">
        <f t="shared" si="2"/>
        <v>128.58654311276291</v>
      </c>
      <c r="AB60" s="30">
        <f t="shared" si="3"/>
        <v>543.28654311276273</v>
      </c>
      <c r="AC60" s="30">
        <f t="shared" si="4"/>
        <v>619.69999999999982</v>
      </c>
      <c r="AD60" s="31">
        <f t="shared" si="5"/>
        <v>1.7435394435917442E-3</v>
      </c>
      <c r="AE60" s="30">
        <f t="shared" si="6"/>
        <v>12.100913460487234</v>
      </c>
      <c r="AF60" s="30">
        <f t="shared" si="7"/>
        <v>631.8009134604871</v>
      </c>
      <c r="AG60" s="30">
        <f t="shared" si="8"/>
        <v>509.10000000000036</v>
      </c>
      <c r="AH60" s="31">
        <f t="shared" si="9"/>
        <v>1.754690661064799E-3</v>
      </c>
      <c r="AI60" s="30">
        <f t="shared" si="10"/>
        <v>165.09952862894417</v>
      </c>
      <c r="AJ60" s="30">
        <f t="shared" si="11"/>
        <v>674.19952862894456</v>
      </c>
      <c r="AK60" s="30">
        <f t="shared" si="12"/>
        <v>776</v>
      </c>
      <c r="AL60" s="31">
        <f t="shared" si="13"/>
        <v>1.8868366784321655E-3</v>
      </c>
      <c r="AM60" s="30">
        <f t="shared" si="14"/>
        <v>78.163416979527554</v>
      </c>
      <c r="AN60" s="30">
        <f t="shared" si="15"/>
        <v>854.1634169795276</v>
      </c>
      <c r="AO60" s="30">
        <f t="shared" si="16"/>
        <v>786.5</v>
      </c>
      <c r="AP60" s="31">
        <f t="shared" si="17"/>
        <v>2.1716357041760004E-3</v>
      </c>
      <c r="AQ60" s="30">
        <f t="shared" si="18"/>
        <v>189.20940697916447</v>
      </c>
      <c r="AR60" s="30">
        <f t="shared" si="19"/>
        <v>975.70940697916444</v>
      </c>
      <c r="AS60" s="92">
        <f t="shared" si="20"/>
        <v>756.69999999999982</v>
      </c>
      <c r="AT60" s="93">
        <f t="shared" si="21"/>
        <v>1.5974599057513423E-3</v>
      </c>
      <c r="AU60" s="94">
        <f t="shared" si="22"/>
        <v>189.25665016943231</v>
      </c>
      <c r="AV60" s="94">
        <f t="shared" si="23"/>
        <v>945.95665016943212</v>
      </c>
      <c r="AW60" s="103">
        <f t="shared" si="24"/>
        <v>676.79999999999927</v>
      </c>
      <c r="AX60" s="93">
        <f t="shared" si="25"/>
        <v>1.4590629681173815E-3</v>
      </c>
      <c r="AY60" s="103">
        <f t="shared" si="26"/>
        <v>150.77176113837081</v>
      </c>
      <c r="AZ60" s="103">
        <f t="shared" si="27"/>
        <v>827.57176113837011</v>
      </c>
      <c r="BA60" s="103">
        <f t="shared" si="28"/>
        <v>998.80000000000109</v>
      </c>
      <c r="BB60" s="90">
        <f t="shared" si="30"/>
        <v>2.8433564256880369E-3</v>
      </c>
      <c r="BC60" s="103">
        <f t="shared" si="31"/>
        <v>245.77975787003803</v>
      </c>
      <c r="BD60" s="103">
        <f t="shared" si="29"/>
        <v>1244.5797578700392</v>
      </c>
      <c r="BE60" s="103">
        <f t="shared" si="32"/>
        <v>783.5</v>
      </c>
      <c r="BF60" s="93">
        <f t="shared" si="33"/>
        <v>2.0322255728366634E-3</v>
      </c>
      <c r="BG60" s="103">
        <f t="shared" si="34"/>
        <v>157.91630326314726</v>
      </c>
      <c r="BH60" s="103">
        <f t="shared" si="35"/>
        <v>941.41630326314726</v>
      </c>
      <c r="BI60" s="103">
        <f t="shared" si="36"/>
        <v>810.79999999999927</v>
      </c>
      <c r="BJ60" s="90">
        <f t="shared" si="37"/>
        <v>1.6833684093910438E-3</v>
      </c>
      <c r="BK60" s="102">
        <f t="shared" si="38"/>
        <v>189.76556527907755</v>
      </c>
      <c r="BL60" s="102">
        <f t="shared" si="39"/>
        <v>1000.5655652790768</v>
      </c>
      <c r="BM60" s="94">
        <f t="shared" si="40"/>
        <v>788.30000000000109</v>
      </c>
      <c r="BN60" s="90">
        <f t="shared" si="41"/>
        <v>2.0339954092029552E-3</v>
      </c>
      <c r="BO60" s="94">
        <f t="shared" si="42"/>
        <v>199.65225015805837</v>
      </c>
      <c r="BP60" s="94">
        <f t="shared" si="43"/>
        <v>987.95225015805943</v>
      </c>
      <c r="BQ60" s="94">
        <f t="shared" si="44"/>
        <v>1647.0999999999985</v>
      </c>
      <c r="BR60" s="90">
        <f t="shared" si="45"/>
        <v>3.1288878987149856E-3</v>
      </c>
      <c r="BS60" s="94">
        <f t="shared" si="46"/>
        <v>355.87636168979174</v>
      </c>
      <c r="BT60" s="94">
        <f t="shared" si="47"/>
        <v>2002.9763616897903</v>
      </c>
    </row>
    <row r="61" spans="1:72" ht="13.5" hidden="1">
      <c r="A61" s="16">
        <v>58</v>
      </c>
      <c r="B61" s="16" t="s">
        <v>49</v>
      </c>
      <c r="C61" s="17" t="s">
        <v>50</v>
      </c>
      <c r="D61" s="119" t="s">
        <v>138</v>
      </c>
      <c r="E61" s="18" t="s">
        <v>49</v>
      </c>
      <c r="F61" s="58" t="s">
        <v>166</v>
      </c>
      <c r="G61" s="58" t="s">
        <v>167</v>
      </c>
      <c r="H61" s="59">
        <v>6189.2</v>
      </c>
      <c r="I61" s="59">
        <v>339395.9</v>
      </c>
      <c r="J61" s="59">
        <v>354641.6</v>
      </c>
      <c r="K61" s="59">
        <v>333206.7</v>
      </c>
      <c r="L61" s="59">
        <v>15245.7</v>
      </c>
      <c r="M61" s="59">
        <v>359774.6</v>
      </c>
      <c r="N61" s="59">
        <v>394246.6</v>
      </c>
      <c r="O61" s="59">
        <v>422624.7</v>
      </c>
      <c r="P61" s="59">
        <v>461774.4</v>
      </c>
      <c r="Q61" s="59">
        <v>494720.4</v>
      </c>
      <c r="R61" s="59">
        <v>534894.5</v>
      </c>
      <c r="S61" s="59">
        <v>569845.5</v>
      </c>
      <c r="T61" s="75">
        <v>602814.5</v>
      </c>
      <c r="U61" s="65">
        <v>638638.30000000005</v>
      </c>
      <c r="V61" s="65">
        <v>670354.69999999995</v>
      </c>
      <c r="W61" s="76">
        <v>692039.7</v>
      </c>
      <c r="X61" s="76">
        <v>715943.7</v>
      </c>
      <c r="Y61" s="30">
        <f t="shared" si="0"/>
        <v>20378.699999999953</v>
      </c>
      <c r="Z61" s="31">
        <f t="shared" si="1"/>
        <v>4.6134456743550253E-2</v>
      </c>
      <c r="AA61" s="30">
        <f t="shared" si="2"/>
        <v>6318.8487729251419</v>
      </c>
      <c r="AB61" s="30">
        <f t="shared" si="3"/>
        <v>26697.548772925096</v>
      </c>
      <c r="AC61" s="30">
        <f t="shared" si="4"/>
        <v>34472</v>
      </c>
      <c r="AD61" s="31">
        <f t="shared" si="5"/>
        <v>9.6987722606897891E-2</v>
      </c>
      <c r="AE61" s="30">
        <f t="shared" si="6"/>
        <v>673.13649961258034</v>
      </c>
      <c r="AF61" s="30">
        <f t="shared" si="7"/>
        <v>35145.136499612578</v>
      </c>
      <c r="AG61" s="30">
        <f t="shared" si="8"/>
        <v>28378.100000000035</v>
      </c>
      <c r="AH61" s="31">
        <f t="shared" si="9"/>
        <v>9.7809442248601455E-2</v>
      </c>
      <c r="AI61" s="30">
        <f t="shared" si="10"/>
        <v>9202.9285668533557</v>
      </c>
      <c r="AJ61" s="30">
        <f t="shared" si="11"/>
        <v>37581.028566853391</v>
      </c>
      <c r="AK61" s="30">
        <f t="shared" si="12"/>
        <v>39149.700000000012</v>
      </c>
      <c r="AL61" s="31">
        <f t="shared" si="13"/>
        <v>9.5192126172185268E-2</v>
      </c>
      <c r="AM61" s="30">
        <f t="shared" si="14"/>
        <v>3943.3947496435708</v>
      </c>
      <c r="AN61" s="30">
        <f t="shared" si="15"/>
        <v>43093.094749643584</v>
      </c>
      <c r="AO61" s="30">
        <f t="shared" si="16"/>
        <v>32946</v>
      </c>
      <c r="AP61" s="31">
        <f t="shared" si="17"/>
        <v>9.0968480495591239E-2</v>
      </c>
      <c r="AQ61" s="30">
        <f t="shared" si="18"/>
        <v>7925.8653812276571</v>
      </c>
      <c r="AR61" s="30">
        <f t="shared" si="19"/>
        <v>40871.865381227661</v>
      </c>
      <c r="AS61" s="92">
        <f t="shared" si="20"/>
        <v>40174.099999999977</v>
      </c>
      <c r="AT61" s="93">
        <f t="shared" si="21"/>
        <v>8.4811040041819719E-2</v>
      </c>
      <c r="AU61" s="94">
        <f t="shared" si="22"/>
        <v>10047.859904284112</v>
      </c>
      <c r="AV61" s="94">
        <f t="shared" si="23"/>
        <v>50221.959904284085</v>
      </c>
      <c r="AW61" s="103">
        <f t="shared" si="24"/>
        <v>34951</v>
      </c>
      <c r="AX61" s="93">
        <f t="shared" si="25"/>
        <v>7.5348270979123305E-2</v>
      </c>
      <c r="AY61" s="103">
        <f t="shared" si="26"/>
        <v>7786.0872097328656</v>
      </c>
      <c r="AZ61" s="103">
        <f t="shared" si="27"/>
        <v>42737.087209732868</v>
      </c>
      <c r="BA61" s="103">
        <f t="shared" si="28"/>
        <v>32969</v>
      </c>
      <c r="BB61" s="90">
        <f t="shared" si="30"/>
        <v>9.3855244291658785E-2</v>
      </c>
      <c r="BC61" s="103">
        <f t="shared" si="31"/>
        <v>8112.8482551234238</v>
      </c>
      <c r="BD61" s="103">
        <f t="shared" si="29"/>
        <v>41081.848255123426</v>
      </c>
      <c r="BE61" s="103">
        <f t="shared" si="32"/>
        <v>35823.800000000047</v>
      </c>
      <c r="BF61" s="93">
        <f t="shared" si="33"/>
        <v>9.2919007627550926E-2</v>
      </c>
      <c r="BG61" s="103">
        <f t="shared" si="34"/>
        <v>7220.3727694171557</v>
      </c>
      <c r="BH61" s="103">
        <f t="shared" si="35"/>
        <v>43044.1727694172</v>
      </c>
      <c r="BI61" s="103">
        <f t="shared" si="36"/>
        <v>31716.399999999907</v>
      </c>
      <c r="BJ61" s="90">
        <f t="shared" si="37"/>
        <v>6.5849020497792302E-2</v>
      </c>
      <c r="BK61" s="102">
        <f t="shared" si="38"/>
        <v>7423.1383505393724</v>
      </c>
      <c r="BL61" s="102">
        <f t="shared" si="39"/>
        <v>39139.538350539282</v>
      </c>
      <c r="BM61" s="94">
        <f t="shared" si="40"/>
        <v>21685</v>
      </c>
      <c r="BN61" s="90">
        <f t="shared" si="41"/>
        <v>5.5952290306439209E-2</v>
      </c>
      <c r="BO61" s="94">
        <f t="shared" si="42"/>
        <v>5492.1464476436513</v>
      </c>
      <c r="BP61" s="94">
        <f t="shared" si="43"/>
        <v>27177.146447643652</v>
      </c>
      <c r="BQ61" s="94">
        <f t="shared" si="44"/>
        <v>23904</v>
      </c>
      <c r="BR61" s="90">
        <f t="shared" si="45"/>
        <v>4.540886183649024E-2</v>
      </c>
      <c r="BS61" s="94">
        <f t="shared" si="46"/>
        <v>5164.755357800248</v>
      </c>
      <c r="BT61" s="94">
        <f t="shared" si="47"/>
        <v>29068.755357800248</v>
      </c>
    </row>
    <row r="62" spans="1:72" ht="13.5" hidden="1">
      <c r="A62" s="11">
        <v>59</v>
      </c>
      <c r="B62" s="16" t="s">
        <v>49</v>
      </c>
      <c r="C62" s="17" t="s">
        <v>50</v>
      </c>
      <c r="D62" s="119" t="s">
        <v>138</v>
      </c>
      <c r="E62" s="18" t="s">
        <v>49</v>
      </c>
      <c r="F62" s="58" t="s">
        <v>168</v>
      </c>
      <c r="G62" s="58" t="s">
        <v>169</v>
      </c>
      <c r="H62" s="61">
        <v>87327.9</v>
      </c>
      <c r="I62" s="61">
        <v>506222.8</v>
      </c>
      <c r="J62" s="61">
        <v>523973.5</v>
      </c>
      <c r="K62" s="61">
        <v>418894.9</v>
      </c>
      <c r="L62" s="61">
        <v>17750.7</v>
      </c>
      <c r="M62" s="61">
        <v>529870.5</v>
      </c>
      <c r="N62" s="61">
        <v>565953.5</v>
      </c>
      <c r="O62" s="61">
        <v>592741.80000000005</v>
      </c>
      <c r="P62" s="61">
        <v>629194.19999999995</v>
      </c>
      <c r="Q62" s="61">
        <v>658001.5</v>
      </c>
      <c r="R62" s="77">
        <v>688627.8</v>
      </c>
      <c r="S62" s="78">
        <v>719063.3</v>
      </c>
      <c r="T62" s="79">
        <v>747532.1</v>
      </c>
      <c r="U62" s="65">
        <v>780565.2</v>
      </c>
      <c r="V62" s="65">
        <v>819227.7</v>
      </c>
      <c r="W62" s="76">
        <v>846444.6</v>
      </c>
      <c r="X62" s="76">
        <v>875337.1</v>
      </c>
      <c r="Y62" s="30">
        <f t="shared" si="0"/>
        <v>23647.700000000012</v>
      </c>
      <c r="Z62" s="31">
        <f t="shared" si="1"/>
        <v>5.3535004329739205E-2</v>
      </c>
      <c r="AA62" s="30">
        <f t="shared" si="2"/>
        <v>7332.4716555767691</v>
      </c>
      <c r="AB62" s="30">
        <f t="shared" si="3"/>
        <v>30980.171655576782</v>
      </c>
      <c r="AC62" s="30">
        <f t="shared" si="4"/>
        <v>36083</v>
      </c>
      <c r="AD62" s="31">
        <f t="shared" si="5"/>
        <v>0.10152030618544607</v>
      </c>
      <c r="AE62" s="30">
        <f t="shared" si="6"/>
        <v>704.59457865864294</v>
      </c>
      <c r="AF62" s="30">
        <f t="shared" si="7"/>
        <v>36787.594578658645</v>
      </c>
      <c r="AG62" s="30">
        <f t="shared" si="8"/>
        <v>26788.300000000047</v>
      </c>
      <c r="AH62" s="31">
        <f t="shared" si="9"/>
        <v>9.2329954499709696E-2</v>
      </c>
      <c r="AI62" s="30">
        <f t="shared" si="10"/>
        <v>8687.3614275599084</v>
      </c>
      <c r="AJ62" s="30">
        <f t="shared" si="11"/>
        <v>35475.661427559957</v>
      </c>
      <c r="AK62" s="30">
        <f t="shared" si="12"/>
        <v>36452.399999999907</v>
      </c>
      <c r="AL62" s="31">
        <f t="shared" si="13"/>
        <v>8.8633666671237746E-2</v>
      </c>
      <c r="AM62" s="30">
        <f t="shared" si="14"/>
        <v>3671.7063674027359</v>
      </c>
      <c r="AN62" s="30">
        <f t="shared" si="15"/>
        <v>40124.106367402645</v>
      </c>
      <c r="AO62" s="30">
        <f t="shared" si="16"/>
        <v>28807.300000000047</v>
      </c>
      <c r="AP62" s="31">
        <f t="shared" si="17"/>
        <v>7.9540955144195041E-2</v>
      </c>
      <c r="AQ62" s="30">
        <f t="shared" si="18"/>
        <v>6930.2125234213518</v>
      </c>
      <c r="AR62" s="30">
        <f t="shared" si="19"/>
        <v>35737.512523421399</v>
      </c>
      <c r="AS62" s="92">
        <f t="shared" si="20"/>
        <v>30626.300000000047</v>
      </c>
      <c r="AT62" s="93">
        <f t="shared" si="21"/>
        <v>6.4654798878700168E-2</v>
      </c>
      <c r="AU62" s="94">
        <f t="shared" si="22"/>
        <v>7659.8796684076833</v>
      </c>
      <c r="AV62" s="94">
        <f t="shared" si="23"/>
        <v>38286.179668407727</v>
      </c>
      <c r="AW62" s="103">
        <f t="shared" si="24"/>
        <v>30435.5</v>
      </c>
      <c r="AX62" s="93">
        <f t="shared" si="25"/>
        <v>6.5613639134362606E-2</v>
      </c>
      <c r="AY62" s="103">
        <f t="shared" si="26"/>
        <v>6780.1624351756645</v>
      </c>
      <c r="AZ62" s="103">
        <f t="shared" si="27"/>
        <v>37215.662435175662</v>
      </c>
      <c r="BA62" s="103">
        <f t="shared" si="28"/>
        <v>28468.79999999993</v>
      </c>
      <c r="BB62" s="90">
        <f t="shared" si="30"/>
        <v>8.1044198449767027E-2</v>
      </c>
      <c r="BC62" s="103">
        <f t="shared" si="31"/>
        <v>7005.4613244398424</v>
      </c>
      <c r="BD62" s="103">
        <f t="shared" si="29"/>
        <v>35474.261324439773</v>
      </c>
      <c r="BE62" s="103">
        <f t="shared" si="32"/>
        <v>33033.099999999977</v>
      </c>
      <c r="BF62" s="93">
        <f t="shared" si="33"/>
        <v>8.5680549546995194E-2</v>
      </c>
      <c r="BG62" s="103">
        <f t="shared" si="34"/>
        <v>6657.9004943482651</v>
      </c>
      <c r="BH62" s="103">
        <f t="shared" si="35"/>
        <v>39691.000494348242</v>
      </c>
      <c r="BI62" s="103">
        <f t="shared" si="36"/>
        <v>38662.5</v>
      </c>
      <c r="BJ62" s="90">
        <f t="shared" si="37"/>
        <v>8.0270388663149103E-2</v>
      </c>
      <c r="BK62" s="102">
        <f t="shared" si="38"/>
        <v>9048.8544247685531</v>
      </c>
      <c r="BL62" s="102">
        <f t="shared" si="39"/>
        <v>47711.35442476855</v>
      </c>
      <c r="BM62" s="94">
        <f t="shared" si="40"/>
        <v>27216.900000000023</v>
      </c>
      <c r="BN62" s="90">
        <f t="shared" si="41"/>
        <v>7.0225865346614083E-2</v>
      </c>
      <c r="BO62" s="94">
        <f t="shared" si="42"/>
        <v>6893.2073161573717</v>
      </c>
      <c r="BP62" s="94">
        <f t="shared" si="43"/>
        <v>34110.107316157395</v>
      </c>
      <c r="BQ62" s="94">
        <f t="shared" si="44"/>
        <v>28892.5</v>
      </c>
      <c r="BR62" s="90">
        <f t="shared" si="45"/>
        <v>5.488518827856402E-2</v>
      </c>
      <c r="BS62" s="94">
        <f t="shared" si="46"/>
        <v>6242.5825876524295</v>
      </c>
      <c r="BT62" s="94">
        <f t="shared" si="47"/>
        <v>35135.082587652432</v>
      </c>
    </row>
    <row r="63" spans="1:72" ht="40.5" hidden="1">
      <c r="A63" s="16">
        <v>60</v>
      </c>
      <c r="B63" s="16" t="s">
        <v>49</v>
      </c>
      <c r="C63" s="17" t="s">
        <v>50</v>
      </c>
      <c r="D63" s="18" t="s">
        <v>121</v>
      </c>
      <c r="E63" s="20" t="s">
        <v>49</v>
      </c>
      <c r="F63" s="56" t="s">
        <v>170</v>
      </c>
      <c r="G63" s="57" t="s">
        <v>171</v>
      </c>
      <c r="H63" s="62">
        <v>1095</v>
      </c>
      <c r="I63" s="65">
        <v>28151.5</v>
      </c>
      <c r="J63" s="65">
        <v>33281</v>
      </c>
      <c r="K63" s="65">
        <v>27056.5</v>
      </c>
      <c r="L63" s="65">
        <v>5129.5</v>
      </c>
      <c r="M63" s="65">
        <v>34895.699999999997</v>
      </c>
      <c r="N63" s="65">
        <v>44255.8</v>
      </c>
      <c r="O63" s="65">
        <v>49189.3</v>
      </c>
      <c r="P63" s="65">
        <v>56144.7</v>
      </c>
      <c r="Q63" s="65">
        <v>64282.2</v>
      </c>
      <c r="R63" s="80">
        <v>74082.399999999994</v>
      </c>
      <c r="S63" s="34">
        <v>81994.5</v>
      </c>
      <c r="T63" s="81">
        <v>88236.4</v>
      </c>
      <c r="U63" s="65">
        <v>92579.199999999997</v>
      </c>
      <c r="V63" s="65">
        <v>102254.3</v>
      </c>
      <c r="W63" s="76">
        <v>110632.2</v>
      </c>
      <c r="X63" s="76">
        <v>120195.9</v>
      </c>
      <c r="Y63" s="30">
        <f t="shared" si="0"/>
        <v>6744.1999999999971</v>
      </c>
      <c r="Z63" s="31">
        <f t="shared" si="1"/>
        <v>1.5267902426055253E-2</v>
      </c>
      <c r="AA63" s="83">
        <f t="shared" si="2"/>
        <v>2091.1824549339176</v>
      </c>
      <c r="AB63" s="84">
        <f t="shared" si="3"/>
        <v>8835.3824549339151</v>
      </c>
      <c r="AC63" s="30">
        <f t="shared" si="4"/>
        <v>9360.1000000000058</v>
      </c>
      <c r="AD63" s="31">
        <f t="shared" si="5"/>
        <v>2.6334845160502017E-2</v>
      </c>
      <c r="AE63" s="83">
        <f t="shared" si="6"/>
        <v>182.77514939729977</v>
      </c>
      <c r="AF63" s="84">
        <f t="shared" si="7"/>
        <v>9542.875149397305</v>
      </c>
      <c r="AG63" s="30">
        <f t="shared" si="8"/>
        <v>4933.5</v>
      </c>
      <c r="AH63" s="31">
        <f t="shared" si="9"/>
        <v>1.7004058881090512E-2</v>
      </c>
      <c r="AI63" s="83">
        <f t="shared" si="10"/>
        <v>1599.9185317047643</v>
      </c>
      <c r="AJ63" s="84">
        <f t="shared" si="11"/>
        <v>6533.4185317047641</v>
      </c>
      <c r="AK63" s="30">
        <f t="shared" si="12"/>
        <v>6955.3999999999942</v>
      </c>
      <c r="AL63" s="31">
        <f t="shared" si="13"/>
        <v>1.6911989475730763E-2</v>
      </c>
      <c r="AM63" s="83">
        <f t="shared" si="14"/>
        <v>700.58998770541939</v>
      </c>
      <c r="AN63" s="84">
        <f t="shared" si="15"/>
        <v>7655.989987705414</v>
      </c>
      <c r="AO63" s="30">
        <f t="shared" si="16"/>
        <v>8137.5</v>
      </c>
      <c r="AP63" s="31">
        <f t="shared" si="17"/>
        <v>2.2468767377917614E-2</v>
      </c>
      <c r="AQ63" s="83">
        <f t="shared" si="18"/>
        <v>1957.6497765962504</v>
      </c>
      <c r="AR63" s="84">
        <f t="shared" si="19"/>
        <v>10095.14977659625</v>
      </c>
      <c r="AS63" s="96">
        <f t="shared" si="20"/>
        <v>9800.1999999999971</v>
      </c>
      <c r="AT63" s="97">
        <f t="shared" si="21"/>
        <v>2.0689079646285587E-2</v>
      </c>
      <c r="AU63" s="98">
        <f t="shared" si="22"/>
        <v>2451.1074705834153</v>
      </c>
      <c r="AV63" s="99">
        <f t="shared" si="23"/>
        <v>12251.307470583411</v>
      </c>
      <c r="AW63" s="103">
        <f t="shared" si="24"/>
        <v>7912.1000000000058</v>
      </c>
      <c r="AX63" s="97">
        <f t="shared" si="25"/>
        <v>1.7057110091668964E-2</v>
      </c>
      <c r="AY63" s="103">
        <f t="shared" si="26"/>
        <v>1762.5905013340807</v>
      </c>
      <c r="AZ63" s="103">
        <f t="shared" si="27"/>
        <v>9674.6905013340875</v>
      </c>
      <c r="BA63" s="103">
        <f t="shared" si="28"/>
        <v>6241.8999999999942</v>
      </c>
      <c r="BB63" s="90">
        <f t="shared" si="30"/>
        <v>1.7769269597018543E-2</v>
      </c>
      <c r="BC63" s="103">
        <f t="shared" si="31"/>
        <v>1535.975841658978</v>
      </c>
      <c r="BD63" s="103">
        <f t="shared" si="29"/>
        <v>7777.8758416589717</v>
      </c>
      <c r="BE63" s="103">
        <f t="shared" si="32"/>
        <v>4342.8000000000029</v>
      </c>
      <c r="BF63" s="93">
        <f t="shared" si="33"/>
        <v>1.1264261924333207E-2</v>
      </c>
      <c r="BG63" s="103">
        <f t="shared" si="34"/>
        <v>875.30175087580892</v>
      </c>
      <c r="BH63" s="103">
        <f t="shared" si="35"/>
        <v>5218.1017508758123</v>
      </c>
      <c r="BI63" s="103">
        <f t="shared" si="36"/>
        <v>9675.1000000000058</v>
      </c>
      <c r="BJ63" s="90">
        <f t="shared" si="37"/>
        <v>2.008726899074903E-2</v>
      </c>
      <c r="BK63" s="102">
        <f t="shared" si="38"/>
        <v>2264.4312045283746</v>
      </c>
      <c r="BL63" s="102">
        <f t="shared" si="39"/>
        <v>11939.531204528381</v>
      </c>
      <c r="BM63" s="94">
        <f t="shared" si="40"/>
        <v>8377.8999999999942</v>
      </c>
      <c r="BN63" s="90">
        <f t="shared" si="41"/>
        <v>2.1616909981937594E-2</v>
      </c>
      <c r="BO63" s="94">
        <f t="shared" si="42"/>
        <v>2121.8655164267334</v>
      </c>
      <c r="BP63" s="94">
        <f t="shared" si="43"/>
        <v>10499.765516426727</v>
      </c>
      <c r="BQ63" s="94">
        <f t="shared" si="44"/>
        <v>9563.6999999999971</v>
      </c>
      <c r="BR63" s="90">
        <f t="shared" si="45"/>
        <v>1.8167533966936145E-2</v>
      </c>
      <c r="BS63" s="94">
        <f t="shared" si="46"/>
        <v>2066.3558741379779</v>
      </c>
      <c r="BT63" s="94">
        <f t="shared" si="47"/>
        <v>11630.055874137975</v>
      </c>
    </row>
    <row r="64" spans="1:72" ht="27" hidden="1">
      <c r="A64" s="11">
        <v>61</v>
      </c>
      <c r="B64" s="16" t="s">
        <v>49</v>
      </c>
      <c r="C64" s="17" t="s">
        <v>50</v>
      </c>
      <c r="D64" s="18" t="s">
        <v>172</v>
      </c>
      <c r="E64" s="20" t="s">
        <v>49</v>
      </c>
      <c r="F64" s="58" t="s">
        <v>173</v>
      </c>
      <c r="G64" s="56" t="s">
        <v>174</v>
      </c>
      <c r="H64" s="53">
        <v>1.5</v>
      </c>
      <c r="I64" s="66">
        <v>1029</v>
      </c>
      <c r="J64" s="66">
        <v>1036.5</v>
      </c>
      <c r="K64" s="66">
        <v>1027.5</v>
      </c>
      <c r="L64" s="66">
        <v>7.5</v>
      </c>
      <c r="M64" s="66">
        <v>1038.7</v>
      </c>
      <c r="N64" s="66">
        <v>1052.9000000000001</v>
      </c>
      <c r="O64" s="66">
        <v>1068.4000000000001</v>
      </c>
      <c r="P64" s="67">
        <v>1101.3</v>
      </c>
      <c r="Q64" s="66">
        <v>1148</v>
      </c>
      <c r="R64" s="66">
        <v>1277.5</v>
      </c>
      <c r="S64" s="53">
        <v>1396.9</v>
      </c>
      <c r="T64" s="71">
        <v>1432.1</v>
      </c>
      <c r="U64" s="34">
        <v>1491.2</v>
      </c>
      <c r="V64" s="34">
        <v>1586.2</v>
      </c>
      <c r="W64" s="72">
        <v>1670.4</v>
      </c>
      <c r="X64" s="72">
        <v>1767.8</v>
      </c>
      <c r="Y64" s="30">
        <f t="shared" si="0"/>
        <v>9.7000000000000455</v>
      </c>
      <c r="Z64" s="31">
        <f t="shared" si="1"/>
        <v>2.1959410090557325E-5</v>
      </c>
      <c r="AA64" s="30">
        <f t="shared" si="2"/>
        <v>3.007691025304573</v>
      </c>
      <c r="AB64" s="30">
        <f t="shared" si="3"/>
        <v>12.707691025304619</v>
      </c>
      <c r="AC64" s="30">
        <f t="shared" si="4"/>
        <v>14.200000000000045</v>
      </c>
      <c r="AD64" s="31">
        <f t="shared" si="5"/>
        <v>3.9952009196389953E-5</v>
      </c>
      <c r="AE64" s="30">
        <f t="shared" si="6"/>
        <v>0.27728412318689577</v>
      </c>
      <c r="AF64" s="30">
        <f t="shared" si="7"/>
        <v>14.477284123186941</v>
      </c>
      <c r="AG64" s="30">
        <f t="shared" si="8"/>
        <v>15.5</v>
      </c>
      <c r="AH64" s="31">
        <f t="shared" si="9"/>
        <v>5.3423109892956917E-5</v>
      </c>
      <c r="AI64" s="30">
        <f t="shared" si="10"/>
        <v>5.0266012448411566</v>
      </c>
      <c r="AJ64" s="30">
        <f t="shared" si="11"/>
        <v>20.526601244841157</v>
      </c>
      <c r="AK64" s="30">
        <f t="shared" si="12"/>
        <v>32.899999999999864</v>
      </c>
      <c r="AL64" s="31">
        <f t="shared" si="13"/>
        <v>7.9996039588167499E-5</v>
      </c>
      <c r="AM64" s="30">
        <f t="shared" si="14"/>
        <v>3.3138871374052137</v>
      </c>
      <c r="AN64" s="30">
        <f t="shared" si="15"/>
        <v>36.213887137405081</v>
      </c>
      <c r="AO64" s="30">
        <f t="shared" si="16"/>
        <v>46.700000000000045</v>
      </c>
      <c r="AP64" s="31">
        <f t="shared" si="17"/>
        <v>1.289451842149006E-4</v>
      </c>
      <c r="AQ64" s="30">
        <f t="shared" si="18"/>
        <v>11.234684432202148</v>
      </c>
      <c r="AR64" s="30">
        <f t="shared" si="19"/>
        <v>57.934684432202189</v>
      </c>
      <c r="AS64" s="92">
        <f t="shared" si="20"/>
        <v>129.5</v>
      </c>
      <c r="AT64" s="93">
        <f t="shared" si="21"/>
        <v>2.7338583030897171E-4</v>
      </c>
      <c r="AU64" s="94">
        <f t="shared" si="22"/>
        <v>32.388973433251607</v>
      </c>
      <c r="AV64" s="94">
        <f t="shared" si="23"/>
        <v>161.88897343325161</v>
      </c>
      <c r="AW64" s="103">
        <f t="shared" si="24"/>
        <v>119.40000000000009</v>
      </c>
      <c r="AX64" s="93">
        <f t="shared" si="25"/>
        <v>2.5740561228312009E-4</v>
      </c>
      <c r="AY64" s="103">
        <f t="shared" si="26"/>
        <v>26.598918853311922</v>
      </c>
      <c r="AZ64" s="103">
        <f t="shared" si="27"/>
        <v>145.99891885331201</v>
      </c>
      <c r="BA64" s="103">
        <f t="shared" si="28"/>
        <v>35.199999999999818</v>
      </c>
      <c r="BB64" s="90">
        <f t="shared" si="30"/>
        <v>1.0020639385684649E-4</v>
      </c>
      <c r="BC64" s="103">
        <f t="shared" si="31"/>
        <v>8.6618416870497441</v>
      </c>
      <c r="BD64" s="103">
        <f t="shared" si="29"/>
        <v>43.861841687049562</v>
      </c>
      <c r="BE64" s="103">
        <f t="shared" si="32"/>
        <v>59.100000000000136</v>
      </c>
      <c r="BF64" s="93">
        <f t="shared" si="33"/>
        <v>1.5329231825736704E-4</v>
      </c>
      <c r="BG64" s="103">
        <f t="shared" si="34"/>
        <v>11.911746678815602</v>
      </c>
      <c r="BH64" s="103">
        <f t="shared" si="35"/>
        <v>71.01174667881574</v>
      </c>
      <c r="BI64" s="103">
        <f t="shared" si="36"/>
        <v>95</v>
      </c>
      <c r="BJ64" s="90">
        <f t="shared" si="37"/>
        <v>1.9723729513091922E-4</v>
      </c>
      <c r="BK64" s="102">
        <f t="shared" si="38"/>
        <v>22.234495191801162</v>
      </c>
      <c r="BL64" s="102">
        <f t="shared" si="39"/>
        <v>117.23449519180116</v>
      </c>
      <c r="BM64" s="94">
        <f t="shared" si="40"/>
        <v>84.200000000000045</v>
      </c>
      <c r="BN64" s="90">
        <f t="shared" si="41"/>
        <v>2.1725537670289063E-4</v>
      </c>
      <c r="BO64" s="94">
        <f t="shared" si="42"/>
        <v>21.325281572127999</v>
      </c>
      <c r="BP64" s="94">
        <f t="shared" si="43"/>
        <v>105.52528157212805</v>
      </c>
      <c r="BQ64" s="94">
        <f t="shared" si="44"/>
        <v>97.399999999999864</v>
      </c>
      <c r="BR64" s="90">
        <f t="shared" si="45"/>
        <v>1.850243952005582E-4</v>
      </c>
      <c r="BS64" s="94">
        <f t="shared" si="46"/>
        <v>21.044476734008679</v>
      </c>
      <c r="BT64" s="94">
        <f t="shared" si="47"/>
        <v>118.44447673400855</v>
      </c>
    </row>
    <row r="65" spans="1:72">
      <c r="G65" s="5"/>
      <c r="Y65" s="110">
        <f>SUM(Y4:Y64)</f>
        <v>441724.06999999977</v>
      </c>
      <c r="Z65" s="1"/>
      <c r="AA65" s="1"/>
      <c r="AB65" s="111">
        <f>SUM(AB4:AB64)</f>
        <v>578690</v>
      </c>
      <c r="AC65" s="112">
        <f>SUM(AC4:AC64)</f>
        <v>355426.42999999988</v>
      </c>
      <c r="AD65" s="111"/>
      <c r="AE65" s="111"/>
      <c r="AF65" s="111">
        <f>SUM(AF4:AF64)</f>
        <v>362366.85999999975</v>
      </c>
      <c r="AG65" s="112">
        <f>SUM(AG4:AG64)</f>
        <v>290136.61000000034</v>
      </c>
      <c r="AH65" s="111"/>
      <c r="AI65" s="111"/>
      <c r="AJ65" s="111">
        <f>SUM(AJ4:AJ64)</f>
        <v>384227.00000000006</v>
      </c>
      <c r="AK65" s="110">
        <f>SUM(AK4:AK64)</f>
        <v>411270.35999999952</v>
      </c>
      <c r="AL65" s="1"/>
      <c r="AM65" s="1"/>
      <c r="AN65" s="111">
        <f>SUM(AN4:AN64)</f>
        <v>452696.00000000017</v>
      </c>
      <c r="AO65" s="110">
        <f>SUM(AO4:AO64)</f>
        <v>362169.4000000002</v>
      </c>
      <c r="AP65" s="1"/>
      <c r="AQ65" s="1"/>
      <c r="AR65" s="111">
        <f>SUM(AR4:AR64)</f>
        <v>449297.00000000006</v>
      </c>
      <c r="AS65" s="112">
        <f>SUM(AS4:AS64)</f>
        <v>473689.51000000018</v>
      </c>
      <c r="AV65" s="113">
        <f>SUM(AV4:AV64)</f>
        <v>592162.99999999988</v>
      </c>
      <c r="AW65" s="111">
        <f>SUM(AW4:AW64)</f>
        <v>463859.35</v>
      </c>
      <c r="AZ65" s="111">
        <f>SUM(AZ4:AZ64)</f>
        <v>567193.99999999988</v>
      </c>
      <c r="BA65" s="111">
        <f>SUM(BA4:BA64)</f>
        <v>351274.99000000005</v>
      </c>
      <c r="BD65" s="111">
        <f>SUM(BD4:BD64)</f>
        <v>437715.00000000023</v>
      </c>
      <c r="BE65" s="111">
        <f>SUM(BE4:BE64)</f>
        <v>385537.91000000003</v>
      </c>
      <c r="BH65" s="111">
        <f>SUM(BH4:BH64)</f>
        <v>463244.00000000017</v>
      </c>
      <c r="BI65" s="111">
        <f>SUM(BI4:BI64)</f>
        <v>481653.32999999984</v>
      </c>
      <c r="BL65" s="111">
        <f>SUM(BL4:BL64)</f>
        <v>594383.00000000035</v>
      </c>
      <c r="BM65" s="117">
        <f>SUM(BM4:BM64)</f>
        <v>387562.33000000013</v>
      </c>
      <c r="BP65" s="117">
        <f>SUM(BP4:BP64)</f>
        <v>485719.99999999994</v>
      </c>
      <c r="BQ65" s="117">
        <f>SUM(BQ4:BQ64)</f>
        <v>526417.06999999972</v>
      </c>
      <c r="BR65" s="115"/>
      <c r="BS65" s="115"/>
      <c r="BT65" s="117">
        <f>SUM(BT4:BT64)</f>
        <v>640156.00000000023</v>
      </c>
    </row>
    <row r="66" spans="1:72">
      <c r="G66" s="5"/>
    </row>
    <row r="67" spans="1:72">
      <c r="G67" s="5"/>
      <c r="R67" s="43" t="s">
        <v>175</v>
      </c>
      <c r="S67" s="43"/>
      <c r="T67" s="43"/>
      <c r="U67" s="43"/>
      <c r="V67" s="43"/>
      <c r="W67" s="43"/>
      <c r="X67" s="43"/>
      <c r="Y67" s="47">
        <f>C68-Y65</f>
        <v>136965.93000000023</v>
      </c>
      <c r="Z67" s="43"/>
      <c r="AA67" s="43"/>
      <c r="AB67" s="43"/>
      <c r="AC67" s="47">
        <f>AC65-C69</f>
        <v>6940.4299999998766</v>
      </c>
      <c r="AD67" s="43"/>
      <c r="AE67" s="43"/>
      <c r="AF67" s="43"/>
      <c r="AG67" s="47">
        <f>C70-AG65</f>
        <v>94090.389999999665</v>
      </c>
      <c r="AH67" s="43"/>
      <c r="AI67" s="43"/>
      <c r="AJ67" s="43"/>
      <c r="AK67" s="47">
        <f>C71-AK65</f>
        <v>41425.64000000048</v>
      </c>
      <c r="AL67" s="43"/>
      <c r="AM67" s="43"/>
      <c r="AN67" s="43"/>
      <c r="AO67" s="47">
        <f>C72-AO65</f>
        <v>87127.599999999802</v>
      </c>
      <c r="AP67" s="43"/>
      <c r="AQ67" s="43"/>
      <c r="AR67" s="43"/>
      <c r="AS67" s="114">
        <f>+C73-AS65</f>
        <v>118473.48999999982</v>
      </c>
      <c r="AT67" s="115"/>
      <c r="AU67" s="115"/>
      <c r="AV67" s="115"/>
      <c r="AW67" s="47">
        <f>+C74-AW65</f>
        <v>103334.65000000002</v>
      </c>
      <c r="AX67" s="115"/>
      <c r="AY67" s="115"/>
      <c r="AZ67" s="115"/>
      <c r="BA67" s="116">
        <f>+C75-BA65</f>
        <v>86440.009999999951</v>
      </c>
      <c r="BB67" s="115"/>
      <c r="BC67" s="115"/>
      <c r="BD67" s="115"/>
      <c r="BE67" s="116">
        <f>+C76-BE65</f>
        <v>77706.089999999967</v>
      </c>
      <c r="BF67" s="115"/>
      <c r="BG67" s="115"/>
      <c r="BH67" s="115"/>
      <c r="BI67" s="116">
        <f>+C77-BI65</f>
        <v>112729.67000000016</v>
      </c>
      <c r="BJ67" s="115"/>
      <c r="BK67" s="115"/>
      <c r="BL67" s="115"/>
      <c r="BM67" s="118">
        <f>C78-BM65</f>
        <v>98157.669999999867</v>
      </c>
      <c r="BN67" s="115"/>
      <c r="BO67" s="115"/>
      <c r="BP67" s="115"/>
      <c r="BQ67" s="118">
        <f>C79-BQ65</f>
        <v>113738.93000000028</v>
      </c>
    </row>
    <row r="68" spans="1:72">
      <c r="A68" s="41" t="s">
        <v>176</v>
      </c>
      <c r="B68" s="41"/>
      <c r="C68" s="42">
        <v>578690</v>
      </c>
      <c r="G68" s="5"/>
    </row>
    <row r="69" spans="1:72">
      <c r="A69" s="41" t="s">
        <v>177</v>
      </c>
      <c r="B69" s="41"/>
      <c r="C69" s="42">
        <v>348486</v>
      </c>
      <c r="G69" s="5"/>
    </row>
    <row r="70" spans="1:72">
      <c r="A70" s="41" t="s">
        <v>178</v>
      </c>
      <c r="B70" s="41"/>
      <c r="C70" s="42">
        <v>384227</v>
      </c>
      <c r="G70" s="5"/>
    </row>
    <row r="71" spans="1:72">
      <c r="A71" s="41" t="s">
        <v>179</v>
      </c>
      <c r="B71" s="41"/>
      <c r="C71" s="42">
        <v>452696</v>
      </c>
      <c r="G71" s="5"/>
    </row>
    <row r="72" spans="1:72">
      <c r="A72" s="41" t="s">
        <v>180</v>
      </c>
      <c r="B72" s="41"/>
      <c r="C72" s="42">
        <v>449297</v>
      </c>
      <c r="G72" s="5"/>
    </row>
    <row r="73" spans="1:72">
      <c r="A73" s="41" t="s">
        <v>181</v>
      </c>
      <c r="B73" s="41"/>
      <c r="C73" s="42">
        <v>592163</v>
      </c>
      <c r="G73" s="5"/>
      <c r="AB73" s="1">
        <f>SUM(AB52:AB53)</f>
        <v>39904.90096905973</v>
      </c>
      <c r="AC73" s="1">
        <f t="shared" ref="AC73:BT73" si="48">SUM(AC52:AC53)</f>
        <v>7709.6999999999971</v>
      </c>
      <c r="AD73" s="1">
        <f t="shared" si="48"/>
        <v>2.1691408824042715E-2</v>
      </c>
      <c r="AE73" s="1">
        <f t="shared" si="48"/>
        <v>150.5477045446481</v>
      </c>
      <c r="AF73" s="1">
        <f t="shared" si="48"/>
        <v>7860.2477045446449</v>
      </c>
      <c r="AG73" s="1">
        <f t="shared" si="48"/>
        <v>4309.6000000000058</v>
      </c>
      <c r="AH73" s="1">
        <f t="shared" si="48"/>
        <v>1.4853692541592736E-2</v>
      </c>
      <c r="AI73" s="1">
        <f t="shared" si="48"/>
        <v>1397.5897241785469</v>
      </c>
      <c r="AJ73" s="1">
        <f t="shared" si="48"/>
        <v>5707.1897241785518</v>
      </c>
      <c r="AK73" s="1">
        <f t="shared" si="48"/>
        <v>18717.600000000006</v>
      </c>
      <c r="AL73" s="1">
        <f t="shared" si="48"/>
        <v>4.5511667799255043E-2</v>
      </c>
      <c r="AM73" s="1">
        <f t="shared" si="48"/>
        <v>1885.3499660515536</v>
      </c>
      <c r="AN73" s="1">
        <f t="shared" si="48"/>
        <v>20602.949966051558</v>
      </c>
      <c r="AO73" s="1">
        <f t="shared" si="48"/>
        <v>15578.599999999991</v>
      </c>
      <c r="AP73" s="1">
        <f t="shared" si="48"/>
        <v>4.3014677661889662E-2</v>
      </c>
      <c r="AQ73" s="1">
        <f t="shared" si="48"/>
        <v>3747.7656294540493</v>
      </c>
      <c r="AR73" s="1">
        <f t="shared" si="48"/>
        <v>19326.365629454041</v>
      </c>
      <c r="AS73" s="1">
        <f t="shared" si="48"/>
        <v>26735.199999999997</v>
      </c>
      <c r="AT73" s="1">
        <f t="shared" si="48"/>
        <v>5.6440346335725242E-2</v>
      </c>
      <c r="AU73" s="1">
        <f t="shared" si="48"/>
        <v>6686.6848072020712</v>
      </c>
      <c r="AV73" s="1">
        <f t="shared" si="48"/>
        <v>33421.884807202063</v>
      </c>
      <c r="AW73" s="1">
        <f t="shared" si="48"/>
        <v>21188.799999999988</v>
      </c>
      <c r="AX73" s="1">
        <f t="shared" si="48"/>
        <v>4.5679363798530721E-2</v>
      </c>
      <c r="AY73" s="1">
        <f t="shared" si="48"/>
        <v>4720.261070343844</v>
      </c>
      <c r="AZ73" s="1">
        <f t="shared" si="48"/>
        <v>25909.061070343832</v>
      </c>
      <c r="BA73" s="1">
        <f t="shared" si="48"/>
        <v>9952.8000000000175</v>
      </c>
      <c r="BB73" s="1">
        <f t="shared" si="48"/>
        <v>2.8333357863023542E-2</v>
      </c>
      <c r="BC73" s="1">
        <f t="shared" si="48"/>
        <v>2449.1357370133319</v>
      </c>
      <c r="BD73" s="1">
        <f t="shared" si="48"/>
        <v>12401.935737013351</v>
      </c>
      <c r="BE73" s="1">
        <f t="shared" si="48"/>
        <v>12181.799999999988</v>
      </c>
      <c r="BF73" s="1">
        <f t="shared" si="48"/>
        <v>3.1596892767302667E-2</v>
      </c>
      <c r="BG73" s="1">
        <f t="shared" si="48"/>
        <v>2455.2709930963692</v>
      </c>
      <c r="BH73" s="1">
        <f t="shared" si="48"/>
        <v>14637.070993096357</v>
      </c>
      <c r="BI73" s="1">
        <f t="shared" si="48"/>
        <v>27259.400000000023</v>
      </c>
      <c r="BJ73" s="1">
        <f t="shared" si="48"/>
        <v>5.6595477083071416E-2</v>
      </c>
      <c r="BK73" s="1">
        <f t="shared" si="48"/>
        <v>6379.9894550672125</v>
      </c>
      <c r="BL73" s="1">
        <f t="shared" si="48"/>
        <v>33639.389455067234</v>
      </c>
      <c r="BM73" s="1">
        <f t="shared" si="48"/>
        <v>19598.899999999994</v>
      </c>
      <c r="BN73" s="1">
        <f t="shared" si="48"/>
        <v>5.0569672238269359E-2</v>
      </c>
      <c r="BO73" s="1">
        <f t="shared" si="48"/>
        <v>4963.8011995721981</v>
      </c>
      <c r="BP73" s="1">
        <f t="shared" si="48"/>
        <v>24562.701199572191</v>
      </c>
      <c r="BQ73" s="1">
        <f t="shared" si="48"/>
        <v>34524.600000000006</v>
      </c>
      <c r="BR73" s="1">
        <f t="shared" si="48"/>
        <v>6.5584119451141704E-2</v>
      </c>
      <c r="BS73" s="1">
        <f t="shared" si="48"/>
        <v>7459.4675713650631</v>
      </c>
      <c r="BT73" s="1">
        <f t="shared" si="48"/>
        <v>41984.067571365071</v>
      </c>
    </row>
    <row r="74" spans="1:72">
      <c r="A74" s="41" t="s">
        <v>182</v>
      </c>
      <c r="B74" s="41"/>
      <c r="C74" s="42">
        <v>567194</v>
      </c>
      <c r="D74" s="6"/>
      <c r="G74" s="5"/>
    </row>
    <row r="75" spans="1:72">
      <c r="A75" s="41" t="s">
        <v>183</v>
      </c>
      <c r="B75" s="41"/>
      <c r="C75" s="42">
        <v>437715</v>
      </c>
      <c r="D75" s="6"/>
      <c r="G75" s="5"/>
    </row>
    <row r="76" spans="1:72">
      <c r="A76" s="41" t="s">
        <v>184</v>
      </c>
      <c r="B76" s="41"/>
      <c r="C76" s="42">
        <v>463244</v>
      </c>
      <c r="D76" s="6"/>
      <c r="G76" s="5"/>
    </row>
    <row r="77" spans="1:72">
      <c r="A77" s="41" t="s">
        <v>185</v>
      </c>
      <c r="B77" s="41"/>
      <c r="C77" s="42">
        <v>594383</v>
      </c>
      <c r="G77" s="5"/>
    </row>
    <row r="78" spans="1:72">
      <c r="A78" s="41" t="s">
        <v>186</v>
      </c>
      <c r="B78" s="41"/>
      <c r="C78" s="42">
        <v>485720</v>
      </c>
      <c r="G78" s="5"/>
    </row>
    <row r="79" spans="1:72">
      <c r="A79" s="41" t="s">
        <v>187</v>
      </c>
      <c r="B79" s="41"/>
      <c r="C79" s="42">
        <v>640156</v>
      </c>
      <c r="G79" s="5"/>
    </row>
  </sheetData>
  <autoFilter ref="A3:R79" xr:uid="{00000000-0009-0000-0000-000000000000}"/>
  <mergeCells count="1">
    <mergeCell ref="A2:B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5D6B9-AC06-41E5-99FA-47A1A88DC77E}">
  <sheetPr>
    <tabColor rgb="FFFF0000"/>
  </sheetPr>
  <dimension ref="A2:AG79"/>
  <sheetViews>
    <sheetView topLeftCell="G1" zoomScale="115" zoomScaleNormal="115" workbookViewId="0">
      <pane ySplit="1" topLeftCell="A2" activePane="bottomLeft" state="frozen"/>
      <selection activeCell="J32" sqref="J32"/>
      <selection pane="bottomLeft" activeCell="J32" sqref="J32"/>
    </sheetView>
  </sheetViews>
  <sheetFormatPr defaultColWidth="10.28515625" defaultRowHeight="12.75"/>
  <cols>
    <col min="1" max="1" width="11.5703125" customWidth="1"/>
    <col min="3" max="3" width="26.140625" style="5" customWidth="1"/>
    <col min="4" max="4" width="16.5703125" style="3" customWidth="1"/>
    <col min="5" max="5" width="24.140625" style="6" customWidth="1"/>
    <col min="6" max="6" width="20.7109375" style="5" customWidth="1"/>
    <col min="7" max="7" width="48.7109375" style="7" customWidth="1"/>
    <col min="8" max="8" width="18.5703125" hidden="1" customWidth="1"/>
    <col min="9" max="11" width="18.5703125" customWidth="1"/>
    <col min="12" max="14" width="15.140625" hidden="1" customWidth="1"/>
    <col min="15" max="17" width="15.140625" customWidth="1"/>
    <col min="18" max="18" width="15.28515625" hidden="1" customWidth="1"/>
    <col min="19" max="20" width="12.5703125" hidden="1" customWidth="1"/>
    <col min="21" max="21" width="14.28515625" customWidth="1"/>
    <col min="22" max="24" width="14.42578125" hidden="1" customWidth="1"/>
    <col min="25" max="25" width="14.42578125" customWidth="1"/>
    <col min="26" max="27" width="0" hidden="1" customWidth="1"/>
    <col min="28" max="28" width="11.42578125" hidden="1" customWidth="1"/>
    <col min="30" max="32" width="0" hidden="1" customWidth="1"/>
  </cols>
  <sheetData>
    <row r="2" spans="1:33" ht="27" customHeight="1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</row>
    <row r="3" spans="1:33" ht="33.7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24</v>
      </c>
      <c r="I3" s="22" t="s">
        <v>188</v>
      </c>
      <c r="J3" s="23" t="s">
        <v>189</v>
      </c>
      <c r="K3" s="121" t="s">
        <v>204</v>
      </c>
      <c r="L3" s="24" t="s">
        <v>25</v>
      </c>
      <c r="M3" s="25" t="s">
        <v>26</v>
      </c>
      <c r="N3" s="25" t="s">
        <v>27</v>
      </c>
      <c r="O3" s="121" t="s">
        <v>206</v>
      </c>
      <c r="P3" s="121" t="s">
        <v>208</v>
      </c>
      <c r="Q3" s="25" t="s">
        <v>25</v>
      </c>
      <c r="R3" s="26" t="s">
        <v>190</v>
      </c>
      <c r="S3" s="27" t="s">
        <v>26</v>
      </c>
      <c r="T3" s="27" t="s">
        <v>27</v>
      </c>
      <c r="U3" s="26" t="s">
        <v>190</v>
      </c>
      <c r="V3" s="123" t="s">
        <v>202</v>
      </c>
      <c r="W3" s="124" t="s">
        <v>26</v>
      </c>
      <c r="X3" s="124" t="s">
        <v>27</v>
      </c>
      <c r="Y3" s="123" t="s">
        <v>203</v>
      </c>
      <c r="Z3" s="128" t="s">
        <v>205</v>
      </c>
      <c r="AA3" s="129" t="s">
        <v>26</v>
      </c>
      <c r="AB3" s="129" t="s">
        <v>27</v>
      </c>
      <c r="AC3" s="128" t="s">
        <v>205</v>
      </c>
      <c r="AD3" s="131" t="s">
        <v>207</v>
      </c>
      <c r="AE3" s="132" t="s">
        <v>26</v>
      </c>
      <c r="AF3" s="132" t="s">
        <v>27</v>
      </c>
      <c r="AG3" s="131" t="s">
        <v>207</v>
      </c>
    </row>
    <row r="4" spans="1:33" ht="13.5" hidden="1" customHeight="1">
      <c r="A4" s="11">
        <v>1</v>
      </c>
      <c r="B4" s="11" t="s">
        <v>39</v>
      </c>
      <c r="C4" s="12" t="s">
        <v>40</v>
      </c>
      <c r="D4" s="13" t="s">
        <v>41</v>
      </c>
      <c r="E4" s="13" t="s">
        <v>42</v>
      </c>
      <c r="F4" s="14" t="s">
        <v>43</v>
      </c>
      <c r="G4" s="14" t="s">
        <v>44</v>
      </c>
      <c r="H4" s="15">
        <v>384535.44</v>
      </c>
      <c r="I4" s="28">
        <v>402138.72</v>
      </c>
      <c r="J4" s="29">
        <v>410298.48</v>
      </c>
      <c r="K4" s="29">
        <v>417182.88</v>
      </c>
      <c r="L4" s="30">
        <f>I4-H4</f>
        <v>17603.27999999997</v>
      </c>
      <c r="M4" s="31">
        <f>L4/$L$66</f>
        <v>3.8588951862653965E-2</v>
      </c>
      <c r="N4" s="30">
        <f>M4*$L$68</f>
        <v>3696.0849253511997</v>
      </c>
      <c r="O4" s="29">
        <v>428359.92</v>
      </c>
      <c r="P4" s="29">
        <v>439523.28</v>
      </c>
      <c r="Q4" s="30">
        <f t="shared" ref="Q4:Q65" si="0">L4+N4</f>
        <v>21299.364925351168</v>
      </c>
      <c r="R4" s="32">
        <f t="shared" ref="R4:R65" si="1">J4-I4</f>
        <v>8159.7600000000093</v>
      </c>
      <c r="S4" s="31">
        <f>R4/$R$66</f>
        <v>2.3771982228522268E-2</v>
      </c>
      <c r="T4" s="32">
        <f t="shared" ref="T4:T65" si="2">S4*$R$68</f>
        <v>2076.6694954417358</v>
      </c>
      <c r="U4" s="32">
        <f>T4+R4</f>
        <v>10236.429495441746</v>
      </c>
      <c r="V4" s="125">
        <f>K4-J4</f>
        <v>6884.4000000000233</v>
      </c>
      <c r="W4" s="126">
        <f>V4/$V$66</f>
        <v>1.9440177445412665E-2</v>
      </c>
      <c r="X4" s="127">
        <f>W4*$V$68</f>
        <v>2654.8756322865261</v>
      </c>
      <c r="Y4" s="127">
        <f>X4+V4</f>
        <v>9539.2756322865498</v>
      </c>
      <c r="Z4" s="125">
        <f>O4-K4</f>
        <v>11177.039999999979</v>
      </c>
      <c r="AA4" s="126">
        <f>Z4/$Z$66</f>
        <v>3.2463596506909678E-2</v>
      </c>
      <c r="AB4" s="127">
        <f>AA4*$Z$68</f>
        <v>3733.1652396585669</v>
      </c>
      <c r="AC4" s="127">
        <f>AB4+Z4</f>
        <v>14910.205239658546</v>
      </c>
      <c r="AD4" s="125">
        <f>P4-O4</f>
        <v>11163.360000000044</v>
      </c>
      <c r="AE4" s="126">
        <f>AD4/$AD$66</f>
        <v>3.0180142306826245E-2</v>
      </c>
      <c r="AF4" s="127">
        <f>AE4*$AD$68</f>
        <v>4067.5920577013439</v>
      </c>
      <c r="AG4" s="127">
        <f>AF4+AD4</f>
        <v>15230.952057701388</v>
      </c>
    </row>
    <row r="5" spans="1:33" ht="13.5" hidden="1">
      <c r="A5" s="16">
        <v>2</v>
      </c>
      <c r="B5" s="16" t="s">
        <v>39</v>
      </c>
      <c r="C5" s="17" t="s">
        <v>40</v>
      </c>
      <c r="D5" s="13" t="s">
        <v>41</v>
      </c>
      <c r="E5" s="18" t="s">
        <v>42</v>
      </c>
      <c r="F5" s="19" t="s">
        <v>45</v>
      </c>
      <c r="G5" s="19" t="s">
        <v>46</v>
      </c>
      <c r="H5" s="15">
        <v>491340</v>
      </c>
      <c r="I5" s="28">
        <v>507735.6</v>
      </c>
      <c r="J5" s="29">
        <v>518519.6</v>
      </c>
      <c r="K5" s="29">
        <v>525987.19999999995</v>
      </c>
      <c r="L5" s="30">
        <f t="shared" ref="L5:L65" si="3">I5-H5</f>
        <v>16395.599999999977</v>
      </c>
      <c r="M5" s="31">
        <f t="shared" ref="M5:M65" si="4">L5/$L$66</f>
        <v>3.5941541528586127E-2</v>
      </c>
      <c r="N5" s="30">
        <f t="shared" ref="N5:N65" si="5">M5*$L$68</f>
        <v>3442.5135544107775</v>
      </c>
      <c r="O5" s="29">
        <v>538704.76</v>
      </c>
      <c r="P5" s="29">
        <v>551435.19999999995</v>
      </c>
      <c r="Q5" s="30">
        <f t="shared" si="0"/>
        <v>19838.113554410753</v>
      </c>
      <c r="R5" s="33">
        <f t="shared" si="1"/>
        <v>10784</v>
      </c>
      <c r="S5" s="31">
        <f t="shared" ref="S5:S65" si="6">R5/$R$66</f>
        <v>3.1417229961712582E-2</v>
      </c>
      <c r="T5" s="33">
        <f t="shared" si="2"/>
        <v>2744.5419765830925</v>
      </c>
      <c r="U5" s="33">
        <f t="shared" ref="U5:U65" si="7">T5+R5</f>
        <v>13528.541976583092</v>
      </c>
      <c r="V5" s="125">
        <f t="shared" ref="V5:V65" si="8">K5-J5</f>
        <v>7467.5999999999767</v>
      </c>
      <c r="W5" s="126">
        <f t="shared" ref="W5:W65" si="9">V5/$V$66</f>
        <v>2.1087018344570722E-2</v>
      </c>
      <c r="X5" s="127">
        <f t="shared" ref="X5:X65" si="10">W5*$V$68</f>
        <v>2879.7788146625321</v>
      </c>
      <c r="Y5" s="127">
        <f t="shared" ref="Y5:Y65" si="11">X5+V5</f>
        <v>10347.378814662508</v>
      </c>
      <c r="Z5" s="125">
        <f t="shared" ref="Z5:Z65" si="12">O5-K5</f>
        <v>12717.560000000056</v>
      </c>
      <c r="AA5" s="126">
        <f t="shared" ref="AA5:AA65" si="13">Z5/$Z$66</f>
        <v>3.6938020834891602E-2</v>
      </c>
      <c r="AB5" s="127">
        <f t="shared" ref="AB5:AB65" si="14">AA5*$Z$68</f>
        <v>4247.7035892573076</v>
      </c>
      <c r="AC5" s="127">
        <f t="shared" ref="AC5:AC65" si="15">AB5+Z5</f>
        <v>16965.263589257363</v>
      </c>
      <c r="AD5" s="125">
        <f t="shared" ref="AD5:AD65" si="16">P5-O5</f>
        <v>12730.439999999944</v>
      </c>
      <c r="AE5" s="126">
        <f t="shared" ref="AE5:AE65" si="17">AD5/$AD$66</f>
        <v>3.4416742882833654E-2</v>
      </c>
      <c r="AF5" s="127">
        <f t="shared" ref="AF5:AF65" si="18">AE5*$AD$68</f>
        <v>4638.588797193951</v>
      </c>
      <c r="AG5" s="127">
        <f t="shared" ref="AG5:AG64" si="19">AF5+AD5</f>
        <v>17369.028797193896</v>
      </c>
    </row>
    <row r="6" spans="1:33" ht="13.5" hidden="1">
      <c r="A6" s="11">
        <v>3</v>
      </c>
      <c r="B6" s="16" t="s">
        <v>39</v>
      </c>
      <c r="C6" s="17" t="s">
        <v>40</v>
      </c>
      <c r="D6" s="13" t="s">
        <v>41</v>
      </c>
      <c r="E6" s="18" t="s">
        <v>42</v>
      </c>
      <c r="F6" s="19" t="s">
        <v>47</v>
      </c>
      <c r="G6" s="19" t="s">
        <v>48</v>
      </c>
      <c r="H6" s="15">
        <v>886536.4</v>
      </c>
      <c r="I6" s="28">
        <v>913890.48</v>
      </c>
      <c r="J6" s="29">
        <v>932226.08</v>
      </c>
      <c r="K6" s="29">
        <v>945622.32</v>
      </c>
      <c r="L6" s="30">
        <f t="shared" si="3"/>
        <v>27354.079999999958</v>
      </c>
      <c r="M6" s="31">
        <f t="shared" si="4"/>
        <v>5.9964124661266868E-2</v>
      </c>
      <c r="N6" s="30">
        <f t="shared" si="5"/>
        <v>5743.4184274095951</v>
      </c>
      <c r="O6" s="29">
        <v>967677.92</v>
      </c>
      <c r="P6" s="29">
        <v>989096.48</v>
      </c>
      <c r="Q6" s="30">
        <f t="shared" si="0"/>
        <v>33097.498427409555</v>
      </c>
      <c r="R6" s="33">
        <f t="shared" si="1"/>
        <v>18335.599999999977</v>
      </c>
      <c r="S6" s="31">
        <f t="shared" si="6"/>
        <v>5.3417448227557167E-2</v>
      </c>
      <c r="T6" s="33">
        <f t="shared" si="2"/>
        <v>4666.4339638201864</v>
      </c>
      <c r="U6" s="33">
        <f t="shared" si="7"/>
        <v>23002.033963820162</v>
      </c>
      <c r="V6" s="125">
        <f t="shared" si="8"/>
        <v>13396.239999999991</v>
      </c>
      <c r="W6" s="126">
        <f t="shared" si="9"/>
        <v>3.782831949063592E-2</v>
      </c>
      <c r="X6" s="127">
        <f t="shared" si="10"/>
        <v>5166.0785457355632</v>
      </c>
      <c r="Y6" s="127">
        <f t="shared" si="11"/>
        <v>18562.318545735554</v>
      </c>
      <c r="Z6" s="125">
        <f t="shared" si="12"/>
        <v>22055.600000000093</v>
      </c>
      <c r="AA6" s="126">
        <f t="shared" si="13"/>
        <v>6.4060260956192466E-2</v>
      </c>
      <c r="AB6" s="127">
        <f t="shared" si="14"/>
        <v>7366.6372545695449</v>
      </c>
      <c r="AC6" s="127">
        <f t="shared" si="15"/>
        <v>29422.237254569638</v>
      </c>
      <c r="AD6" s="125">
        <f t="shared" si="16"/>
        <v>21418.559999999939</v>
      </c>
      <c r="AE6" s="126">
        <f t="shared" si="17"/>
        <v>5.7905074171870477E-2</v>
      </c>
      <c r="AF6" s="127">
        <f t="shared" si="18"/>
        <v>7804.2779721695897</v>
      </c>
      <c r="AG6" s="127">
        <f t="shared" si="19"/>
        <v>29222.837972169531</v>
      </c>
    </row>
    <row r="7" spans="1:33" ht="40.5" hidden="1">
      <c r="A7" s="16">
        <v>4</v>
      </c>
      <c r="B7" s="16" t="s">
        <v>49</v>
      </c>
      <c r="C7" s="17" t="s">
        <v>50</v>
      </c>
      <c r="D7" s="13" t="s">
        <v>41</v>
      </c>
      <c r="E7" s="20" t="s">
        <v>49</v>
      </c>
      <c r="F7" s="19" t="s">
        <v>51</v>
      </c>
      <c r="G7" s="19" t="s">
        <v>52</v>
      </c>
      <c r="H7" s="15">
        <v>292377.08</v>
      </c>
      <c r="I7" s="28">
        <v>303533.75</v>
      </c>
      <c r="J7" s="29">
        <v>312792.23</v>
      </c>
      <c r="K7" s="29">
        <v>322928.32</v>
      </c>
      <c r="L7" s="30">
        <f t="shared" si="3"/>
        <v>11156.669999999984</v>
      </c>
      <c r="M7" s="31">
        <f t="shared" si="4"/>
        <v>2.4457044458618835E-2</v>
      </c>
      <c r="N7" s="30">
        <f t="shared" si="5"/>
        <v>2342.5179741569746</v>
      </c>
      <c r="O7" s="29">
        <v>331321.75</v>
      </c>
      <c r="P7" s="29">
        <v>338421.94</v>
      </c>
      <c r="Q7" s="30">
        <f t="shared" si="0"/>
        <v>13499.187974156957</v>
      </c>
      <c r="R7" s="33">
        <f t="shared" si="1"/>
        <v>9258.4799999999814</v>
      </c>
      <c r="S7" s="31">
        <f t="shared" si="6"/>
        <v>2.6972903862751866E-2</v>
      </c>
      <c r="T7" s="33">
        <f t="shared" si="2"/>
        <v>2356.2951594357364</v>
      </c>
      <c r="U7" s="33">
        <f t="shared" si="7"/>
        <v>11614.775159435718</v>
      </c>
      <c r="V7" s="125">
        <f t="shared" si="8"/>
        <v>10136.090000000026</v>
      </c>
      <c r="W7" s="126">
        <f t="shared" si="9"/>
        <v>2.8622303788663164E-2</v>
      </c>
      <c r="X7" s="127">
        <f t="shared" si="10"/>
        <v>3908.845846793201</v>
      </c>
      <c r="Y7" s="127">
        <f t="shared" si="11"/>
        <v>14044.935846793227</v>
      </c>
      <c r="Z7" s="125">
        <f t="shared" si="12"/>
        <v>8393.429999999993</v>
      </c>
      <c r="AA7" s="126">
        <f t="shared" si="13"/>
        <v>2.4378630194487196E-2</v>
      </c>
      <c r="AB7" s="127">
        <f t="shared" si="14"/>
        <v>2803.4310620260312</v>
      </c>
      <c r="AC7" s="127">
        <f t="shared" si="15"/>
        <v>11196.861062026024</v>
      </c>
      <c r="AD7" s="125">
        <f t="shared" si="16"/>
        <v>7100.1900000000023</v>
      </c>
      <c r="AE7" s="126">
        <f t="shared" si="17"/>
        <v>1.9195362740743276E-2</v>
      </c>
      <c r="AF7" s="127">
        <f t="shared" si="18"/>
        <v>2587.0953236454257</v>
      </c>
      <c r="AG7" s="127">
        <f t="shared" si="19"/>
        <v>9687.2853236454284</v>
      </c>
    </row>
    <row r="8" spans="1:33" ht="13.5" hidden="1">
      <c r="A8" s="11">
        <v>5</v>
      </c>
      <c r="B8" s="16" t="s">
        <v>39</v>
      </c>
      <c r="C8" s="17" t="s">
        <v>40</v>
      </c>
      <c r="D8" s="13" t="s">
        <v>41</v>
      </c>
      <c r="E8" s="18" t="s">
        <v>42</v>
      </c>
      <c r="F8" s="19" t="s">
        <v>53</v>
      </c>
      <c r="G8" s="19" t="s">
        <v>54</v>
      </c>
      <c r="H8" s="15">
        <v>18944.650000000001</v>
      </c>
      <c r="I8" s="28">
        <v>19737.3</v>
      </c>
      <c r="J8" s="29">
        <v>20000.05</v>
      </c>
      <c r="K8" s="29">
        <v>20089.8</v>
      </c>
      <c r="L8" s="30">
        <f t="shared" si="3"/>
        <v>792.64999999999782</v>
      </c>
      <c r="M8" s="31">
        <f t="shared" si="4"/>
        <v>1.7376041677421841E-3</v>
      </c>
      <c r="N8" s="30">
        <f t="shared" si="5"/>
        <v>166.4293084061394</v>
      </c>
      <c r="O8" s="29">
        <v>20167.849999999999</v>
      </c>
      <c r="P8" s="29">
        <v>20240.150000000001</v>
      </c>
      <c r="Q8" s="30">
        <f t="shared" si="0"/>
        <v>959.07930840613722</v>
      </c>
      <c r="R8" s="33">
        <f t="shared" si="1"/>
        <v>262.75</v>
      </c>
      <c r="S8" s="31">
        <f t="shared" si="6"/>
        <v>7.6547451524851446E-4</v>
      </c>
      <c r="T8" s="33">
        <f t="shared" si="2"/>
        <v>66.870215536647578</v>
      </c>
      <c r="U8" s="33">
        <f t="shared" si="7"/>
        <v>329.62021553664761</v>
      </c>
      <c r="V8" s="125">
        <f t="shared" si="8"/>
        <v>89.75</v>
      </c>
      <c r="W8" s="126">
        <f t="shared" si="9"/>
        <v>2.5343616375076707E-4</v>
      </c>
      <c r="X8" s="127">
        <f t="shared" si="10"/>
        <v>34.610872116337653</v>
      </c>
      <c r="Y8" s="127">
        <f t="shared" si="11"/>
        <v>124.36087211633765</v>
      </c>
      <c r="Z8" s="125">
        <f t="shared" si="12"/>
        <v>78.049999999999272</v>
      </c>
      <c r="AA8" s="126">
        <f t="shared" si="13"/>
        <v>2.2669541375572435E-4</v>
      </c>
      <c r="AB8" s="127">
        <f t="shared" si="14"/>
        <v>26.068936583867369</v>
      </c>
      <c r="AC8" s="127">
        <f t="shared" si="15"/>
        <v>104.11893658386664</v>
      </c>
      <c r="AD8" s="125">
        <f t="shared" si="16"/>
        <v>72.30000000000291</v>
      </c>
      <c r="AE8" s="126">
        <f t="shared" si="17"/>
        <v>1.9546304058846233E-4</v>
      </c>
      <c r="AF8" s="127">
        <f t="shared" si="18"/>
        <v>26.343941767695195</v>
      </c>
      <c r="AG8" s="127">
        <f t="shared" si="19"/>
        <v>98.643941767698109</v>
      </c>
    </row>
    <row r="9" spans="1:33" ht="40.5" hidden="1">
      <c r="A9" s="16">
        <v>6</v>
      </c>
      <c r="B9" s="16" t="s">
        <v>49</v>
      </c>
      <c r="C9" s="17" t="s">
        <v>50</v>
      </c>
      <c r="D9" s="13" t="s">
        <v>41</v>
      </c>
      <c r="E9" s="20" t="s">
        <v>49</v>
      </c>
      <c r="F9" s="19" t="s">
        <v>55</v>
      </c>
      <c r="G9" s="19" t="s">
        <v>56</v>
      </c>
      <c r="H9" s="15">
        <v>91991.54</v>
      </c>
      <c r="I9" s="28">
        <v>94480.67</v>
      </c>
      <c r="J9" s="29">
        <v>96849.57</v>
      </c>
      <c r="K9" s="29">
        <v>99075.42</v>
      </c>
      <c r="L9" s="30">
        <f t="shared" si="3"/>
        <v>2489.1300000000047</v>
      </c>
      <c r="M9" s="31">
        <f t="shared" si="4"/>
        <v>5.456535245129783E-3</v>
      </c>
      <c r="N9" s="30">
        <f t="shared" si="5"/>
        <v>522.63191122560477</v>
      </c>
      <c r="O9" s="29">
        <v>101697.15</v>
      </c>
      <c r="P9" s="29">
        <v>104207.05</v>
      </c>
      <c r="Q9" s="30">
        <f t="shared" si="0"/>
        <v>3011.7619112256093</v>
      </c>
      <c r="R9" s="33">
        <f t="shared" si="1"/>
        <v>2368.9000000000087</v>
      </c>
      <c r="S9" s="31">
        <f t="shared" si="6"/>
        <v>6.9013609102653193E-3</v>
      </c>
      <c r="T9" s="33">
        <f t="shared" si="2"/>
        <v>602.88812020843022</v>
      </c>
      <c r="U9" s="33">
        <f t="shared" si="7"/>
        <v>2971.7881202084391</v>
      </c>
      <c r="V9" s="125">
        <f t="shared" si="8"/>
        <v>2225.8499999999913</v>
      </c>
      <c r="W9" s="126">
        <f t="shared" si="9"/>
        <v>6.2853580510823697E-3</v>
      </c>
      <c r="X9" s="127">
        <f t="shared" si="10"/>
        <v>858.36891030807647</v>
      </c>
      <c r="Y9" s="127">
        <f t="shared" si="11"/>
        <v>3084.2189103080677</v>
      </c>
      <c r="Z9" s="125">
        <f t="shared" si="12"/>
        <v>2621.7299999999959</v>
      </c>
      <c r="AA9" s="126">
        <f t="shared" si="13"/>
        <v>7.6147875349878262E-3</v>
      </c>
      <c r="AB9" s="127">
        <f t="shared" si="14"/>
        <v>875.66576694456285</v>
      </c>
      <c r="AC9" s="127">
        <f t="shared" si="15"/>
        <v>3497.395766944559</v>
      </c>
      <c r="AD9" s="125">
        <f t="shared" si="16"/>
        <v>2509.9000000000087</v>
      </c>
      <c r="AE9" s="126">
        <f t="shared" si="17"/>
        <v>6.785514323277504E-3</v>
      </c>
      <c r="AF9" s="127">
        <f t="shared" si="18"/>
        <v>914.53194249980277</v>
      </c>
      <c r="AG9" s="127">
        <f t="shared" si="19"/>
        <v>3424.4319424998116</v>
      </c>
    </row>
    <row r="10" spans="1:33" ht="13.5" hidden="1">
      <c r="A10" s="11">
        <v>7</v>
      </c>
      <c r="B10" s="16" t="s">
        <v>39</v>
      </c>
      <c r="C10" s="17" t="s">
        <v>40</v>
      </c>
      <c r="D10" s="13" t="s">
        <v>41</v>
      </c>
      <c r="E10" s="18" t="s">
        <v>42</v>
      </c>
      <c r="F10" s="17" t="s">
        <v>57</v>
      </c>
      <c r="G10" s="17" t="s">
        <v>58</v>
      </c>
      <c r="H10" s="15">
        <v>38508.6</v>
      </c>
      <c r="I10" s="28">
        <v>39552</v>
      </c>
      <c r="J10" s="29">
        <v>40420.199999999997</v>
      </c>
      <c r="K10" s="29">
        <v>41421</v>
      </c>
      <c r="L10" s="30">
        <f t="shared" si="3"/>
        <v>1043.4000000000015</v>
      </c>
      <c r="M10" s="31">
        <f t="shared" si="4"/>
        <v>2.2872846636248058E-3</v>
      </c>
      <c r="N10" s="30">
        <f t="shared" si="5"/>
        <v>219.07820651102827</v>
      </c>
      <c r="O10" s="29">
        <v>42440.4</v>
      </c>
      <c r="P10" s="29">
        <v>43430.400000000001</v>
      </c>
      <c r="Q10" s="30">
        <f t="shared" si="0"/>
        <v>1262.4782065110298</v>
      </c>
      <c r="R10" s="33">
        <f t="shared" si="1"/>
        <v>868.19999999999709</v>
      </c>
      <c r="S10" s="31">
        <f t="shared" si="6"/>
        <v>2.5293433839724379E-3</v>
      </c>
      <c r="T10" s="33">
        <f t="shared" si="2"/>
        <v>220.95802522899044</v>
      </c>
      <c r="U10" s="33">
        <f t="shared" si="7"/>
        <v>1089.1580252289875</v>
      </c>
      <c r="V10" s="125">
        <f t="shared" si="8"/>
        <v>1000.8000000000029</v>
      </c>
      <c r="W10" s="126">
        <f t="shared" si="9"/>
        <v>2.8260603084319601E-3</v>
      </c>
      <c r="X10" s="127">
        <f t="shared" si="10"/>
        <v>385.94496728725153</v>
      </c>
      <c r="Y10" s="127">
        <f t="shared" si="11"/>
        <v>1386.7449672872544</v>
      </c>
      <c r="Z10" s="125">
        <f t="shared" si="12"/>
        <v>1019.4000000000015</v>
      </c>
      <c r="AA10" s="126">
        <f t="shared" si="13"/>
        <v>2.9608367044534002E-3</v>
      </c>
      <c r="AB10" s="127">
        <f t="shared" si="14"/>
        <v>340.48268998840081</v>
      </c>
      <c r="AC10" s="127">
        <f t="shared" si="15"/>
        <v>1359.8826899884023</v>
      </c>
      <c r="AD10" s="125">
        <f t="shared" si="16"/>
        <v>990</v>
      </c>
      <c r="AE10" s="126">
        <f t="shared" si="17"/>
        <v>2.6764648711282146E-3</v>
      </c>
      <c r="AF10" s="127">
        <f t="shared" si="18"/>
        <v>360.72617358253382</v>
      </c>
      <c r="AG10" s="127">
        <f t="shared" si="19"/>
        <v>1350.7261735825339</v>
      </c>
    </row>
    <row r="11" spans="1:33" ht="27" hidden="1">
      <c r="A11" s="11">
        <v>8</v>
      </c>
      <c r="B11" s="16" t="s">
        <v>49</v>
      </c>
      <c r="C11" s="17" t="s">
        <v>50</v>
      </c>
      <c r="D11" s="13" t="s">
        <v>41</v>
      </c>
      <c r="E11" s="20" t="s">
        <v>49</v>
      </c>
      <c r="F11" s="17" t="s">
        <v>59</v>
      </c>
      <c r="G11" s="17" t="s">
        <v>60</v>
      </c>
      <c r="H11" s="15">
        <v>174832.21</v>
      </c>
      <c r="I11" s="28">
        <v>178749.12</v>
      </c>
      <c r="J11" s="29">
        <v>182126.54</v>
      </c>
      <c r="K11" s="29">
        <v>186918.12</v>
      </c>
      <c r="L11" s="30">
        <f t="shared" si="3"/>
        <v>3916.9100000000035</v>
      </c>
      <c r="M11" s="31">
        <f t="shared" si="4"/>
        <v>8.5864368140680797E-3</v>
      </c>
      <c r="N11" s="30">
        <f t="shared" si="5"/>
        <v>822.4167317089433</v>
      </c>
      <c r="O11" s="29">
        <v>191790.72</v>
      </c>
      <c r="P11" s="29">
        <v>196138.38</v>
      </c>
      <c r="Q11" s="30">
        <f t="shared" si="0"/>
        <v>4739.3267317089467</v>
      </c>
      <c r="R11" s="33">
        <f t="shared" si="1"/>
        <v>3377.4200000000128</v>
      </c>
      <c r="S11" s="31">
        <f t="shared" si="6"/>
        <v>9.8395011885467083E-3</v>
      </c>
      <c r="T11" s="33">
        <f t="shared" si="2"/>
        <v>859.55776729889681</v>
      </c>
      <c r="U11" s="33">
        <f t="shared" si="7"/>
        <v>4236.9777672989094</v>
      </c>
      <c r="V11" s="125">
        <f t="shared" si="8"/>
        <v>4791.5799999999872</v>
      </c>
      <c r="W11" s="126">
        <f t="shared" si="9"/>
        <v>1.3530469676934788E-2</v>
      </c>
      <c r="X11" s="127">
        <f t="shared" si="10"/>
        <v>1847.8079400022364</v>
      </c>
      <c r="Y11" s="127">
        <f t="shared" si="11"/>
        <v>6639.3879400022233</v>
      </c>
      <c r="Z11" s="125">
        <f t="shared" si="12"/>
        <v>4872.6000000000058</v>
      </c>
      <c r="AA11" s="126">
        <f t="shared" si="13"/>
        <v>1.4152416054659247E-2</v>
      </c>
      <c r="AB11" s="127">
        <f t="shared" si="14"/>
        <v>1627.4631697444395</v>
      </c>
      <c r="AC11" s="127">
        <f t="shared" si="15"/>
        <v>6500.0631697444451</v>
      </c>
      <c r="AD11" s="125">
        <f t="shared" si="16"/>
        <v>4347.6600000000035</v>
      </c>
      <c r="AE11" s="126">
        <f t="shared" si="17"/>
        <v>1.1753898244049802E-2</v>
      </c>
      <c r="AF11" s="127">
        <f t="shared" si="18"/>
        <v>1584.1563190281215</v>
      </c>
      <c r="AG11" s="127">
        <f t="shared" si="19"/>
        <v>5931.8163190281248</v>
      </c>
    </row>
    <row r="12" spans="1:33" ht="27" hidden="1">
      <c r="A12" s="11">
        <v>9</v>
      </c>
      <c r="B12" s="16" t="s">
        <v>49</v>
      </c>
      <c r="C12" s="17" t="s">
        <v>50</v>
      </c>
      <c r="D12" s="13" t="s">
        <v>41</v>
      </c>
      <c r="E12" s="20" t="s">
        <v>49</v>
      </c>
      <c r="F12" s="17" t="s">
        <v>61</v>
      </c>
      <c r="G12" s="17" t="s">
        <v>62</v>
      </c>
      <c r="H12" s="15">
        <v>139277.04</v>
      </c>
      <c r="I12" s="28">
        <v>143610.23999999999</v>
      </c>
      <c r="J12" s="29">
        <v>146400.24</v>
      </c>
      <c r="K12" s="29">
        <v>149207.12</v>
      </c>
      <c r="L12" s="30">
        <f t="shared" si="3"/>
        <v>4333.1999999999825</v>
      </c>
      <c r="M12" s="31">
        <f t="shared" si="4"/>
        <v>9.4990050837827824E-3</v>
      </c>
      <c r="N12" s="30">
        <f t="shared" si="5"/>
        <v>909.82335101934314</v>
      </c>
      <c r="O12" s="29">
        <v>152796.64000000001</v>
      </c>
      <c r="P12" s="29">
        <v>156009.12</v>
      </c>
      <c r="Q12" s="30">
        <f t="shared" si="0"/>
        <v>5243.0233510193257</v>
      </c>
      <c r="R12" s="33">
        <f t="shared" si="1"/>
        <v>2790</v>
      </c>
      <c r="S12" s="31">
        <f t="shared" si="6"/>
        <v>8.1281594578243785E-3</v>
      </c>
      <c r="T12" s="33">
        <f t="shared" si="2"/>
        <v>710.05861597429782</v>
      </c>
      <c r="U12" s="33">
        <f t="shared" si="7"/>
        <v>3500.0586159742979</v>
      </c>
      <c r="V12" s="125">
        <f t="shared" si="8"/>
        <v>2806.8800000000047</v>
      </c>
      <c r="W12" s="126">
        <f t="shared" si="9"/>
        <v>7.9260713014902978E-3</v>
      </c>
      <c r="X12" s="127">
        <f t="shared" si="10"/>
        <v>1082.4352615699831</v>
      </c>
      <c r="Y12" s="127">
        <f t="shared" si="11"/>
        <v>3889.3152615699878</v>
      </c>
      <c r="Z12" s="125">
        <f t="shared" si="12"/>
        <v>3589.5200000000186</v>
      </c>
      <c r="AA12" s="126">
        <f t="shared" si="13"/>
        <v>1.0425723530870719E-2</v>
      </c>
      <c r="AB12" s="127">
        <f t="shared" si="14"/>
        <v>1198.9105604935935</v>
      </c>
      <c r="AC12" s="127">
        <f t="shared" si="15"/>
        <v>4788.4305604936126</v>
      </c>
      <c r="AD12" s="125">
        <f t="shared" si="16"/>
        <v>3212.4799999999814</v>
      </c>
      <c r="AE12" s="126">
        <f t="shared" si="17"/>
        <v>8.6849392618201186E-3</v>
      </c>
      <c r="AF12" s="127">
        <f t="shared" si="18"/>
        <v>1170.530927384254</v>
      </c>
      <c r="AG12" s="127">
        <f t="shared" si="19"/>
        <v>4383.0109273842354</v>
      </c>
    </row>
    <row r="13" spans="1:33" ht="27" hidden="1">
      <c r="A13" s="16">
        <v>10</v>
      </c>
      <c r="B13" s="16" t="s">
        <v>49</v>
      </c>
      <c r="C13" s="17" t="s">
        <v>50</v>
      </c>
      <c r="D13" s="13" t="s">
        <v>41</v>
      </c>
      <c r="E13" s="20" t="s">
        <v>49</v>
      </c>
      <c r="F13" s="17" t="s">
        <v>63</v>
      </c>
      <c r="G13" s="17" t="s">
        <v>64</v>
      </c>
      <c r="H13" s="15">
        <v>59661.45</v>
      </c>
      <c r="I13" s="28">
        <v>61689.42</v>
      </c>
      <c r="J13" s="29">
        <v>63834.879999999997</v>
      </c>
      <c r="K13" s="29">
        <v>65375.57</v>
      </c>
      <c r="L13" s="30">
        <f t="shared" si="3"/>
        <v>2027.9700000000012</v>
      </c>
      <c r="M13" s="31">
        <f t="shared" si="4"/>
        <v>4.4456054047260817E-3</v>
      </c>
      <c r="N13" s="30">
        <f t="shared" si="5"/>
        <v>425.80413116558333</v>
      </c>
      <c r="O13" s="29">
        <v>67221.56</v>
      </c>
      <c r="P13" s="29">
        <v>68458.12</v>
      </c>
      <c r="Q13" s="30">
        <f t="shared" si="0"/>
        <v>2453.7741311655845</v>
      </c>
      <c r="R13" s="33">
        <f t="shared" si="1"/>
        <v>2145.4599999999991</v>
      </c>
      <c r="S13" s="31">
        <f t="shared" si="6"/>
        <v>6.2504089571268403E-3</v>
      </c>
      <c r="T13" s="33">
        <f t="shared" si="2"/>
        <v>546.02235061943247</v>
      </c>
      <c r="U13" s="33">
        <f t="shared" si="7"/>
        <v>2691.4823506194316</v>
      </c>
      <c r="V13" s="125">
        <f t="shared" si="8"/>
        <v>1540.6900000000023</v>
      </c>
      <c r="W13" s="126">
        <f t="shared" si="9"/>
        <v>4.3506023746982718E-3</v>
      </c>
      <c r="X13" s="127">
        <f t="shared" si="10"/>
        <v>594.14623466206501</v>
      </c>
      <c r="Y13" s="127">
        <f t="shared" si="11"/>
        <v>2134.8362346620675</v>
      </c>
      <c r="Z13" s="125">
        <f t="shared" si="12"/>
        <v>1845.989999999998</v>
      </c>
      <c r="AA13" s="126">
        <f t="shared" si="13"/>
        <v>5.3616587679555803E-3</v>
      </c>
      <c r="AB13" s="127">
        <f t="shared" si="14"/>
        <v>616.56625553432059</v>
      </c>
      <c r="AC13" s="127">
        <f t="shared" si="15"/>
        <v>2462.5562555343186</v>
      </c>
      <c r="AD13" s="125">
        <f t="shared" si="16"/>
        <v>1236.5599999999977</v>
      </c>
      <c r="AE13" s="126">
        <f t="shared" si="17"/>
        <v>3.3430397990326251E-3</v>
      </c>
      <c r="AF13" s="127">
        <f t="shared" si="18"/>
        <v>450.56520929819914</v>
      </c>
      <c r="AG13" s="127">
        <f t="shared" si="19"/>
        <v>1687.1252092981968</v>
      </c>
    </row>
    <row r="14" spans="1:33" ht="27" hidden="1">
      <c r="A14" s="11">
        <v>11</v>
      </c>
      <c r="B14" s="16" t="s">
        <v>49</v>
      </c>
      <c r="C14" s="17" t="s">
        <v>50</v>
      </c>
      <c r="D14" s="13" t="s">
        <v>41</v>
      </c>
      <c r="E14" s="20" t="s">
        <v>49</v>
      </c>
      <c r="F14" s="17" t="s">
        <v>65</v>
      </c>
      <c r="G14" s="17" t="s">
        <v>66</v>
      </c>
      <c r="H14" s="15">
        <v>49234.62</v>
      </c>
      <c r="I14" s="28">
        <v>50185.3</v>
      </c>
      <c r="J14" s="29">
        <v>51066.5</v>
      </c>
      <c r="K14" s="29">
        <v>52080.81</v>
      </c>
      <c r="L14" s="30">
        <f t="shared" si="3"/>
        <v>950.68000000000029</v>
      </c>
      <c r="M14" s="31">
        <f t="shared" si="4"/>
        <v>2.0840289285171823E-3</v>
      </c>
      <c r="N14" s="30">
        <f t="shared" si="5"/>
        <v>199.6101872397011</v>
      </c>
      <c r="O14" s="29">
        <v>53110.79</v>
      </c>
      <c r="P14" s="29">
        <v>54022.54</v>
      </c>
      <c r="Q14" s="30">
        <f t="shared" si="0"/>
        <v>1150.2901872397015</v>
      </c>
      <c r="R14" s="33">
        <f t="shared" si="1"/>
        <v>881.19999999999709</v>
      </c>
      <c r="S14" s="31">
        <f t="shared" si="6"/>
        <v>2.5672165283995765E-3</v>
      </c>
      <c r="T14" s="33">
        <f t="shared" si="2"/>
        <v>224.26654207761618</v>
      </c>
      <c r="U14" s="33">
        <f t="shared" si="7"/>
        <v>1105.4665420776132</v>
      </c>
      <c r="V14" s="125">
        <f t="shared" si="8"/>
        <v>1014.3099999999977</v>
      </c>
      <c r="W14" s="126">
        <f t="shared" si="9"/>
        <v>2.8642098635547628E-3</v>
      </c>
      <c r="X14" s="127">
        <f t="shared" si="10"/>
        <v>391.15491583646087</v>
      </c>
      <c r="Y14" s="127">
        <f t="shared" si="11"/>
        <v>1405.4649158364587</v>
      </c>
      <c r="Z14" s="125">
        <f t="shared" si="12"/>
        <v>1029.9800000000032</v>
      </c>
      <c r="AA14" s="126">
        <f t="shared" si="13"/>
        <v>2.991566204485892E-3</v>
      </c>
      <c r="AB14" s="127">
        <f t="shared" si="14"/>
        <v>344.01644205832218</v>
      </c>
      <c r="AC14" s="127">
        <f t="shared" si="15"/>
        <v>1373.9964420583253</v>
      </c>
      <c r="AD14" s="125">
        <f t="shared" si="16"/>
        <v>911.75</v>
      </c>
      <c r="AE14" s="126">
        <f t="shared" si="17"/>
        <v>2.4649160063142926E-3</v>
      </c>
      <c r="AF14" s="127">
        <f t="shared" si="18"/>
        <v>332.21423107462141</v>
      </c>
      <c r="AG14" s="127">
        <f t="shared" si="19"/>
        <v>1243.9642310746215</v>
      </c>
    </row>
    <row r="15" spans="1:33" ht="13.5" hidden="1" customHeight="1">
      <c r="A15" s="16">
        <v>12</v>
      </c>
      <c r="B15" s="16" t="s">
        <v>39</v>
      </c>
      <c r="C15" s="17" t="s">
        <v>40</v>
      </c>
      <c r="D15" s="21" t="s">
        <v>67</v>
      </c>
      <c r="E15" s="21" t="s">
        <v>68</v>
      </c>
      <c r="F15" s="17" t="s">
        <v>69</v>
      </c>
      <c r="G15" s="17" t="s">
        <v>70</v>
      </c>
      <c r="H15" s="15">
        <v>84146.05</v>
      </c>
      <c r="I15" s="28">
        <v>85585.1</v>
      </c>
      <c r="J15" s="29">
        <v>86993.73</v>
      </c>
      <c r="K15" s="29">
        <v>91037.66</v>
      </c>
      <c r="L15" s="30">
        <f t="shared" si="3"/>
        <v>1439.0500000000029</v>
      </c>
      <c r="M15" s="31">
        <f t="shared" si="4"/>
        <v>3.1546070492517531E-3</v>
      </c>
      <c r="N15" s="30">
        <f t="shared" si="5"/>
        <v>302.15113386974838</v>
      </c>
      <c r="O15" s="29">
        <v>93739.199999999997</v>
      </c>
      <c r="P15" s="29">
        <v>94945.85</v>
      </c>
      <c r="Q15" s="30">
        <f t="shared" si="0"/>
        <v>1741.2011338697512</v>
      </c>
      <c r="R15" s="33">
        <f t="shared" si="1"/>
        <v>1408.6299999999901</v>
      </c>
      <c r="S15" s="31">
        <f t="shared" si="6"/>
        <v>4.103788264184614E-3</v>
      </c>
      <c r="T15" s="33">
        <f t="shared" si="2"/>
        <v>358.49816065228248</v>
      </c>
      <c r="U15" s="33">
        <f t="shared" si="7"/>
        <v>1767.1281606522725</v>
      </c>
      <c r="V15" s="125">
        <f t="shared" si="8"/>
        <v>4043.9300000000076</v>
      </c>
      <c r="W15" s="126">
        <f t="shared" si="9"/>
        <v>1.1419254659349764E-2</v>
      </c>
      <c r="X15" s="127">
        <f t="shared" si="10"/>
        <v>1559.4868420882626</v>
      </c>
      <c r="Y15" s="127">
        <f t="shared" si="11"/>
        <v>5603.4168420882706</v>
      </c>
      <c r="Z15" s="125">
        <f t="shared" si="12"/>
        <v>2701.5399999999936</v>
      </c>
      <c r="AA15" s="126">
        <f t="shared" si="13"/>
        <v>7.8465948504502728E-3</v>
      </c>
      <c r="AB15" s="127">
        <f t="shared" si="14"/>
        <v>902.32254886331248</v>
      </c>
      <c r="AC15" s="127">
        <f t="shared" si="15"/>
        <v>3603.8625488633061</v>
      </c>
      <c r="AD15" s="125">
        <f t="shared" si="16"/>
        <v>1206.6500000000087</v>
      </c>
      <c r="AE15" s="126">
        <f t="shared" si="17"/>
        <v>3.2621781179261451E-3</v>
      </c>
      <c r="AF15" s="127">
        <f t="shared" si="18"/>
        <v>439.66690641754303</v>
      </c>
      <c r="AG15" s="127">
        <f t="shared" si="19"/>
        <v>1646.3169064175518</v>
      </c>
    </row>
    <row r="16" spans="1:33" ht="13.5" hidden="1">
      <c r="A16" s="11">
        <v>13</v>
      </c>
      <c r="B16" s="16" t="s">
        <v>39</v>
      </c>
      <c r="C16" s="17" t="s">
        <v>40</v>
      </c>
      <c r="D16" s="21" t="s">
        <v>67</v>
      </c>
      <c r="E16" s="21" t="s">
        <v>68</v>
      </c>
      <c r="F16" s="17" t="s">
        <v>71</v>
      </c>
      <c r="G16" s="17" t="s">
        <v>72</v>
      </c>
      <c r="H16" s="15">
        <v>227214.24</v>
      </c>
      <c r="I16" s="28">
        <v>229052.06</v>
      </c>
      <c r="J16" s="29">
        <v>237817.2</v>
      </c>
      <c r="K16" s="29">
        <v>248822.94</v>
      </c>
      <c r="L16" s="30">
        <f t="shared" si="3"/>
        <v>1837.820000000007</v>
      </c>
      <c r="M16" s="31">
        <f t="shared" si="4"/>
        <v>4.0287689289850021E-3</v>
      </c>
      <c r="N16" s="30">
        <f t="shared" si="5"/>
        <v>385.87915419790971</v>
      </c>
      <c r="O16" s="29">
        <v>260189.96</v>
      </c>
      <c r="P16" s="29">
        <v>267464.68</v>
      </c>
      <c r="Q16" s="30">
        <f t="shared" si="0"/>
        <v>2223.6991541979169</v>
      </c>
      <c r="R16" s="33">
        <f t="shared" si="1"/>
        <v>8765.140000000014</v>
      </c>
      <c r="S16" s="31">
        <f t="shared" si="6"/>
        <v>2.5535647164930068E-2</v>
      </c>
      <c r="T16" s="33">
        <f t="shared" si="2"/>
        <v>2230.7394900433574</v>
      </c>
      <c r="U16" s="33">
        <f t="shared" si="7"/>
        <v>10995.879490043371</v>
      </c>
      <c r="V16" s="125">
        <f t="shared" si="8"/>
        <v>11005.739999999991</v>
      </c>
      <c r="W16" s="126">
        <f t="shared" si="9"/>
        <v>3.1078022560873147E-2</v>
      </c>
      <c r="X16" s="127">
        <f t="shared" si="10"/>
        <v>4244.2145925979012</v>
      </c>
      <c r="Y16" s="127">
        <f t="shared" si="11"/>
        <v>15249.954592597893</v>
      </c>
      <c r="Z16" s="125">
        <f t="shared" si="12"/>
        <v>11367.01999999999</v>
      </c>
      <c r="AA16" s="126">
        <f t="shared" si="13"/>
        <v>3.3015391442275666E-2</v>
      </c>
      <c r="AB16" s="127">
        <f t="shared" si="14"/>
        <v>3796.6191355228007</v>
      </c>
      <c r="AC16" s="127">
        <f t="shared" si="15"/>
        <v>15163.63913552279</v>
      </c>
      <c r="AD16" s="125">
        <f t="shared" si="16"/>
        <v>7274.7200000000012</v>
      </c>
      <c r="AE16" s="126">
        <f t="shared" si="17"/>
        <v>1.9667204573024091E-2</v>
      </c>
      <c r="AF16" s="127">
        <f t="shared" si="18"/>
        <v>2650.6887974589199</v>
      </c>
      <c r="AG16" s="127">
        <f t="shared" si="19"/>
        <v>9925.4087974589202</v>
      </c>
    </row>
    <row r="17" spans="1:33" ht="13.5" hidden="1">
      <c r="A17" s="16">
        <v>14</v>
      </c>
      <c r="B17" s="16" t="s">
        <v>39</v>
      </c>
      <c r="C17" s="17" t="s">
        <v>40</v>
      </c>
      <c r="D17" s="21" t="s">
        <v>67</v>
      </c>
      <c r="E17" s="21" t="s">
        <v>68</v>
      </c>
      <c r="F17" s="17" t="s">
        <v>73</v>
      </c>
      <c r="G17" s="17" t="s">
        <v>74</v>
      </c>
      <c r="H17" s="15">
        <v>11446.3</v>
      </c>
      <c r="I17" s="28">
        <v>11448.25</v>
      </c>
      <c r="J17" s="29">
        <v>11450.15</v>
      </c>
      <c r="K17" s="29">
        <v>11452.75</v>
      </c>
      <c r="L17" s="30">
        <f t="shared" si="3"/>
        <v>1.9500000000007276</v>
      </c>
      <c r="M17" s="31">
        <f t="shared" si="4"/>
        <v>4.2746838164366773E-6</v>
      </c>
      <c r="N17" s="30">
        <f t="shared" si="5"/>
        <v>0.4094331059005788</v>
      </c>
      <c r="O17" s="29">
        <v>11455.15</v>
      </c>
      <c r="P17" s="29">
        <v>11457.2</v>
      </c>
      <c r="Q17" s="30">
        <f t="shared" si="0"/>
        <v>2.3594331059013065</v>
      </c>
      <c r="R17" s="33">
        <f t="shared" si="1"/>
        <v>1.8999999999996362</v>
      </c>
      <c r="S17" s="31">
        <f t="shared" si="6"/>
        <v>5.5353057239653625E-6</v>
      </c>
      <c r="T17" s="33">
        <f t="shared" si="2"/>
        <v>0.48355246249136469</v>
      </c>
      <c r="U17" s="33">
        <f t="shared" si="7"/>
        <v>2.3835524624910009</v>
      </c>
      <c r="V17" s="125">
        <f t="shared" si="8"/>
        <v>2.6000000000003638</v>
      </c>
      <c r="W17" s="126">
        <f t="shared" si="9"/>
        <v>7.3418832952878726E-6</v>
      </c>
      <c r="X17" s="127">
        <f t="shared" si="10"/>
        <v>1.0026547911141002</v>
      </c>
      <c r="Y17" s="127">
        <f t="shared" si="11"/>
        <v>3.602654791114464</v>
      </c>
      <c r="Z17" s="125">
        <f t="shared" si="12"/>
        <v>2.3999999999996362</v>
      </c>
      <c r="AA17" s="126">
        <f t="shared" si="13"/>
        <v>6.9707750546273039E-6</v>
      </c>
      <c r="AB17" s="127">
        <f t="shared" si="14"/>
        <v>0.80160727484013827</v>
      </c>
      <c r="AC17" s="127">
        <f t="shared" si="15"/>
        <v>3.2016072748397746</v>
      </c>
      <c r="AD17" s="125">
        <f t="shared" si="16"/>
        <v>2.0500000000010914</v>
      </c>
      <c r="AE17" s="126">
        <f t="shared" si="17"/>
        <v>5.5421747331472336E-6</v>
      </c>
      <c r="AF17" s="127">
        <f t="shared" si="18"/>
        <v>0.74695823822685659</v>
      </c>
      <c r="AG17" s="127">
        <f t="shared" si="19"/>
        <v>2.7969582382279481</v>
      </c>
    </row>
    <row r="18" spans="1:33" ht="13.5" hidden="1">
      <c r="A18" s="11">
        <v>15</v>
      </c>
      <c r="B18" s="16" t="s">
        <v>39</v>
      </c>
      <c r="C18" s="17" t="s">
        <v>40</v>
      </c>
      <c r="D18" s="21" t="s">
        <v>67</v>
      </c>
      <c r="E18" s="21" t="s">
        <v>68</v>
      </c>
      <c r="F18" s="17" t="s">
        <v>75</v>
      </c>
      <c r="G18" s="17" t="s">
        <v>76</v>
      </c>
      <c r="H18" s="15">
        <v>45409.26</v>
      </c>
      <c r="I18" s="28">
        <v>45964.02</v>
      </c>
      <c r="J18" s="29">
        <v>47011.17</v>
      </c>
      <c r="K18" s="29">
        <v>49267.44</v>
      </c>
      <c r="L18" s="30">
        <f t="shared" si="3"/>
        <v>554.75999999999476</v>
      </c>
      <c r="M18" s="31">
        <f t="shared" si="4"/>
        <v>1.2161146635925662E-3</v>
      </c>
      <c r="N18" s="30">
        <f t="shared" si="5"/>
        <v>116.48056914324012</v>
      </c>
      <c r="O18" s="29">
        <v>51108.78</v>
      </c>
      <c r="P18" s="29">
        <v>52468.71</v>
      </c>
      <c r="Q18" s="30">
        <f t="shared" si="0"/>
        <v>671.24056914323489</v>
      </c>
      <c r="R18" s="33">
        <f t="shared" si="1"/>
        <v>1047.1500000000015</v>
      </c>
      <c r="S18" s="31">
        <f t="shared" si="6"/>
        <v>3.0506817836060251E-3</v>
      </c>
      <c r="T18" s="33">
        <f t="shared" si="2"/>
        <v>266.50103215680537</v>
      </c>
      <c r="U18" s="33">
        <f t="shared" si="7"/>
        <v>1313.6510321568069</v>
      </c>
      <c r="V18" s="125">
        <f t="shared" si="8"/>
        <v>2256.2700000000041</v>
      </c>
      <c r="W18" s="126">
        <f t="shared" si="9"/>
        <v>6.3712580856372623E-3</v>
      </c>
      <c r="X18" s="127">
        <f t="shared" si="10"/>
        <v>870.09997136411482</v>
      </c>
      <c r="Y18" s="127">
        <f t="shared" si="11"/>
        <v>3126.369971364119</v>
      </c>
      <c r="Z18" s="125">
        <f t="shared" si="12"/>
        <v>1841.3399999999965</v>
      </c>
      <c r="AA18" s="126">
        <f t="shared" si="13"/>
        <v>5.3481528912872342E-3</v>
      </c>
      <c r="AB18" s="127">
        <f t="shared" si="14"/>
        <v>615.01314143931711</v>
      </c>
      <c r="AC18" s="127">
        <f t="shared" si="15"/>
        <v>2456.3531414393137</v>
      </c>
      <c r="AD18" s="125">
        <f t="shared" si="16"/>
        <v>1359.9300000000003</v>
      </c>
      <c r="AE18" s="126">
        <f t="shared" si="17"/>
        <v>3.6765705779731248E-3</v>
      </c>
      <c r="AF18" s="127">
        <f t="shared" si="18"/>
        <v>495.51752044454071</v>
      </c>
      <c r="AG18" s="127">
        <f t="shared" si="19"/>
        <v>1855.4475204445409</v>
      </c>
    </row>
    <row r="19" spans="1:33" ht="13.5" hidden="1">
      <c r="A19" s="16">
        <v>16</v>
      </c>
      <c r="B19" s="16" t="s">
        <v>39</v>
      </c>
      <c r="C19" s="17" t="s">
        <v>40</v>
      </c>
      <c r="D19" s="21" t="s">
        <v>67</v>
      </c>
      <c r="E19" s="21" t="s">
        <v>68</v>
      </c>
      <c r="F19" s="17" t="s">
        <v>77</v>
      </c>
      <c r="G19" s="17" t="s">
        <v>78</v>
      </c>
      <c r="H19" s="15">
        <v>58379.35</v>
      </c>
      <c r="I19" s="28">
        <v>59793.09</v>
      </c>
      <c r="J19" s="29">
        <v>60990.46</v>
      </c>
      <c r="K19" s="29">
        <v>63153.63</v>
      </c>
      <c r="L19" s="30">
        <f t="shared" si="3"/>
        <v>1413.739999999998</v>
      </c>
      <c r="M19" s="31">
        <f t="shared" si="4"/>
        <v>3.0991238454599617E-3</v>
      </c>
      <c r="N19" s="30">
        <f t="shared" si="5"/>
        <v>296.83690212085514</v>
      </c>
      <c r="O19" s="29">
        <v>65187</v>
      </c>
      <c r="P19" s="29">
        <v>66887.039999999994</v>
      </c>
      <c r="Q19" s="30">
        <f t="shared" si="0"/>
        <v>1710.576902120853</v>
      </c>
      <c r="R19" s="33">
        <f t="shared" si="1"/>
        <v>1197.3700000000026</v>
      </c>
      <c r="S19" s="31">
        <f t="shared" si="6"/>
        <v>3.4883205340556262E-3</v>
      </c>
      <c r="T19" s="33">
        <f t="shared" si="2"/>
        <v>304.7322168491566</v>
      </c>
      <c r="U19" s="33">
        <f t="shared" si="7"/>
        <v>1502.1022168491593</v>
      </c>
      <c r="V19" s="125">
        <f t="shared" si="8"/>
        <v>2163.1699999999983</v>
      </c>
      <c r="W19" s="126">
        <f t="shared" si="9"/>
        <v>6.1083621876406279E-3</v>
      </c>
      <c r="X19" s="127">
        <f t="shared" si="10"/>
        <v>834.19721711307022</v>
      </c>
      <c r="Y19" s="127">
        <f t="shared" si="11"/>
        <v>2997.3672171130684</v>
      </c>
      <c r="Z19" s="125">
        <f t="shared" si="12"/>
        <v>2033.3700000000026</v>
      </c>
      <c r="AA19" s="126">
        <f t="shared" si="13"/>
        <v>5.9059020303457036E-3</v>
      </c>
      <c r="AB19" s="127">
        <f t="shared" si="14"/>
        <v>679.15174351747544</v>
      </c>
      <c r="AC19" s="127">
        <f t="shared" si="15"/>
        <v>2712.5217435174782</v>
      </c>
      <c r="AD19" s="125">
        <f t="shared" si="16"/>
        <v>1700.0399999999936</v>
      </c>
      <c r="AE19" s="126">
        <f t="shared" si="17"/>
        <v>4.5960579186997905E-3</v>
      </c>
      <c r="AF19" s="127">
        <f t="shared" si="18"/>
        <v>619.44335771439239</v>
      </c>
      <c r="AG19" s="127">
        <f t="shared" si="19"/>
        <v>2319.4833577143859</v>
      </c>
    </row>
    <row r="20" spans="1:33" ht="13.5" hidden="1">
      <c r="A20" s="11">
        <v>17</v>
      </c>
      <c r="B20" s="16" t="s">
        <v>39</v>
      </c>
      <c r="C20" s="17" t="s">
        <v>40</v>
      </c>
      <c r="D20" s="21" t="s">
        <v>67</v>
      </c>
      <c r="E20" s="21" t="s">
        <v>68</v>
      </c>
      <c r="F20" s="17" t="s">
        <v>79</v>
      </c>
      <c r="G20" s="17" t="s">
        <v>80</v>
      </c>
      <c r="H20" s="15">
        <v>154662.78</v>
      </c>
      <c r="I20" s="28">
        <v>160441.17000000001</v>
      </c>
      <c r="J20" s="29">
        <v>165068.82</v>
      </c>
      <c r="K20" s="29">
        <v>171698.92</v>
      </c>
      <c r="L20" s="30">
        <f t="shared" si="3"/>
        <v>5778.390000000014</v>
      </c>
      <c r="M20" s="31">
        <f t="shared" si="4"/>
        <v>1.2667071906692501E-2</v>
      </c>
      <c r="N20" s="30">
        <f t="shared" si="5"/>
        <v>1213.2636742584455</v>
      </c>
      <c r="O20" s="29">
        <v>175903.53</v>
      </c>
      <c r="P20" s="29">
        <v>180533.42</v>
      </c>
      <c r="Q20" s="30">
        <f t="shared" si="0"/>
        <v>6991.6536742584594</v>
      </c>
      <c r="R20" s="33">
        <f t="shared" si="1"/>
        <v>4627.6499999999942</v>
      </c>
      <c r="S20" s="31">
        <f t="shared" si="6"/>
        <v>1.3481819754480623E-2</v>
      </c>
      <c r="T20" s="33">
        <f t="shared" si="2"/>
        <v>1177.7429226571523</v>
      </c>
      <c r="U20" s="33">
        <f t="shared" si="7"/>
        <v>5805.3929226571463</v>
      </c>
      <c r="V20" s="125">
        <f t="shared" si="8"/>
        <v>6630.1000000000058</v>
      </c>
      <c r="W20" s="126">
        <f t="shared" si="9"/>
        <v>1.8722084783108214E-2</v>
      </c>
      <c r="X20" s="127">
        <f t="shared" si="10"/>
        <v>2556.8082809864118</v>
      </c>
      <c r="Y20" s="127">
        <f t="shared" si="11"/>
        <v>9186.9082809864176</v>
      </c>
      <c r="Z20" s="125">
        <f t="shared" si="12"/>
        <v>4204.609999999986</v>
      </c>
      <c r="AA20" s="126">
        <f t="shared" si="13"/>
        <v>1.2212246042683689E-2</v>
      </c>
      <c r="AB20" s="127">
        <f t="shared" si="14"/>
        <v>1404.3524849442056</v>
      </c>
      <c r="AC20" s="127">
        <f t="shared" si="15"/>
        <v>5608.9624849441916</v>
      </c>
      <c r="AD20" s="125">
        <f t="shared" si="16"/>
        <v>4629.890000000014</v>
      </c>
      <c r="AE20" s="126">
        <f t="shared" si="17"/>
        <v>1.2516907012310957E-2</v>
      </c>
      <c r="AF20" s="127">
        <f t="shared" si="18"/>
        <v>1686.9924280889318</v>
      </c>
      <c r="AG20" s="127">
        <f t="shared" si="19"/>
        <v>6316.8824280889457</v>
      </c>
    </row>
    <row r="21" spans="1:33" ht="13.5" hidden="1">
      <c r="A21" s="16">
        <v>18</v>
      </c>
      <c r="B21" s="16" t="s">
        <v>39</v>
      </c>
      <c r="C21" s="17" t="s">
        <v>40</v>
      </c>
      <c r="D21" s="21" t="s">
        <v>67</v>
      </c>
      <c r="E21" s="21" t="s">
        <v>68</v>
      </c>
      <c r="F21" s="17" t="s">
        <v>81</v>
      </c>
      <c r="G21" s="17" t="s">
        <v>82</v>
      </c>
      <c r="H21" s="15">
        <v>69707.05</v>
      </c>
      <c r="I21" s="28">
        <v>70909.100000000006</v>
      </c>
      <c r="J21" s="29">
        <v>72995.05</v>
      </c>
      <c r="K21" s="29">
        <v>76908.350000000006</v>
      </c>
      <c r="L21" s="30">
        <f t="shared" si="3"/>
        <v>1202.0500000000029</v>
      </c>
      <c r="M21" s="31">
        <f t="shared" si="4"/>
        <v>2.6350685546388734E-3</v>
      </c>
      <c r="N21" s="30">
        <f t="shared" si="5"/>
        <v>252.38926407569656</v>
      </c>
      <c r="O21" s="29">
        <v>79236.75</v>
      </c>
      <c r="P21" s="29">
        <v>80627.899999999994</v>
      </c>
      <c r="Q21" s="30">
        <f t="shared" si="0"/>
        <v>1454.4392640756994</v>
      </c>
      <c r="R21" s="33">
        <f t="shared" si="1"/>
        <v>2085.9499999999971</v>
      </c>
      <c r="S21" s="31">
        <f t="shared" si="6"/>
        <v>6.0770373552146021E-3</v>
      </c>
      <c r="T21" s="33">
        <f t="shared" si="2"/>
        <v>530.87697849160736</v>
      </c>
      <c r="U21" s="33">
        <f t="shared" si="7"/>
        <v>2616.8269784916047</v>
      </c>
      <c r="V21" s="125">
        <f t="shared" si="8"/>
        <v>3913.3000000000029</v>
      </c>
      <c r="W21" s="126">
        <f t="shared" si="9"/>
        <v>1.1050381499786936E-2</v>
      </c>
      <c r="X21" s="127">
        <f t="shared" si="10"/>
        <v>1509.1111515639468</v>
      </c>
      <c r="Y21" s="127">
        <f t="shared" si="11"/>
        <v>5422.4111515639497</v>
      </c>
      <c r="Z21" s="125">
        <f t="shared" si="12"/>
        <v>2328.3999999999942</v>
      </c>
      <c r="AA21" s="126">
        <f t="shared" si="13"/>
        <v>6.7628135988319306E-3</v>
      </c>
      <c r="AB21" s="127">
        <f t="shared" si="14"/>
        <v>777.69265780752335</v>
      </c>
      <c r="AC21" s="127">
        <f t="shared" si="15"/>
        <v>3106.0926578075178</v>
      </c>
      <c r="AD21" s="125">
        <f t="shared" si="16"/>
        <v>1391.1499999999942</v>
      </c>
      <c r="AE21" s="126">
        <f t="shared" si="17"/>
        <v>3.760973843909091E-3</v>
      </c>
      <c r="AF21" s="127">
        <f t="shared" si="18"/>
        <v>506.89314785791896</v>
      </c>
      <c r="AG21" s="127">
        <f t="shared" si="19"/>
        <v>1898.043147857913</v>
      </c>
    </row>
    <row r="22" spans="1:33" ht="27" hidden="1">
      <c r="A22" s="11">
        <v>19</v>
      </c>
      <c r="B22" s="16" t="s">
        <v>83</v>
      </c>
      <c r="C22" s="17" t="s">
        <v>84</v>
      </c>
      <c r="D22" s="18" t="s">
        <v>41</v>
      </c>
      <c r="E22" s="18" t="s">
        <v>83</v>
      </c>
      <c r="F22" s="17" t="s">
        <v>85</v>
      </c>
      <c r="G22" s="17" t="s">
        <v>86</v>
      </c>
      <c r="H22" s="15">
        <v>97165.68</v>
      </c>
      <c r="I22" s="28">
        <v>100332</v>
      </c>
      <c r="J22" s="29">
        <v>102955.77</v>
      </c>
      <c r="K22" s="29">
        <v>106131.48</v>
      </c>
      <c r="L22" s="30">
        <f t="shared" si="3"/>
        <v>3166.320000000007</v>
      </c>
      <c r="M22" s="31">
        <f t="shared" si="4"/>
        <v>6.9410342880280827E-3</v>
      </c>
      <c r="N22" s="30">
        <f t="shared" si="5"/>
        <v>664.81858044853334</v>
      </c>
      <c r="O22" s="29">
        <v>108907.2</v>
      </c>
      <c r="P22" s="29">
        <v>111148.83</v>
      </c>
      <c r="Q22" s="30">
        <f t="shared" si="0"/>
        <v>3831.1385804485403</v>
      </c>
      <c r="R22" s="33">
        <f t="shared" si="1"/>
        <v>2623.7700000000041</v>
      </c>
      <c r="S22" s="31">
        <f t="shared" si="6"/>
        <v>7.6438784733533702E-3</v>
      </c>
      <c r="T22" s="33">
        <f t="shared" si="2"/>
        <v>667.75286553221736</v>
      </c>
      <c r="U22" s="33">
        <f t="shared" si="7"/>
        <v>3291.5228655322217</v>
      </c>
      <c r="V22" s="125">
        <f t="shared" si="8"/>
        <v>3175.7099999999919</v>
      </c>
      <c r="W22" s="126">
        <f t="shared" si="9"/>
        <v>8.9675739229520494E-3</v>
      </c>
      <c r="X22" s="127">
        <f t="shared" si="10"/>
        <v>1224.6695564186559</v>
      </c>
      <c r="Y22" s="127">
        <f t="shared" si="11"/>
        <v>4400.3795564186476</v>
      </c>
      <c r="Z22" s="125">
        <f t="shared" si="12"/>
        <v>2775.7200000000012</v>
      </c>
      <c r="AA22" s="126">
        <f t="shared" si="13"/>
        <v>8.0620498894304338E-3</v>
      </c>
      <c r="AB22" s="127">
        <f t="shared" si="14"/>
        <v>927.09889371650274</v>
      </c>
      <c r="AC22" s="127">
        <f t="shared" si="15"/>
        <v>3702.8188937165041</v>
      </c>
      <c r="AD22" s="125">
        <f t="shared" si="16"/>
        <v>2241.6300000000047</v>
      </c>
      <c r="AE22" s="126">
        <f t="shared" si="17"/>
        <v>6.0602464131991433E-3</v>
      </c>
      <c r="AF22" s="127">
        <f t="shared" si="18"/>
        <v>816.78243685638074</v>
      </c>
      <c r="AG22" s="127">
        <f t="shared" si="19"/>
        <v>3058.4124368563853</v>
      </c>
    </row>
    <row r="23" spans="1:33" ht="13.5" hidden="1" customHeight="1">
      <c r="A23" s="16">
        <v>20</v>
      </c>
      <c r="B23" s="16" t="s">
        <v>49</v>
      </c>
      <c r="C23" s="17" t="s">
        <v>50</v>
      </c>
      <c r="D23" s="21" t="s">
        <v>67</v>
      </c>
      <c r="E23" s="18" t="s">
        <v>49</v>
      </c>
      <c r="F23" s="17" t="s">
        <v>87</v>
      </c>
      <c r="G23" s="17" t="s">
        <v>88</v>
      </c>
      <c r="H23" s="15">
        <v>2938675.7</v>
      </c>
      <c r="I23" s="28">
        <v>3004044</v>
      </c>
      <c r="J23" s="29">
        <v>3065787.9</v>
      </c>
      <c r="K23" s="29">
        <v>3138309.8</v>
      </c>
      <c r="L23" s="30">
        <f t="shared" si="3"/>
        <v>65368.299999999814</v>
      </c>
      <c r="M23" s="31">
        <f t="shared" si="4"/>
        <v>0.14329682775275518</v>
      </c>
      <c r="N23" s="30">
        <f t="shared" si="5"/>
        <v>13725.100562272175</v>
      </c>
      <c r="O23" s="29">
        <v>3212801.25</v>
      </c>
      <c r="P23" s="29">
        <v>3285561.6</v>
      </c>
      <c r="Q23" s="30">
        <f t="shared" si="0"/>
        <v>79093.400562271985</v>
      </c>
      <c r="R23" s="33">
        <f t="shared" si="1"/>
        <v>61743.899999999907</v>
      </c>
      <c r="S23" s="31">
        <f t="shared" si="6"/>
        <v>0.17987966478421574</v>
      </c>
      <c r="T23" s="33">
        <f t="shared" si="2"/>
        <v>15713.902573066447</v>
      </c>
      <c r="U23" s="33">
        <f t="shared" si="7"/>
        <v>77457.80257306635</v>
      </c>
      <c r="V23" s="125">
        <f t="shared" si="8"/>
        <v>72521.899999999907</v>
      </c>
      <c r="W23" s="126">
        <f t="shared" si="9"/>
        <v>0.20478743313556247</v>
      </c>
      <c r="X23" s="127">
        <f t="shared" si="10"/>
        <v>27967.08865218746</v>
      </c>
      <c r="Y23" s="127">
        <f t="shared" si="11"/>
        <v>100488.98865218737</v>
      </c>
      <c r="Z23" s="125">
        <f t="shared" si="12"/>
        <v>74491.450000000186</v>
      </c>
      <c r="AA23" s="126">
        <f t="shared" si="13"/>
        <v>0.21635964226795712</v>
      </c>
      <c r="AB23" s="127">
        <f t="shared" si="14"/>
        <v>24880.370097249841</v>
      </c>
      <c r="AC23" s="127">
        <f t="shared" si="15"/>
        <v>99371.82009725002</v>
      </c>
      <c r="AD23" s="125">
        <f t="shared" si="16"/>
        <v>72760.350000000093</v>
      </c>
      <c r="AE23" s="126">
        <f t="shared" si="17"/>
        <v>0.19670759675352933</v>
      </c>
      <c r="AF23" s="127">
        <f t="shared" si="18"/>
        <v>26511.679438410047</v>
      </c>
      <c r="AG23" s="127">
        <f t="shared" si="19"/>
        <v>99272.029438410143</v>
      </c>
    </row>
    <row r="24" spans="1:33" ht="27" hidden="1">
      <c r="A24" s="11">
        <v>21</v>
      </c>
      <c r="B24" s="16" t="s">
        <v>49</v>
      </c>
      <c r="C24" s="17" t="s">
        <v>50</v>
      </c>
      <c r="D24" s="21" t="s">
        <v>67</v>
      </c>
      <c r="E24" s="18" t="s">
        <v>49</v>
      </c>
      <c r="F24" s="17" t="s">
        <v>89</v>
      </c>
      <c r="G24" s="17" t="s">
        <v>90</v>
      </c>
      <c r="H24" s="15">
        <v>1048141.5</v>
      </c>
      <c r="I24" s="28">
        <v>1060074.7</v>
      </c>
      <c r="J24" s="29">
        <v>1072820.7</v>
      </c>
      <c r="K24" s="29">
        <v>1088491.8999999999</v>
      </c>
      <c r="L24" s="30">
        <f t="shared" si="3"/>
        <v>11933.199999999953</v>
      </c>
      <c r="M24" s="31">
        <f t="shared" si="4"/>
        <v>2.6159311240145092E-2</v>
      </c>
      <c r="N24" s="30">
        <f t="shared" si="5"/>
        <v>2505.5626355543309</v>
      </c>
      <c r="O24" s="29">
        <v>1103296.5</v>
      </c>
      <c r="P24" s="29">
        <v>1120544.6000000001</v>
      </c>
      <c r="Q24" s="30">
        <f t="shared" si="0"/>
        <v>14438.762635554285</v>
      </c>
      <c r="R24" s="33">
        <f t="shared" si="1"/>
        <v>12746</v>
      </c>
      <c r="S24" s="31">
        <f t="shared" si="6"/>
        <v>3.7133161451408436E-2</v>
      </c>
      <c r="T24" s="33">
        <f t="shared" si="2"/>
        <v>3243.8735194295346</v>
      </c>
      <c r="U24" s="33">
        <f t="shared" si="7"/>
        <v>15989.873519429535</v>
      </c>
      <c r="V24" s="125">
        <f t="shared" si="8"/>
        <v>15671.199999999953</v>
      </c>
      <c r="W24" s="126">
        <f t="shared" si="9"/>
        <v>4.4252354421961106E-2</v>
      </c>
      <c r="X24" s="127">
        <f t="shared" si="10"/>
        <v>6043.3860625019388</v>
      </c>
      <c r="Y24" s="127">
        <f t="shared" si="11"/>
        <v>21714.58606250189</v>
      </c>
      <c r="Z24" s="125">
        <f t="shared" si="12"/>
        <v>14804.600000000093</v>
      </c>
      <c r="AA24" s="126">
        <f t="shared" si="13"/>
        <v>4.2999806822396534E-2</v>
      </c>
      <c r="AB24" s="127">
        <f t="shared" si="14"/>
        <v>4944.7812754584102</v>
      </c>
      <c r="AC24" s="127">
        <f t="shared" si="15"/>
        <v>19749.381275458501</v>
      </c>
      <c r="AD24" s="125">
        <f t="shared" si="16"/>
        <v>17248.100000000093</v>
      </c>
      <c r="AE24" s="126">
        <f t="shared" si="17"/>
        <v>4.663023610475435E-2</v>
      </c>
      <c r="AF24" s="127">
        <f t="shared" si="18"/>
        <v>6284.6879945140754</v>
      </c>
      <c r="AG24" s="127">
        <f t="shared" si="19"/>
        <v>23532.787994514169</v>
      </c>
    </row>
    <row r="25" spans="1:33" ht="27" hidden="1">
      <c r="A25" s="16">
        <v>22</v>
      </c>
      <c r="B25" s="16" t="s">
        <v>49</v>
      </c>
      <c r="C25" s="17" t="s">
        <v>50</v>
      </c>
      <c r="D25" s="21" t="s">
        <v>67</v>
      </c>
      <c r="E25" s="18" t="s">
        <v>49</v>
      </c>
      <c r="F25" s="17" t="s">
        <v>91</v>
      </c>
      <c r="G25" s="17" t="s">
        <v>92</v>
      </c>
      <c r="H25" s="15">
        <v>659648.52</v>
      </c>
      <c r="I25" s="28">
        <v>693900.64</v>
      </c>
      <c r="J25" s="29">
        <v>715881.28</v>
      </c>
      <c r="K25" s="29">
        <v>721752.8</v>
      </c>
      <c r="L25" s="30">
        <f t="shared" si="3"/>
        <v>34252.119999999995</v>
      </c>
      <c r="M25" s="31">
        <f t="shared" si="4"/>
        <v>7.5085632329534566E-2</v>
      </c>
      <c r="N25" s="30">
        <f t="shared" si="5"/>
        <v>7191.7701924482562</v>
      </c>
      <c r="O25" s="29">
        <v>727854.24</v>
      </c>
      <c r="P25" s="29">
        <v>733570.4</v>
      </c>
      <c r="Q25" s="30">
        <f t="shared" si="0"/>
        <v>41443.890192448249</v>
      </c>
      <c r="R25" s="33">
        <f t="shared" si="1"/>
        <v>21980.640000000014</v>
      </c>
      <c r="S25" s="31">
        <f t="shared" si="6"/>
        <v>6.4036611793918619E-2</v>
      </c>
      <c r="T25" s="33">
        <f t="shared" si="2"/>
        <v>5594.1013679674907</v>
      </c>
      <c r="U25" s="33">
        <f t="shared" si="7"/>
        <v>27574.741367967505</v>
      </c>
      <c r="V25" s="125">
        <f t="shared" si="8"/>
        <v>5871.5200000000186</v>
      </c>
      <c r="W25" s="126">
        <f t="shared" si="9"/>
        <v>1.6580005617670292E-2</v>
      </c>
      <c r="X25" s="127">
        <f t="shared" si="10"/>
        <v>2264.2721765851757</v>
      </c>
      <c r="Y25" s="127">
        <f t="shared" si="11"/>
        <v>8135.7921765851943</v>
      </c>
      <c r="Z25" s="125">
        <f t="shared" si="12"/>
        <v>6101.4399999999441</v>
      </c>
      <c r="AA25" s="126">
        <f t="shared" si="13"/>
        <v>1.7721569062213033E-2</v>
      </c>
      <c r="AB25" s="127">
        <f t="shared" si="14"/>
        <v>2037.8994545838791</v>
      </c>
      <c r="AC25" s="127">
        <f t="shared" si="15"/>
        <v>8139.3394545838237</v>
      </c>
      <c r="AD25" s="125">
        <f t="shared" si="16"/>
        <v>5716.1600000000326</v>
      </c>
      <c r="AE25" s="126">
        <f t="shared" si="17"/>
        <v>1.5453637815907417E-2</v>
      </c>
      <c r="AF25" s="127">
        <f t="shared" si="18"/>
        <v>2082.7964892783316</v>
      </c>
      <c r="AG25" s="127">
        <f t="shared" si="19"/>
        <v>7798.9564892783637</v>
      </c>
    </row>
    <row r="26" spans="1:33" ht="27" hidden="1">
      <c r="A26" s="11">
        <v>23</v>
      </c>
      <c r="B26" s="16" t="s">
        <v>49</v>
      </c>
      <c r="C26" s="17" t="s">
        <v>50</v>
      </c>
      <c r="D26" s="21" t="s">
        <v>67</v>
      </c>
      <c r="E26" s="18" t="s">
        <v>49</v>
      </c>
      <c r="F26" s="17" t="s">
        <v>93</v>
      </c>
      <c r="G26" s="17" t="s">
        <v>94</v>
      </c>
      <c r="H26" s="15">
        <v>108258.41</v>
      </c>
      <c r="I26" s="28">
        <v>111809.04</v>
      </c>
      <c r="J26" s="29">
        <v>114951.27</v>
      </c>
      <c r="K26" s="29">
        <v>118279.42</v>
      </c>
      <c r="L26" s="30">
        <f t="shared" si="3"/>
        <v>3550.6299999999901</v>
      </c>
      <c r="M26" s="31">
        <f t="shared" si="4"/>
        <v>7.7834977431532589E-3</v>
      </c>
      <c r="N26" s="30">
        <f t="shared" si="5"/>
        <v>745.51049682216706</v>
      </c>
      <c r="O26" s="29">
        <v>121661.73</v>
      </c>
      <c r="P26" s="29">
        <v>124959.55</v>
      </c>
      <c r="Q26" s="30">
        <f t="shared" si="0"/>
        <v>4296.1404968221568</v>
      </c>
      <c r="R26" s="33">
        <f t="shared" si="1"/>
        <v>3142.2300000000105</v>
      </c>
      <c r="S26" s="31">
        <f t="shared" si="6"/>
        <v>9.1543177394837211E-3</v>
      </c>
      <c r="T26" s="33">
        <f t="shared" si="2"/>
        <v>799.70160748133526</v>
      </c>
      <c r="U26" s="33">
        <f t="shared" si="7"/>
        <v>3941.931607481346</v>
      </c>
      <c r="V26" s="125">
        <f t="shared" si="8"/>
        <v>3328.1499999999942</v>
      </c>
      <c r="W26" s="126">
        <f t="shared" si="9"/>
        <v>9.3980341881572584E-3</v>
      </c>
      <c r="X26" s="127">
        <f t="shared" si="10"/>
        <v>1283.4559780945845</v>
      </c>
      <c r="Y26" s="127">
        <f t="shared" si="11"/>
        <v>4611.6059780945789</v>
      </c>
      <c r="Z26" s="125">
        <f t="shared" si="12"/>
        <v>3382.3099999999977</v>
      </c>
      <c r="AA26" s="126">
        <f t="shared" si="13"/>
        <v>9.8238842395916813E-3</v>
      </c>
      <c r="AB26" s="127">
        <f t="shared" si="14"/>
        <v>1129.7017924020654</v>
      </c>
      <c r="AC26" s="127">
        <f t="shared" si="15"/>
        <v>4512.0117924020633</v>
      </c>
      <c r="AD26" s="125">
        <f t="shared" si="16"/>
        <v>3297.820000000007</v>
      </c>
      <c r="AE26" s="126">
        <f t="shared" si="17"/>
        <v>8.9156559407111789E-3</v>
      </c>
      <c r="AF26" s="127">
        <f t="shared" si="18"/>
        <v>1201.6262522868224</v>
      </c>
      <c r="AG26" s="127">
        <f t="shared" si="19"/>
        <v>4499.4462522868289</v>
      </c>
    </row>
    <row r="27" spans="1:33" ht="27" hidden="1">
      <c r="A27" s="16">
        <v>24</v>
      </c>
      <c r="B27" s="16" t="s">
        <v>49</v>
      </c>
      <c r="C27" s="17" t="s">
        <v>50</v>
      </c>
      <c r="D27" s="21" t="s">
        <v>67</v>
      </c>
      <c r="E27" s="18" t="s">
        <v>49</v>
      </c>
      <c r="F27" s="17" t="s">
        <v>95</v>
      </c>
      <c r="G27" s="17" t="s">
        <v>96</v>
      </c>
      <c r="H27" s="15">
        <v>234198</v>
      </c>
      <c r="I27" s="28">
        <v>239020.9</v>
      </c>
      <c r="J27" s="29">
        <v>243288.48</v>
      </c>
      <c r="K27" s="29">
        <v>248579.1</v>
      </c>
      <c r="L27" s="30">
        <f t="shared" si="3"/>
        <v>4822.8999999999942</v>
      </c>
      <c r="M27" s="31">
        <f t="shared" si="4"/>
        <v>1.0572498758094736E-2</v>
      </c>
      <c r="N27" s="30">
        <f t="shared" si="5"/>
        <v>1012.6435520241859</v>
      </c>
      <c r="O27" s="29">
        <v>254158.44</v>
      </c>
      <c r="P27" s="29">
        <v>260133.36</v>
      </c>
      <c r="Q27" s="30">
        <f t="shared" si="0"/>
        <v>5835.5435520241799</v>
      </c>
      <c r="R27" s="33">
        <f t="shared" si="1"/>
        <v>4267.5800000000163</v>
      </c>
      <c r="S27" s="31">
        <f t="shared" si="6"/>
        <v>1.2432821053413009E-2</v>
      </c>
      <c r="T27" s="33">
        <f t="shared" si="2"/>
        <v>1086.104640989106</v>
      </c>
      <c r="U27" s="33">
        <f t="shared" si="7"/>
        <v>5353.6846409891223</v>
      </c>
      <c r="V27" s="125">
        <f t="shared" si="8"/>
        <v>5290.6199999999953</v>
      </c>
      <c r="W27" s="126">
        <f t="shared" si="9"/>
        <v>1.4939659461427099E-2</v>
      </c>
      <c r="X27" s="127">
        <f t="shared" si="10"/>
        <v>2040.2559580628206</v>
      </c>
      <c r="Y27" s="127">
        <f t="shared" si="11"/>
        <v>7330.8759580628157</v>
      </c>
      <c r="Z27" s="125">
        <f t="shared" si="12"/>
        <v>5579.3399999999965</v>
      </c>
      <c r="AA27" s="126">
        <f t="shared" si="13"/>
        <v>1.6205135038870905E-2</v>
      </c>
      <c r="AB27" s="127">
        <f t="shared" si="14"/>
        <v>1863.5164720030216</v>
      </c>
      <c r="AC27" s="127">
        <f t="shared" si="15"/>
        <v>7442.8564720030181</v>
      </c>
      <c r="AD27" s="125">
        <f t="shared" si="16"/>
        <v>5974.9199999999837</v>
      </c>
      <c r="AE27" s="126">
        <f t="shared" si="17"/>
        <v>1.6153195442223583E-2</v>
      </c>
      <c r="AF27" s="127">
        <f t="shared" si="18"/>
        <v>2177.0808374361077</v>
      </c>
      <c r="AG27" s="127">
        <f t="shared" si="19"/>
        <v>8152.0008374360914</v>
      </c>
    </row>
    <row r="28" spans="1:33" ht="27" hidden="1">
      <c r="A28" s="11">
        <v>25</v>
      </c>
      <c r="B28" s="16" t="s">
        <v>49</v>
      </c>
      <c r="C28" s="17" t="s">
        <v>50</v>
      </c>
      <c r="D28" s="21" t="s">
        <v>67</v>
      </c>
      <c r="E28" s="18" t="s">
        <v>49</v>
      </c>
      <c r="F28" s="17" t="s">
        <v>97</v>
      </c>
      <c r="G28" s="17" t="s">
        <v>98</v>
      </c>
      <c r="H28" s="15">
        <v>52071.57</v>
      </c>
      <c r="I28" s="28">
        <v>53133.43</v>
      </c>
      <c r="J28" s="29">
        <v>54106.06</v>
      </c>
      <c r="K28" s="29">
        <v>55229.36</v>
      </c>
      <c r="L28" s="30">
        <f t="shared" si="3"/>
        <v>1061.8600000000006</v>
      </c>
      <c r="M28" s="31">
        <f t="shared" si="4"/>
        <v>2.3277516704203896E-3</v>
      </c>
      <c r="N28" s="30">
        <f t="shared" si="5"/>
        <v>222.95417324688549</v>
      </c>
      <c r="O28" s="29">
        <v>56279.43</v>
      </c>
      <c r="P28" s="29">
        <v>57270.8</v>
      </c>
      <c r="Q28" s="30">
        <f t="shared" si="0"/>
        <v>1284.8141732468862</v>
      </c>
      <c r="R28" s="33">
        <f t="shared" si="1"/>
        <v>972.62999999999738</v>
      </c>
      <c r="S28" s="31">
        <f t="shared" si="6"/>
        <v>2.8335812664744458E-3</v>
      </c>
      <c r="T28" s="33">
        <f t="shared" si="2"/>
        <v>247.53559557529729</v>
      </c>
      <c r="U28" s="33">
        <f t="shared" si="7"/>
        <v>1220.1655955752947</v>
      </c>
      <c r="V28" s="125">
        <f t="shared" si="8"/>
        <v>1123.3000000000029</v>
      </c>
      <c r="W28" s="126">
        <f t="shared" si="9"/>
        <v>3.1719759636906673E-3</v>
      </c>
      <c r="X28" s="127">
        <f t="shared" si="10"/>
        <v>433.18543340704383</v>
      </c>
      <c r="Y28" s="127">
        <f t="shared" si="11"/>
        <v>1556.4854334070467</v>
      </c>
      <c r="Z28" s="125">
        <f t="shared" si="12"/>
        <v>1050.0699999999997</v>
      </c>
      <c r="AA28" s="126">
        <f t="shared" si="13"/>
        <v>3.0499174006723335E-3</v>
      </c>
      <c r="AB28" s="127">
        <f t="shared" si="14"/>
        <v>350.72656295479635</v>
      </c>
      <c r="AC28" s="127">
        <f t="shared" si="15"/>
        <v>1400.7965629547962</v>
      </c>
      <c r="AD28" s="125">
        <f t="shared" si="16"/>
        <v>991.37000000000262</v>
      </c>
      <c r="AE28" s="126">
        <f t="shared" si="17"/>
        <v>2.6801686659498839E-3</v>
      </c>
      <c r="AF28" s="127">
        <f t="shared" si="18"/>
        <v>361.22536030759341</v>
      </c>
      <c r="AG28" s="127">
        <f t="shared" si="19"/>
        <v>1352.5953603075959</v>
      </c>
    </row>
    <row r="29" spans="1:33" ht="27" hidden="1">
      <c r="A29" s="16">
        <v>26</v>
      </c>
      <c r="B29" s="16" t="s">
        <v>83</v>
      </c>
      <c r="C29" s="17" t="s">
        <v>84</v>
      </c>
      <c r="D29" s="21" t="s">
        <v>67</v>
      </c>
      <c r="E29" s="18" t="s">
        <v>83</v>
      </c>
      <c r="F29" s="17" t="s">
        <v>99</v>
      </c>
      <c r="G29" s="17" t="s">
        <v>100</v>
      </c>
      <c r="H29" s="15">
        <v>154489.26</v>
      </c>
      <c r="I29" s="28">
        <v>157194.06</v>
      </c>
      <c r="J29" s="29">
        <v>159615.01</v>
      </c>
      <c r="K29" s="29">
        <v>162350.06</v>
      </c>
      <c r="L29" s="30">
        <f t="shared" si="3"/>
        <v>2704.7999999999884</v>
      </c>
      <c r="M29" s="31">
        <f t="shared" si="4"/>
        <v>5.9293152752274677E-3</v>
      </c>
      <c r="N29" s="30">
        <f t="shared" si="5"/>
        <v>567.91521273818853</v>
      </c>
      <c r="O29" s="29">
        <v>167403.51</v>
      </c>
      <c r="P29" s="29">
        <v>173089.5</v>
      </c>
      <c r="Q29" s="30">
        <f t="shared" si="0"/>
        <v>3272.7152127381769</v>
      </c>
      <c r="R29" s="33">
        <f t="shared" si="1"/>
        <v>2420.9500000000116</v>
      </c>
      <c r="S29" s="31">
        <f t="shared" si="6"/>
        <v>7.0529991539139874E-3</v>
      </c>
      <c r="T29" s="33">
        <f t="shared" si="2"/>
        <v>616.13491266773644</v>
      </c>
      <c r="U29" s="33">
        <f t="shared" si="7"/>
        <v>3037.0849126677481</v>
      </c>
      <c r="V29" s="125">
        <f t="shared" si="8"/>
        <v>2735.0499999999884</v>
      </c>
      <c r="W29" s="126">
        <f t="shared" si="9"/>
        <v>7.7232376564516161E-3</v>
      </c>
      <c r="X29" s="127">
        <f t="shared" si="10"/>
        <v>1054.7349947831631</v>
      </c>
      <c r="Y29" s="127">
        <f t="shared" si="11"/>
        <v>3789.7849947831514</v>
      </c>
      <c r="Z29" s="125">
        <f t="shared" si="12"/>
        <v>5053.4500000000116</v>
      </c>
      <c r="AA29" s="126">
        <f t="shared" si="13"/>
        <v>1.467769299992157E-2</v>
      </c>
      <c r="AB29" s="127">
        <f t="shared" si="14"/>
        <v>1687.8676179339666</v>
      </c>
      <c r="AC29" s="127">
        <f t="shared" si="15"/>
        <v>6741.317617933978</v>
      </c>
      <c r="AD29" s="125">
        <f t="shared" si="16"/>
        <v>5685.9899999999907</v>
      </c>
      <c r="AE29" s="126">
        <f t="shared" si="17"/>
        <v>1.5372073224834639E-2</v>
      </c>
      <c r="AF29" s="127">
        <f t="shared" si="18"/>
        <v>2071.8034502308565</v>
      </c>
      <c r="AG29" s="127">
        <f t="shared" si="19"/>
        <v>7757.7934502308472</v>
      </c>
    </row>
    <row r="30" spans="1:33" ht="27" hidden="1">
      <c r="A30" s="11">
        <v>27</v>
      </c>
      <c r="B30" s="16" t="s">
        <v>83</v>
      </c>
      <c r="C30" s="17" t="s">
        <v>84</v>
      </c>
      <c r="D30" s="21" t="s">
        <v>67</v>
      </c>
      <c r="E30" s="18" t="s">
        <v>83</v>
      </c>
      <c r="F30" s="17" t="s">
        <v>101</v>
      </c>
      <c r="G30" s="17" t="s">
        <v>102</v>
      </c>
      <c r="H30" s="15">
        <v>161042.26999999999</v>
      </c>
      <c r="I30" s="28">
        <v>165659.39000000001</v>
      </c>
      <c r="J30" s="29">
        <v>169814.04</v>
      </c>
      <c r="K30" s="29">
        <v>175801.06</v>
      </c>
      <c r="L30" s="30">
        <f t="shared" si="3"/>
        <v>4617.1200000000244</v>
      </c>
      <c r="M30" s="31">
        <f t="shared" si="4"/>
        <v>1.0121399047455822E-2</v>
      </c>
      <c r="N30" s="30">
        <f t="shared" si="5"/>
        <v>969.43681123845386</v>
      </c>
      <c r="O30" s="29">
        <v>179177.84</v>
      </c>
      <c r="P30" s="29">
        <v>183238.92</v>
      </c>
      <c r="Q30" s="30">
        <f t="shared" si="0"/>
        <v>5586.5568112384781</v>
      </c>
      <c r="R30" s="33">
        <f t="shared" si="1"/>
        <v>4154.6499999999942</v>
      </c>
      <c r="S30" s="31">
        <f t="shared" si="6"/>
        <v>1.2103819961093193E-2</v>
      </c>
      <c r="T30" s="33">
        <f t="shared" si="2"/>
        <v>1057.3638096263844</v>
      </c>
      <c r="U30" s="33">
        <f t="shared" si="7"/>
        <v>5212.0138096263781</v>
      </c>
      <c r="V30" s="125">
        <f t="shared" si="8"/>
        <v>5987.0199999999895</v>
      </c>
      <c r="W30" s="126">
        <f t="shared" si="9"/>
        <v>1.690615466405699E-2</v>
      </c>
      <c r="X30" s="127">
        <f t="shared" si="10"/>
        <v>2308.8131874981113</v>
      </c>
      <c r="Y30" s="127">
        <f t="shared" si="11"/>
        <v>8295.8331874981013</v>
      </c>
      <c r="Z30" s="125">
        <f t="shared" si="12"/>
        <v>3376.7799999999988</v>
      </c>
      <c r="AA30" s="126">
        <f t="shared" si="13"/>
        <v>9.8078224120699779E-3</v>
      </c>
      <c r="AB30" s="127">
        <f t="shared" si="14"/>
        <v>1127.8547556396213</v>
      </c>
      <c r="AC30" s="127">
        <f t="shared" si="15"/>
        <v>4504.6347556396204</v>
      </c>
      <c r="AD30" s="125">
        <f t="shared" si="16"/>
        <v>4061.0800000000163</v>
      </c>
      <c r="AE30" s="126">
        <f t="shared" si="17"/>
        <v>1.0979129251354964E-2</v>
      </c>
      <c r="AF30" s="127">
        <f t="shared" si="18"/>
        <v>1479.7352010227903</v>
      </c>
      <c r="AG30" s="127">
        <f t="shared" si="19"/>
        <v>5540.8152010228068</v>
      </c>
    </row>
    <row r="31" spans="1:33" ht="27" hidden="1">
      <c r="A31" s="16">
        <v>28</v>
      </c>
      <c r="B31" s="16" t="s">
        <v>83</v>
      </c>
      <c r="C31" s="17" t="s">
        <v>84</v>
      </c>
      <c r="D31" s="21" t="s">
        <v>67</v>
      </c>
      <c r="E31" s="18" t="s">
        <v>83</v>
      </c>
      <c r="F31" s="17" t="s">
        <v>103</v>
      </c>
      <c r="G31" s="17" t="s">
        <v>104</v>
      </c>
      <c r="H31" s="15">
        <v>73442.33</v>
      </c>
      <c r="I31" s="28">
        <v>75948.89</v>
      </c>
      <c r="J31" s="29">
        <v>78045.600000000006</v>
      </c>
      <c r="K31" s="29">
        <v>80711.19</v>
      </c>
      <c r="L31" s="30">
        <f t="shared" si="3"/>
        <v>2506.5599999999977</v>
      </c>
      <c r="M31" s="31">
        <f t="shared" si="4"/>
        <v>5.4947443420120569E-3</v>
      </c>
      <c r="N31" s="30">
        <f t="shared" si="5"/>
        <v>526.29161329526721</v>
      </c>
      <c r="O31" s="29">
        <v>83541.789999999994</v>
      </c>
      <c r="P31" s="29">
        <v>86039.42</v>
      </c>
      <c r="Q31" s="30">
        <f t="shared" si="0"/>
        <v>3032.851613295265</v>
      </c>
      <c r="R31" s="33">
        <f t="shared" si="1"/>
        <v>2096.7100000000064</v>
      </c>
      <c r="S31" s="31">
        <f t="shared" si="6"/>
        <v>6.1083846655250913E-3</v>
      </c>
      <c r="T31" s="33">
        <f t="shared" si="2"/>
        <v>533.61541243708768</v>
      </c>
      <c r="U31" s="33">
        <f t="shared" si="7"/>
        <v>2630.3254124370942</v>
      </c>
      <c r="V31" s="125">
        <f t="shared" si="8"/>
        <v>2665.5899999999965</v>
      </c>
      <c r="W31" s="126">
        <f t="shared" si="9"/>
        <v>7.5270964204167835E-3</v>
      </c>
      <c r="X31" s="127">
        <f t="shared" si="10"/>
        <v>1027.9486864020987</v>
      </c>
      <c r="Y31" s="127">
        <f t="shared" si="11"/>
        <v>3693.5386864020952</v>
      </c>
      <c r="Z31" s="125">
        <f t="shared" si="12"/>
        <v>2830.5999999999913</v>
      </c>
      <c r="AA31" s="126">
        <f t="shared" si="13"/>
        <v>8.2214482790129075E-3</v>
      </c>
      <c r="AB31" s="127">
        <f t="shared" si="14"/>
        <v>945.42898006784685</v>
      </c>
      <c r="AC31" s="127">
        <f t="shared" si="15"/>
        <v>3776.0289800678383</v>
      </c>
      <c r="AD31" s="125">
        <f t="shared" si="16"/>
        <v>2497.6300000000047</v>
      </c>
      <c r="AE31" s="126">
        <f t="shared" si="17"/>
        <v>6.7523423798747225E-3</v>
      </c>
      <c r="AF31" s="127">
        <f t="shared" si="18"/>
        <v>910.06112416661176</v>
      </c>
      <c r="AG31" s="127">
        <f t="shared" si="19"/>
        <v>3407.6911241666166</v>
      </c>
    </row>
    <row r="32" spans="1:33" ht="13.5" hidden="1">
      <c r="A32" s="11">
        <v>29</v>
      </c>
      <c r="B32" s="16" t="s">
        <v>105</v>
      </c>
      <c r="C32" s="17" t="s">
        <v>106</v>
      </c>
      <c r="D32" s="20" t="s">
        <v>41</v>
      </c>
      <c r="E32" s="20" t="s">
        <v>105</v>
      </c>
      <c r="F32" s="17" t="s">
        <v>107</v>
      </c>
      <c r="G32" s="17" t="s">
        <v>108</v>
      </c>
      <c r="H32" s="15">
        <v>172140.44</v>
      </c>
      <c r="I32" s="28">
        <v>176423.16</v>
      </c>
      <c r="J32" s="29">
        <v>176769.46</v>
      </c>
      <c r="K32" s="29">
        <v>176920.36</v>
      </c>
      <c r="L32" s="30">
        <f t="shared" si="3"/>
        <v>4282.7200000000012</v>
      </c>
      <c r="M32" s="31">
        <f t="shared" si="4"/>
        <v>9.3883455765758263E-3</v>
      </c>
      <c r="N32" s="30">
        <f t="shared" si="5"/>
        <v>899.22428271890931</v>
      </c>
      <c r="O32" s="29">
        <v>177647.3</v>
      </c>
      <c r="P32" s="29">
        <v>177650.66</v>
      </c>
      <c r="Q32" s="30">
        <f t="shared" si="0"/>
        <v>5181.9442827189105</v>
      </c>
      <c r="R32" s="33">
        <f t="shared" si="1"/>
        <v>346.29999999998836</v>
      </c>
      <c r="S32" s="31">
        <f t="shared" si="6"/>
        <v>1.0088823011628989E-3</v>
      </c>
      <c r="T32" s="33">
        <f t="shared" si="2"/>
        <v>88.133798821466343</v>
      </c>
      <c r="U32" s="33">
        <f t="shared" si="7"/>
        <v>434.43379882145473</v>
      </c>
      <c r="V32" s="125">
        <f t="shared" si="8"/>
        <v>150.89999999999418</v>
      </c>
      <c r="W32" s="126">
        <f t="shared" si="9"/>
        <v>4.2611161125336239E-4</v>
      </c>
      <c r="X32" s="127">
        <f t="shared" si="10"/>
        <v>58.192541530419497</v>
      </c>
      <c r="Y32" s="127">
        <f t="shared" si="11"/>
        <v>209.09254153041368</v>
      </c>
      <c r="Z32" s="125">
        <f t="shared" si="12"/>
        <v>726.94000000000233</v>
      </c>
      <c r="AA32" s="126">
        <f t="shared" si="13"/>
        <v>2.1113896742548151E-3</v>
      </c>
      <c r="AB32" s="127">
        <f t="shared" si="14"/>
        <v>242.80016348849176</v>
      </c>
      <c r="AC32" s="127">
        <f t="shared" si="15"/>
        <v>969.74016348849409</v>
      </c>
      <c r="AD32" s="125">
        <f t="shared" si="16"/>
        <v>3.360000000015134</v>
      </c>
      <c r="AE32" s="126">
        <f t="shared" si="17"/>
        <v>9.0837595626578852E-6</v>
      </c>
      <c r="AF32" s="127">
        <f t="shared" si="18"/>
        <v>1.2242827709522957</v>
      </c>
      <c r="AG32" s="127">
        <f t="shared" si="19"/>
        <v>4.5842827709674294</v>
      </c>
    </row>
    <row r="33" spans="1:33" ht="13.5" hidden="1">
      <c r="A33" s="16">
        <v>30</v>
      </c>
      <c r="B33" s="16" t="s">
        <v>109</v>
      </c>
      <c r="C33" s="17" t="s">
        <v>110</v>
      </c>
      <c r="D33" s="20" t="s">
        <v>41</v>
      </c>
      <c r="E33" s="20" t="s">
        <v>109</v>
      </c>
      <c r="F33" s="17" t="s">
        <v>111</v>
      </c>
      <c r="G33" s="17" t="s">
        <v>112</v>
      </c>
      <c r="H33" s="15">
        <v>246845.9</v>
      </c>
      <c r="I33" s="28">
        <v>250309.64</v>
      </c>
      <c r="J33" s="29">
        <v>253705</v>
      </c>
      <c r="K33" s="29">
        <v>258780.14</v>
      </c>
      <c r="L33" s="30">
        <f t="shared" si="3"/>
        <v>3463.7400000000198</v>
      </c>
      <c r="M33" s="31">
        <f t="shared" si="4"/>
        <v>7.5930222165840706E-3</v>
      </c>
      <c r="N33" s="30">
        <f t="shared" si="5"/>
        <v>727.266577554641</v>
      </c>
      <c r="O33" s="29">
        <v>263221.15999999997</v>
      </c>
      <c r="P33" s="29">
        <v>266194.24</v>
      </c>
      <c r="Q33" s="30">
        <f t="shared" si="0"/>
        <v>4191.0065775546609</v>
      </c>
      <c r="R33" s="33">
        <f t="shared" si="1"/>
        <v>3395.359999999986</v>
      </c>
      <c r="S33" s="31">
        <f t="shared" si="6"/>
        <v>9.8917661278560814E-3</v>
      </c>
      <c r="T33" s="33">
        <f t="shared" si="2"/>
        <v>864.12352054999349</v>
      </c>
      <c r="U33" s="33">
        <f t="shared" si="7"/>
        <v>4259.4835205499794</v>
      </c>
      <c r="V33" s="125">
        <f t="shared" si="8"/>
        <v>5075.140000000014</v>
      </c>
      <c r="W33" s="126">
        <f t="shared" si="9"/>
        <v>1.4331186764323918E-2</v>
      </c>
      <c r="X33" s="127">
        <f t="shared" si="10"/>
        <v>1957.1590140669678</v>
      </c>
      <c r="Y33" s="127">
        <f t="shared" si="11"/>
        <v>7032.2990140669817</v>
      </c>
      <c r="Z33" s="125">
        <f t="shared" si="12"/>
        <v>4441.0199999999604</v>
      </c>
      <c r="AA33" s="126">
        <f t="shared" si="13"/>
        <v>1.289889643046057E-2</v>
      </c>
      <c r="AB33" s="127">
        <f t="shared" si="14"/>
        <v>1483.3141415462744</v>
      </c>
      <c r="AC33" s="127">
        <f t="shared" si="15"/>
        <v>5924.3341415462346</v>
      </c>
      <c r="AD33" s="125">
        <f t="shared" si="16"/>
        <v>2973.0800000000163</v>
      </c>
      <c r="AE33" s="126">
        <f t="shared" si="17"/>
        <v>8.0377213929837526E-3</v>
      </c>
      <c r="AF33" s="127">
        <f t="shared" si="18"/>
        <v>1083.3007799543084</v>
      </c>
      <c r="AG33" s="127">
        <f t="shared" si="19"/>
        <v>4056.3807799543247</v>
      </c>
    </row>
    <row r="34" spans="1:33" ht="27" hidden="1">
      <c r="A34" s="11">
        <v>31</v>
      </c>
      <c r="B34" s="16" t="s">
        <v>49</v>
      </c>
      <c r="C34" s="17" t="s">
        <v>50</v>
      </c>
      <c r="D34" s="18" t="s">
        <v>41</v>
      </c>
      <c r="E34" s="20" t="s">
        <v>49</v>
      </c>
      <c r="F34" s="17" t="s">
        <v>113</v>
      </c>
      <c r="G34" s="17" t="s">
        <v>114</v>
      </c>
      <c r="H34" s="15">
        <v>153165.06</v>
      </c>
      <c r="I34" s="28">
        <v>157167.29999999999</v>
      </c>
      <c r="J34" s="29">
        <v>160735.67999999999</v>
      </c>
      <c r="K34" s="29">
        <v>165598.29</v>
      </c>
      <c r="L34" s="30">
        <f t="shared" si="3"/>
        <v>4002.2399999999907</v>
      </c>
      <c r="M34" s="31">
        <f t="shared" si="4"/>
        <v>8.7734925935841566E-3</v>
      </c>
      <c r="N34" s="30">
        <f t="shared" si="5"/>
        <v>840.33310449175247</v>
      </c>
      <c r="O34" s="29">
        <v>170388.48000000001</v>
      </c>
      <c r="P34" s="29">
        <v>174538.68</v>
      </c>
      <c r="Q34" s="30">
        <f t="shared" si="0"/>
        <v>4842.5731044917429</v>
      </c>
      <c r="R34" s="33">
        <f t="shared" si="1"/>
        <v>3568.3800000000047</v>
      </c>
      <c r="S34" s="31">
        <f t="shared" si="6"/>
        <v>1.0395828546993332E-2</v>
      </c>
      <c r="T34" s="33">
        <f t="shared" si="2"/>
        <v>908.15733479224673</v>
      </c>
      <c r="U34" s="33">
        <f t="shared" si="7"/>
        <v>4476.5373347922514</v>
      </c>
      <c r="V34" s="125">
        <f t="shared" si="8"/>
        <v>4862.6100000000151</v>
      </c>
      <c r="W34" s="126">
        <f t="shared" si="9"/>
        <v>1.3731044280959569E-2</v>
      </c>
      <c r="X34" s="127">
        <f t="shared" si="10"/>
        <v>1875.1996976225644</v>
      </c>
      <c r="Y34" s="127">
        <f t="shared" si="11"/>
        <v>6737.8096976225797</v>
      </c>
      <c r="Z34" s="125">
        <f t="shared" si="12"/>
        <v>4790.1900000000023</v>
      </c>
      <c r="AA34" s="126">
        <f t="shared" si="13"/>
        <v>1.3913057066220934E-2</v>
      </c>
      <c r="AB34" s="127">
        <f t="shared" si="14"/>
        <v>1599.9379799446108</v>
      </c>
      <c r="AC34" s="127">
        <f t="shared" si="15"/>
        <v>6390.1279799446129</v>
      </c>
      <c r="AD34" s="125">
        <f t="shared" si="16"/>
        <v>4150.1999999999825</v>
      </c>
      <c r="AE34" s="126">
        <f t="shared" si="17"/>
        <v>1.1220065159753807E-2</v>
      </c>
      <c r="AF34" s="127">
        <f t="shared" si="18"/>
        <v>1512.2078440426519</v>
      </c>
      <c r="AG34" s="127">
        <f t="shared" si="19"/>
        <v>5662.4078440426347</v>
      </c>
    </row>
    <row r="35" spans="1:33" ht="27" hidden="1">
      <c r="A35" s="16">
        <v>32</v>
      </c>
      <c r="B35" s="16" t="s">
        <v>49</v>
      </c>
      <c r="C35" s="17" t="s">
        <v>50</v>
      </c>
      <c r="D35" s="21" t="s">
        <v>67</v>
      </c>
      <c r="E35" s="20" t="s">
        <v>49</v>
      </c>
      <c r="F35" s="17" t="s">
        <v>115</v>
      </c>
      <c r="G35" s="17" t="s">
        <v>116</v>
      </c>
      <c r="H35" s="15">
        <v>48412</v>
      </c>
      <c r="I35" s="28">
        <v>49330</v>
      </c>
      <c r="J35" s="29">
        <v>50176.5</v>
      </c>
      <c r="K35" s="29">
        <v>51200.5</v>
      </c>
      <c r="L35" s="30">
        <f t="shared" si="3"/>
        <v>918</v>
      </c>
      <c r="M35" s="31">
        <f t="shared" si="4"/>
        <v>2.0123896120448235E-3</v>
      </c>
      <c r="N35" s="30">
        <f t="shared" si="5"/>
        <v>192.74850831620057</v>
      </c>
      <c r="O35" s="29">
        <v>52100</v>
      </c>
      <c r="P35" s="29">
        <v>52984</v>
      </c>
      <c r="Q35" s="30">
        <f t="shared" si="0"/>
        <v>1110.7485083162005</v>
      </c>
      <c r="R35" s="33">
        <f t="shared" si="1"/>
        <v>846.5</v>
      </c>
      <c r="S35" s="31">
        <f t="shared" si="6"/>
        <v>2.4661243659671456E-3</v>
      </c>
      <c r="T35" s="33">
        <f t="shared" si="2"/>
        <v>215.43534710474663</v>
      </c>
      <c r="U35" s="33">
        <f t="shared" si="7"/>
        <v>1061.9353471047466</v>
      </c>
      <c r="V35" s="125">
        <f t="shared" si="8"/>
        <v>1024</v>
      </c>
      <c r="W35" s="126">
        <f t="shared" si="9"/>
        <v>2.89157249783605E-3</v>
      </c>
      <c r="X35" s="127">
        <f t="shared" si="10"/>
        <v>394.8917331156519</v>
      </c>
      <c r="Y35" s="127">
        <f t="shared" si="11"/>
        <v>1418.891733115652</v>
      </c>
      <c r="Z35" s="125">
        <f t="shared" si="12"/>
        <v>899.5</v>
      </c>
      <c r="AA35" s="126">
        <f t="shared" si="13"/>
        <v>2.6125884006825877E-3</v>
      </c>
      <c r="AB35" s="127">
        <f t="shared" si="14"/>
        <v>300.43572654950566</v>
      </c>
      <c r="AC35" s="127">
        <f t="shared" si="15"/>
        <v>1199.9357265495057</v>
      </c>
      <c r="AD35" s="125">
        <f t="shared" si="16"/>
        <v>884</v>
      </c>
      <c r="AE35" s="126">
        <f t="shared" si="17"/>
        <v>2.3898938849266078E-3</v>
      </c>
      <c r="AF35" s="127">
        <f t="shared" si="18"/>
        <v>322.10296711814129</v>
      </c>
      <c r="AG35" s="127">
        <f t="shared" si="19"/>
        <v>1206.1029671181414</v>
      </c>
    </row>
    <row r="36" spans="1:33" ht="27" hidden="1">
      <c r="A36" s="11">
        <v>33</v>
      </c>
      <c r="B36" s="16" t="s">
        <v>49</v>
      </c>
      <c r="C36" s="17" t="s">
        <v>50</v>
      </c>
      <c r="D36" s="21" t="s">
        <v>67</v>
      </c>
      <c r="E36" s="20" t="s">
        <v>49</v>
      </c>
      <c r="F36" s="17" t="s">
        <v>117</v>
      </c>
      <c r="G36" s="17" t="s">
        <v>118</v>
      </c>
      <c r="H36" s="15">
        <v>246518.18</v>
      </c>
      <c r="I36" s="28">
        <v>254959.87</v>
      </c>
      <c r="J36" s="29">
        <v>261583.69</v>
      </c>
      <c r="K36" s="29">
        <v>269117.27</v>
      </c>
      <c r="L36" s="30">
        <f t="shared" si="3"/>
        <v>8441.6900000000023</v>
      </c>
      <c r="M36" s="31">
        <f t="shared" si="4"/>
        <v>1.8505413141724044E-2</v>
      </c>
      <c r="N36" s="30">
        <f t="shared" si="5"/>
        <v>1772.4653106402918</v>
      </c>
      <c r="O36" s="29">
        <v>276022.11</v>
      </c>
      <c r="P36" s="29">
        <v>282835.17</v>
      </c>
      <c r="Q36" s="30">
        <f t="shared" si="0"/>
        <v>10214.155310640293</v>
      </c>
      <c r="R36" s="33">
        <f t="shared" si="1"/>
        <v>6623.820000000007</v>
      </c>
      <c r="S36" s="31">
        <f t="shared" si="6"/>
        <v>1.9297299347643848E-2</v>
      </c>
      <c r="T36" s="33">
        <f t="shared" si="2"/>
        <v>1685.7707747895624</v>
      </c>
      <c r="U36" s="33">
        <f t="shared" si="7"/>
        <v>8309.590774789569</v>
      </c>
      <c r="V36" s="125">
        <f t="shared" si="8"/>
        <v>7533.5800000000163</v>
      </c>
      <c r="W36" s="126">
        <f t="shared" si="9"/>
        <v>2.1273332752195076E-2</v>
      </c>
      <c r="X36" s="127">
        <f t="shared" si="10"/>
        <v>2905.2231081693549</v>
      </c>
      <c r="Y36" s="127">
        <f t="shared" si="11"/>
        <v>10438.803108169372</v>
      </c>
      <c r="Z36" s="125">
        <f t="shared" si="12"/>
        <v>6904.8399999999674</v>
      </c>
      <c r="AA36" s="126">
        <f t="shared" si="13"/>
        <v>2.0055036011749943E-2</v>
      </c>
      <c r="AB36" s="127">
        <f t="shared" si="14"/>
        <v>2306.2374898366638</v>
      </c>
      <c r="AC36" s="127">
        <f t="shared" si="15"/>
        <v>9211.0774898366308</v>
      </c>
      <c r="AD36" s="125">
        <f t="shared" si="16"/>
        <v>6813.0599999999977</v>
      </c>
      <c r="AE36" s="126">
        <f t="shared" si="17"/>
        <v>1.8419106823119986E-2</v>
      </c>
      <c r="AF36" s="127">
        <f t="shared" si="18"/>
        <v>2482.4738022103202</v>
      </c>
      <c r="AG36" s="127">
        <f t="shared" si="19"/>
        <v>9295.5338022103169</v>
      </c>
    </row>
    <row r="37" spans="1:33" ht="27" hidden="1">
      <c r="A37" s="16">
        <v>34</v>
      </c>
      <c r="B37" s="16" t="s">
        <v>49</v>
      </c>
      <c r="C37" s="17" t="s">
        <v>50</v>
      </c>
      <c r="D37" s="21" t="s">
        <v>67</v>
      </c>
      <c r="E37" s="20" t="s">
        <v>49</v>
      </c>
      <c r="F37" s="17" t="s">
        <v>119</v>
      </c>
      <c r="G37" s="17" t="s">
        <v>120</v>
      </c>
      <c r="H37" s="15">
        <v>170657.08</v>
      </c>
      <c r="I37" s="28">
        <v>174657.74</v>
      </c>
      <c r="J37" s="29">
        <v>178461.8</v>
      </c>
      <c r="K37" s="29">
        <v>183475.08</v>
      </c>
      <c r="L37" s="30">
        <f t="shared" si="3"/>
        <v>4000.6600000000035</v>
      </c>
      <c r="M37" s="31">
        <f t="shared" si="4"/>
        <v>8.7700290036200994E-3</v>
      </c>
      <c r="N37" s="30">
        <f t="shared" si="5"/>
        <v>840.00135869312828</v>
      </c>
      <c r="O37" s="29">
        <v>188363.82</v>
      </c>
      <c r="P37" s="29">
        <v>192396.04</v>
      </c>
      <c r="Q37" s="30">
        <f t="shared" si="0"/>
        <v>4840.6613586931317</v>
      </c>
      <c r="R37" s="33">
        <f t="shared" si="1"/>
        <v>3804.0599999999977</v>
      </c>
      <c r="S37" s="31">
        <f t="shared" si="6"/>
        <v>1.1082439522269314E-2</v>
      </c>
      <c r="T37" s="33">
        <f t="shared" si="2"/>
        <v>968.13820024486949</v>
      </c>
      <c r="U37" s="33">
        <f t="shared" si="7"/>
        <v>4772.1982002448676</v>
      </c>
      <c r="V37" s="125">
        <f t="shared" si="8"/>
        <v>5013.2799999999988</v>
      </c>
      <c r="W37" s="126">
        <f t="shared" si="9"/>
        <v>1.4156506417921396E-2</v>
      </c>
      <c r="X37" s="127">
        <f t="shared" si="10"/>
        <v>1933.3035427676123</v>
      </c>
      <c r="Y37" s="127">
        <f t="shared" si="11"/>
        <v>6946.5835427676111</v>
      </c>
      <c r="Z37" s="125">
        <f t="shared" si="12"/>
        <v>4888.7400000000198</v>
      </c>
      <c r="AA37" s="126">
        <f t="shared" si="13"/>
        <v>1.4199294516901662E-2</v>
      </c>
      <c r="AB37" s="127">
        <f t="shared" si="14"/>
        <v>1632.8539786677445</v>
      </c>
      <c r="AC37" s="127">
        <f t="shared" si="15"/>
        <v>6521.5939786677645</v>
      </c>
      <c r="AD37" s="125">
        <f t="shared" si="16"/>
        <v>4032.2200000000012</v>
      </c>
      <c r="AE37" s="126">
        <f t="shared" si="17"/>
        <v>1.090110624511173E-2</v>
      </c>
      <c r="AF37" s="127">
        <f t="shared" si="18"/>
        <v>1469.2194865080453</v>
      </c>
      <c r="AG37" s="127">
        <f t="shared" si="19"/>
        <v>5501.4394865080467</v>
      </c>
    </row>
    <row r="38" spans="1:33" ht="24" hidden="1" customHeight="1">
      <c r="A38" s="11">
        <v>35</v>
      </c>
      <c r="B38" s="16" t="s">
        <v>49</v>
      </c>
      <c r="C38" s="17" t="s">
        <v>50</v>
      </c>
      <c r="D38" s="18" t="s">
        <v>121</v>
      </c>
      <c r="E38" s="20" t="s">
        <v>49</v>
      </c>
      <c r="F38" s="17" t="s">
        <v>122</v>
      </c>
      <c r="G38" s="17" t="s">
        <v>123</v>
      </c>
      <c r="H38" s="15">
        <v>46084.9</v>
      </c>
      <c r="I38" s="28">
        <v>48255.9</v>
      </c>
      <c r="J38" s="29">
        <v>50034.2</v>
      </c>
      <c r="K38" s="29">
        <v>52501</v>
      </c>
      <c r="L38" s="30">
        <f t="shared" si="3"/>
        <v>2171</v>
      </c>
      <c r="M38" s="31">
        <f t="shared" si="4"/>
        <v>4.759147982297725E-3</v>
      </c>
      <c r="N38" s="30">
        <f t="shared" si="5"/>
        <v>455.835524569141</v>
      </c>
      <c r="O38" s="29">
        <v>54907.4</v>
      </c>
      <c r="P38" s="29">
        <v>57505.4</v>
      </c>
      <c r="Q38" s="30">
        <f t="shared" si="0"/>
        <v>2626.8355245691409</v>
      </c>
      <c r="R38" s="33">
        <f t="shared" si="1"/>
        <v>1778.2999999999956</v>
      </c>
      <c r="S38" s="31">
        <f t="shared" si="6"/>
        <v>5.1807548257523503E-3</v>
      </c>
      <c r="T38" s="33">
        <f t="shared" si="2"/>
        <v>452.57965476239815</v>
      </c>
      <c r="U38" s="33">
        <f t="shared" si="7"/>
        <v>2230.8796547623938</v>
      </c>
      <c r="V38" s="125">
        <f t="shared" si="8"/>
        <v>2466.8000000000029</v>
      </c>
      <c r="W38" s="126">
        <f t="shared" si="9"/>
        <v>6.9657529664667742E-3</v>
      </c>
      <c r="X38" s="127">
        <f t="shared" si="10"/>
        <v>951.28801489227658</v>
      </c>
      <c r="Y38" s="127">
        <f t="shared" si="11"/>
        <v>3418.0880148922797</v>
      </c>
      <c r="Z38" s="125">
        <f t="shared" si="12"/>
        <v>2406.4000000000015</v>
      </c>
      <c r="AA38" s="126">
        <f t="shared" si="13"/>
        <v>6.9893637881073738E-3</v>
      </c>
      <c r="AB38" s="127">
        <f t="shared" si="14"/>
        <v>803.74489423983425</v>
      </c>
      <c r="AC38" s="127">
        <f t="shared" si="15"/>
        <v>3210.1448942398356</v>
      </c>
      <c r="AD38" s="125">
        <f t="shared" si="16"/>
        <v>2598</v>
      </c>
      <c r="AE38" s="126">
        <f t="shared" si="17"/>
        <v>7.0236926618091932E-3</v>
      </c>
      <c r="AF38" s="127">
        <f t="shared" si="18"/>
        <v>946.63292824992197</v>
      </c>
      <c r="AG38" s="127">
        <f t="shared" si="19"/>
        <v>3544.6329282499219</v>
      </c>
    </row>
    <row r="39" spans="1:33" ht="27" hidden="1">
      <c r="A39" s="16">
        <v>36</v>
      </c>
      <c r="B39" s="16" t="s">
        <v>39</v>
      </c>
      <c r="C39" s="17" t="s">
        <v>40</v>
      </c>
      <c r="D39" s="18" t="s">
        <v>121</v>
      </c>
      <c r="E39" s="18" t="s">
        <v>124</v>
      </c>
      <c r="F39" s="17" t="s">
        <v>125</v>
      </c>
      <c r="G39" s="17" t="s">
        <v>126</v>
      </c>
      <c r="H39" s="15">
        <v>6233.3</v>
      </c>
      <c r="I39" s="28">
        <v>6602.6</v>
      </c>
      <c r="J39" s="29">
        <v>6888.9</v>
      </c>
      <c r="K39" s="29">
        <v>7264</v>
      </c>
      <c r="L39" s="30">
        <f t="shared" si="3"/>
        <v>369.30000000000018</v>
      </c>
      <c r="M39" s="31">
        <f t="shared" si="4"/>
        <v>8.0955935046639837E-4</v>
      </c>
      <c r="N39" s="30">
        <f t="shared" si="5"/>
        <v>77.540331286680725</v>
      </c>
      <c r="O39" s="29">
        <v>7601.7</v>
      </c>
      <c r="P39" s="29">
        <v>7916.5</v>
      </c>
      <c r="Q39" s="30">
        <f t="shared" si="0"/>
        <v>446.84033128668091</v>
      </c>
      <c r="R39" s="33">
        <f t="shared" si="1"/>
        <v>286.29999999999927</v>
      </c>
      <c r="S39" s="31">
        <f t="shared" si="6"/>
        <v>8.3408317303767512E-4</v>
      </c>
      <c r="T39" s="33">
        <f t="shared" si="2"/>
        <v>72.863721058580992</v>
      </c>
      <c r="U39" s="33">
        <f t="shared" si="7"/>
        <v>359.16372105858028</v>
      </c>
      <c r="V39" s="125">
        <f t="shared" si="8"/>
        <v>375.10000000000036</v>
      </c>
      <c r="W39" s="126">
        <f t="shared" si="9"/>
        <v>1.0592078554084994E-3</v>
      </c>
      <c r="X39" s="127">
        <f t="shared" si="10"/>
        <v>144.65223544109489</v>
      </c>
      <c r="Y39" s="127">
        <f t="shared" si="11"/>
        <v>519.75223544109531</v>
      </c>
      <c r="Z39" s="125">
        <f t="shared" si="12"/>
        <v>337.69999999999982</v>
      </c>
      <c r="AA39" s="126">
        <f t="shared" si="13"/>
        <v>9.8084613997833172E-4</v>
      </c>
      <c r="AB39" s="127">
        <f t="shared" si="14"/>
        <v>112.79282363064816</v>
      </c>
      <c r="AC39" s="127">
        <f t="shared" si="15"/>
        <v>450.49282363064799</v>
      </c>
      <c r="AD39" s="125">
        <f t="shared" si="16"/>
        <v>314.80000000000018</v>
      </c>
      <c r="AE39" s="126">
        <f t="shared" si="17"/>
        <v>8.510617590213762E-4</v>
      </c>
      <c r="AF39" s="127">
        <f t="shared" si="18"/>
        <v>114.70363580179971</v>
      </c>
      <c r="AG39" s="127">
        <f t="shared" si="19"/>
        <v>429.50363580179987</v>
      </c>
    </row>
    <row r="40" spans="1:33" ht="27" hidden="1">
      <c r="A40" s="11">
        <v>37</v>
      </c>
      <c r="B40" s="16" t="s">
        <v>49</v>
      </c>
      <c r="C40" s="17" t="s">
        <v>50</v>
      </c>
      <c r="D40" s="18" t="s">
        <v>121</v>
      </c>
      <c r="E40" s="20" t="s">
        <v>49</v>
      </c>
      <c r="F40" s="17" t="s">
        <v>128</v>
      </c>
      <c r="G40" s="17" t="s">
        <v>129</v>
      </c>
      <c r="H40" s="15">
        <v>29939.7</v>
      </c>
      <c r="I40" s="28">
        <v>32471.599999999999</v>
      </c>
      <c r="J40" s="29">
        <v>34300.699999999997</v>
      </c>
      <c r="K40" s="29">
        <v>35839.9</v>
      </c>
      <c r="L40" s="30">
        <f t="shared" si="3"/>
        <v>2531.8999999999978</v>
      </c>
      <c r="M40" s="31">
        <f t="shared" si="4"/>
        <v>5.5502933101702441E-3</v>
      </c>
      <c r="N40" s="30">
        <f t="shared" si="5"/>
        <v>531.61214401501934</v>
      </c>
      <c r="O40" s="29">
        <v>36602.300000000003</v>
      </c>
      <c r="P40" s="29">
        <v>38869.5</v>
      </c>
      <c r="Q40" s="30">
        <f t="shared" si="0"/>
        <v>3063.5121440150169</v>
      </c>
      <c r="R40" s="33">
        <f t="shared" si="1"/>
        <v>1829.0999999999985</v>
      </c>
      <c r="S40" s="31">
        <f t="shared" si="6"/>
        <v>5.3287514208984086E-3</v>
      </c>
      <c r="T40" s="33">
        <f t="shared" si="2"/>
        <v>465.50832060164419</v>
      </c>
      <c r="U40" s="33">
        <f t="shared" si="7"/>
        <v>2294.6083206016428</v>
      </c>
      <c r="V40" s="125">
        <f t="shared" si="8"/>
        <v>1539.2000000000044</v>
      </c>
      <c r="W40" s="126">
        <f t="shared" si="9"/>
        <v>4.3463949108098251E-3</v>
      </c>
      <c r="X40" s="127">
        <f t="shared" si="10"/>
        <v>593.57163633946595</v>
      </c>
      <c r="Y40" s="127">
        <f t="shared" si="11"/>
        <v>2132.7716363394702</v>
      </c>
      <c r="Z40" s="125">
        <f t="shared" si="12"/>
        <v>762.40000000000146</v>
      </c>
      <c r="AA40" s="126">
        <f t="shared" si="13"/>
        <v>2.214382875686947E-3</v>
      </c>
      <c r="AB40" s="127">
        <f t="shared" si="14"/>
        <v>254.64391097425636</v>
      </c>
      <c r="AC40" s="127">
        <f t="shared" si="15"/>
        <v>1017.0439109742579</v>
      </c>
      <c r="AD40" s="125">
        <f t="shared" si="16"/>
        <v>2267.1999999999971</v>
      </c>
      <c r="AE40" s="126">
        <f t="shared" si="17"/>
        <v>6.1293749048705864E-3</v>
      </c>
      <c r="AF40" s="127">
        <f t="shared" si="18"/>
        <v>826.09937449123197</v>
      </c>
      <c r="AG40" s="127">
        <f t="shared" si="19"/>
        <v>3093.2993744912292</v>
      </c>
    </row>
    <row r="41" spans="1:33" ht="27" hidden="1">
      <c r="A41" s="16">
        <v>38</v>
      </c>
      <c r="B41" s="16" t="s">
        <v>49</v>
      </c>
      <c r="C41" s="17" t="s">
        <v>50</v>
      </c>
      <c r="D41" s="18" t="s">
        <v>121</v>
      </c>
      <c r="E41" s="20" t="s">
        <v>49</v>
      </c>
      <c r="F41" s="17" t="s">
        <v>130</v>
      </c>
      <c r="G41" s="17" t="s">
        <v>131</v>
      </c>
      <c r="H41" s="15">
        <v>12291.1</v>
      </c>
      <c r="I41" s="28">
        <v>12945.8</v>
      </c>
      <c r="J41" s="29">
        <v>13590.3</v>
      </c>
      <c r="K41" s="29">
        <v>14571.6</v>
      </c>
      <c r="L41" s="30">
        <f t="shared" si="3"/>
        <v>654.69999999999891</v>
      </c>
      <c r="M41" s="31">
        <f t="shared" si="4"/>
        <v>1.4351976895487404E-3</v>
      </c>
      <c r="N41" s="30">
        <f t="shared" si="5"/>
        <v>137.46454073487615</v>
      </c>
      <c r="O41" s="29">
        <v>15251.3</v>
      </c>
      <c r="P41" s="29">
        <v>16070.7</v>
      </c>
      <c r="Q41" s="30">
        <f t="shared" si="0"/>
        <v>792.16454073487512</v>
      </c>
      <c r="R41" s="33">
        <f t="shared" si="1"/>
        <v>644.5</v>
      </c>
      <c r="S41" s="31">
        <f t="shared" si="6"/>
        <v>1.8776339679454524E-3</v>
      </c>
      <c r="T41" s="33">
        <f t="shared" si="2"/>
        <v>164.02608530302328</v>
      </c>
      <c r="U41" s="33">
        <f t="shared" si="7"/>
        <v>808.52608530302325</v>
      </c>
      <c r="V41" s="125">
        <f t="shared" si="8"/>
        <v>981.30000000000109</v>
      </c>
      <c r="W41" s="126">
        <f t="shared" si="9"/>
        <v>2.7709961837173035E-3</v>
      </c>
      <c r="X41" s="127">
        <f t="shared" si="10"/>
        <v>378.42505635389608</v>
      </c>
      <c r="Y41" s="127">
        <f t="shared" si="11"/>
        <v>1359.7250563538971</v>
      </c>
      <c r="Z41" s="125">
        <f t="shared" si="12"/>
        <v>679.69999999999891</v>
      </c>
      <c r="AA41" s="126">
        <f t="shared" si="13"/>
        <v>1.9741815852628705E-3</v>
      </c>
      <c r="AB41" s="127">
        <f t="shared" si="14"/>
        <v>227.02186029538487</v>
      </c>
      <c r="AC41" s="127">
        <f t="shared" si="15"/>
        <v>906.72186029538375</v>
      </c>
      <c r="AD41" s="125">
        <f t="shared" si="16"/>
        <v>819.40000000000146</v>
      </c>
      <c r="AE41" s="126">
        <f t="shared" si="17"/>
        <v>2.2152477933358211E-3</v>
      </c>
      <c r="AF41" s="127">
        <f t="shared" si="18"/>
        <v>298.56467336720073</v>
      </c>
      <c r="AG41" s="127">
        <f t="shared" si="19"/>
        <v>1117.9646733672021</v>
      </c>
    </row>
    <row r="42" spans="1:33" ht="27" hidden="1">
      <c r="A42" s="11">
        <v>39</v>
      </c>
      <c r="B42" s="16" t="s">
        <v>49</v>
      </c>
      <c r="C42" s="17" t="s">
        <v>50</v>
      </c>
      <c r="D42" s="18" t="s">
        <v>121</v>
      </c>
      <c r="E42" s="20" t="s">
        <v>49</v>
      </c>
      <c r="F42" s="17" t="s">
        <v>132</v>
      </c>
      <c r="G42" s="17" t="s">
        <v>133</v>
      </c>
      <c r="H42" s="15">
        <v>12209.8</v>
      </c>
      <c r="I42" s="28">
        <v>12809.9</v>
      </c>
      <c r="J42" s="29">
        <v>13455.5</v>
      </c>
      <c r="K42" s="29">
        <v>13814</v>
      </c>
      <c r="L42" s="30">
        <f t="shared" si="3"/>
        <v>600.10000000000036</v>
      </c>
      <c r="M42" s="31">
        <f t="shared" si="4"/>
        <v>1.3155065426885613E-3</v>
      </c>
      <c r="N42" s="30">
        <f t="shared" si="5"/>
        <v>126.00041376966452</v>
      </c>
      <c r="O42" s="29">
        <v>14107.3</v>
      </c>
      <c r="P42" s="29">
        <v>14450.5</v>
      </c>
      <c r="Q42" s="30">
        <f t="shared" si="0"/>
        <v>726.1004137696649</v>
      </c>
      <c r="R42" s="33">
        <f t="shared" si="1"/>
        <v>645.60000000000036</v>
      </c>
      <c r="S42" s="31">
        <f t="shared" si="6"/>
        <v>1.8808386186277498E-3</v>
      </c>
      <c r="T42" s="33">
        <f t="shared" si="2"/>
        <v>164.30603672867633</v>
      </c>
      <c r="U42" s="33">
        <f t="shared" si="7"/>
        <v>809.90603672867667</v>
      </c>
      <c r="V42" s="125">
        <f t="shared" si="8"/>
        <v>358.5</v>
      </c>
      <c r="W42" s="126">
        <f t="shared" si="9"/>
        <v>1.0123327543693592E-3</v>
      </c>
      <c r="X42" s="127">
        <f t="shared" si="10"/>
        <v>138.25067023629023</v>
      </c>
      <c r="Y42" s="127">
        <f t="shared" si="11"/>
        <v>496.75067023629026</v>
      </c>
      <c r="Z42" s="125">
        <f t="shared" si="12"/>
        <v>293.29999999999927</v>
      </c>
      <c r="AA42" s="126">
        <f t="shared" si="13"/>
        <v>8.518868014677054E-4</v>
      </c>
      <c r="AB42" s="127">
        <f t="shared" si="14"/>
        <v>97.963089046103164</v>
      </c>
      <c r="AC42" s="127">
        <f t="shared" si="15"/>
        <v>391.26308904610244</v>
      </c>
      <c r="AD42" s="125">
        <f t="shared" si="16"/>
        <v>343.20000000000073</v>
      </c>
      <c r="AE42" s="126">
        <f t="shared" si="17"/>
        <v>9.278411553244497E-4</v>
      </c>
      <c r="AF42" s="127">
        <f t="shared" si="18"/>
        <v>125.05174017527865</v>
      </c>
      <c r="AG42" s="127">
        <f t="shared" si="19"/>
        <v>468.25174017527939</v>
      </c>
    </row>
    <row r="43" spans="1:33" ht="27" hidden="1">
      <c r="A43" s="16">
        <v>40</v>
      </c>
      <c r="B43" s="16" t="s">
        <v>49</v>
      </c>
      <c r="C43" s="17" t="s">
        <v>50</v>
      </c>
      <c r="D43" s="18" t="s">
        <v>121</v>
      </c>
      <c r="E43" s="20" t="s">
        <v>49</v>
      </c>
      <c r="F43" s="17" t="s">
        <v>134</v>
      </c>
      <c r="G43" s="17" t="s">
        <v>135</v>
      </c>
      <c r="H43" s="15">
        <v>35121.800000000003</v>
      </c>
      <c r="I43" s="28">
        <v>36738</v>
      </c>
      <c r="J43" s="29">
        <v>38302.5</v>
      </c>
      <c r="K43" s="29">
        <v>39697.800000000003</v>
      </c>
      <c r="L43" s="30">
        <f t="shared" si="3"/>
        <v>1616.1999999999971</v>
      </c>
      <c r="M43" s="31">
        <f t="shared" si="4"/>
        <v>3.5429456328832658E-3</v>
      </c>
      <c r="N43" s="30">
        <f t="shared" si="5"/>
        <v>339.34655679808583</v>
      </c>
      <c r="O43" s="29">
        <v>40707.4</v>
      </c>
      <c r="P43" s="29">
        <v>41797.699999999997</v>
      </c>
      <c r="Q43" s="30">
        <f t="shared" si="0"/>
        <v>1955.546556798083</v>
      </c>
      <c r="R43" s="33">
        <f t="shared" si="1"/>
        <v>1564.5</v>
      </c>
      <c r="S43" s="31">
        <f t="shared" si="6"/>
        <v>4.5578872658660358E-3</v>
      </c>
      <c r="T43" s="33">
        <f t="shared" si="2"/>
        <v>398.16727766730787</v>
      </c>
      <c r="U43" s="33">
        <f t="shared" si="7"/>
        <v>1962.6672776673079</v>
      </c>
      <c r="V43" s="125">
        <f t="shared" si="8"/>
        <v>1395.3000000000029</v>
      </c>
      <c r="W43" s="126">
        <f t="shared" si="9"/>
        <v>3.9400499084283683E-3</v>
      </c>
      <c r="X43" s="127">
        <f t="shared" si="10"/>
        <v>538.07855001588894</v>
      </c>
      <c r="Y43" s="127">
        <f t="shared" si="11"/>
        <v>1933.378550015892</v>
      </c>
      <c r="Z43" s="125">
        <f t="shared" si="12"/>
        <v>1009.5999999999985</v>
      </c>
      <c r="AA43" s="126">
        <f t="shared" si="13"/>
        <v>2.9323727063136594E-3</v>
      </c>
      <c r="AB43" s="127">
        <f t="shared" si="14"/>
        <v>337.20946028280213</v>
      </c>
      <c r="AC43" s="127">
        <f t="shared" si="15"/>
        <v>1346.8094602828007</v>
      </c>
      <c r="AD43" s="125">
        <f t="shared" si="16"/>
        <v>1090.2999999999956</v>
      </c>
      <c r="AE43" s="126">
        <f t="shared" si="17"/>
        <v>2.9476259080717985E-3</v>
      </c>
      <c r="AF43" s="127">
        <f t="shared" si="18"/>
        <v>397.27247177478284</v>
      </c>
      <c r="AG43" s="127">
        <f t="shared" si="19"/>
        <v>1487.5724717747785</v>
      </c>
    </row>
    <row r="44" spans="1:33" ht="27" hidden="1">
      <c r="A44" s="11">
        <v>41</v>
      </c>
      <c r="B44" s="16" t="s">
        <v>49</v>
      </c>
      <c r="C44" s="17" t="s">
        <v>50</v>
      </c>
      <c r="D44" s="18" t="s">
        <v>121</v>
      </c>
      <c r="E44" s="20" t="s">
        <v>49</v>
      </c>
      <c r="F44" s="17" t="s">
        <v>136</v>
      </c>
      <c r="G44" s="17" t="s">
        <v>137</v>
      </c>
      <c r="H44" s="15">
        <v>1157.5999999999999</v>
      </c>
      <c r="I44" s="28">
        <v>1215.3</v>
      </c>
      <c r="J44" s="29">
        <v>1266.9000000000001</v>
      </c>
      <c r="K44" s="29">
        <v>1323</v>
      </c>
      <c r="L44" s="30">
        <f t="shared" si="3"/>
        <v>57.700000000000045</v>
      </c>
      <c r="M44" s="31">
        <f t="shared" si="4"/>
        <v>1.2648679805554074E-4</v>
      </c>
      <c r="N44" s="30">
        <f t="shared" si="5"/>
        <v>12.115020620745948</v>
      </c>
      <c r="O44" s="29">
        <v>1378.1</v>
      </c>
      <c r="P44" s="29">
        <v>1431.4</v>
      </c>
      <c r="Q44" s="30">
        <f t="shared" si="0"/>
        <v>69.815020620745997</v>
      </c>
      <c r="R44" s="33">
        <f t="shared" si="1"/>
        <v>51.600000000000136</v>
      </c>
      <c r="S44" s="31">
        <f t="shared" si="6"/>
        <v>1.5032725018772008E-4</v>
      </c>
      <c r="T44" s="33">
        <f t="shared" si="2"/>
        <v>13.132266876083822</v>
      </c>
      <c r="U44" s="33">
        <f t="shared" si="7"/>
        <v>64.732266876083955</v>
      </c>
      <c r="V44" s="125">
        <f t="shared" si="8"/>
        <v>56.099999999999909</v>
      </c>
      <c r="W44" s="126">
        <f t="shared" si="9"/>
        <v>1.5841525110215054E-4</v>
      </c>
      <c r="X44" s="127">
        <f t="shared" si="10"/>
        <v>21.634205300574255</v>
      </c>
      <c r="Y44" s="127">
        <f t="shared" si="11"/>
        <v>77.73420530057416</v>
      </c>
      <c r="Z44" s="125">
        <f t="shared" si="12"/>
        <v>55.099999999999909</v>
      </c>
      <c r="AA44" s="126">
        <f t="shared" si="13"/>
        <v>1.6003737729584252E-4</v>
      </c>
      <c r="AB44" s="127">
        <f t="shared" si="14"/>
        <v>18.4035670182076</v>
      </c>
      <c r="AC44" s="127">
        <f t="shared" si="15"/>
        <v>73.503567018207505</v>
      </c>
      <c r="AD44" s="125">
        <f t="shared" si="16"/>
        <v>53.300000000000182</v>
      </c>
      <c r="AE44" s="126">
        <f t="shared" si="17"/>
        <v>1.4409654306175184E-4</v>
      </c>
      <c r="AF44" s="127">
        <f t="shared" si="18"/>
        <v>19.420914193887999</v>
      </c>
      <c r="AG44" s="127">
        <f t="shared" si="19"/>
        <v>72.720914193888177</v>
      </c>
    </row>
    <row r="45" spans="1:33" ht="27" hidden="1">
      <c r="A45" s="16">
        <v>42</v>
      </c>
      <c r="B45" s="16" t="s">
        <v>49</v>
      </c>
      <c r="C45" s="17" t="s">
        <v>50</v>
      </c>
      <c r="D45" s="119" t="s">
        <v>138</v>
      </c>
      <c r="E45" s="20" t="s">
        <v>49</v>
      </c>
      <c r="F45" s="17" t="s">
        <v>139</v>
      </c>
      <c r="G45" s="17" t="s">
        <v>140</v>
      </c>
      <c r="H45" s="15">
        <v>988.3</v>
      </c>
      <c r="I45" s="28">
        <v>1033</v>
      </c>
      <c r="J45" s="29">
        <v>1066.5</v>
      </c>
      <c r="K45" s="29">
        <v>1119.0999999999999</v>
      </c>
      <c r="L45" s="30">
        <f t="shared" si="3"/>
        <v>44.700000000000045</v>
      </c>
      <c r="M45" s="31">
        <f t="shared" si="4"/>
        <v>9.7988905945973538E-5</v>
      </c>
      <c r="N45" s="30">
        <f t="shared" si="5"/>
        <v>9.3854665814097764</v>
      </c>
      <c r="O45" s="29">
        <v>1168.5</v>
      </c>
      <c r="P45" s="29">
        <v>1216.2</v>
      </c>
      <c r="Q45" s="30">
        <f t="shared" si="0"/>
        <v>54.085466581409818</v>
      </c>
      <c r="R45" s="33">
        <f t="shared" si="1"/>
        <v>33.5</v>
      </c>
      <c r="S45" s="31">
        <f t="shared" si="6"/>
        <v>9.7596179869934301E-5</v>
      </c>
      <c r="T45" s="33">
        <f t="shared" si="2"/>
        <v>8.5257934176125367</v>
      </c>
      <c r="U45" s="33">
        <f t="shared" si="7"/>
        <v>42.025793417612533</v>
      </c>
      <c r="V45" s="125">
        <f t="shared" si="8"/>
        <v>52.599999999999909</v>
      </c>
      <c r="W45" s="126">
        <f t="shared" si="9"/>
        <v>1.4853194666618748E-4</v>
      </c>
      <c r="X45" s="127">
        <f t="shared" si="10"/>
        <v>20.284477697151615</v>
      </c>
      <c r="Y45" s="127">
        <f t="shared" si="11"/>
        <v>72.884477697151524</v>
      </c>
      <c r="Z45" s="125">
        <f t="shared" si="12"/>
        <v>49.400000000000091</v>
      </c>
      <c r="AA45" s="126">
        <f t="shared" si="13"/>
        <v>1.4348178654110069E-4</v>
      </c>
      <c r="AB45" s="127">
        <f t="shared" si="14"/>
        <v>16.499749740462043</v>
      </c>
      <c r="AC45" s="127">
        <f t="shared" si="15"/>
        <v>65.899749740462141</v>
      </c>
      <c r="AD45" s="125">
        <f t="shared" si="16"/>
        <v>47.700000000000045</v>
      </c>
      <c r="AE45" s="126">
        <f t="shared" si="17"/>
        <v>1.289569437907232E-4</v>
      </c>
      <c r="AF45" s="127">
        <f t="shared" si="18"/>
        <v>17.380442908976647</v>
      </c>
      <c r="AG45" s="127">
        <f t="shared" si="19"/>
        <v>65.080442908976693</v>
      </c>
    </row>
    <row r="46" spans="1:33" ht="13.5" hidden="1">
      <c r="A46" s="11">
        <v>43</v>
      </c>
      <c r="B46" s="16" t="s">
        <v>39</v>
      </c>
      <c r="C46" s="17" t="s">
        <v>40</v>
      </c>
      <c r="D46" s="18" t="s">
        <v>121</v>
      </c>
      <c r="E46" s="18" t="s">
        <v>124</v>
      </c>
      <c r="F46" s="19" t="s">
        <v>141</v>
      </c>
      <c r="G46" s="19" t="s">
        <v>142</v>
      </c>
      <c r="H46" s="15">
        <v>3143.4</v>
      </c>
      <c r="I46" s="28">
        <v>3354.1</v>
      </c>
      <c r="J46" s="29">
        <v>3439.2</v>
      </c>
      <c r="K46" s="29">
        <v>3566.7</v>
      </c>
      <c r="L46" s="30">
        <f t="shared" si="3"/>
        <v>210.69999999999982</v>
      </c>
      <c r="M46" s="31">
        <f t="shared" si="4"/>
        <v>4.6188506672967749E-4</v>
      </c>
      <c r="N46" s="30">
        <f t="shared" si="5"/>
        <v>44.239772006779333</v>
      </c>
      <c r="O46" s="29">
        <v>3638.3</v>
      </c>
      <c r="P46" s="29">
        <v>3856.9</v>
      </c>
      <c r="Q46" s="30">
        <f t="shared" si="0"/>
        <v>254.93977200677915</v>
      </c>
      <c r="R46" s="33">
        <f t="shared" si="1"/>
        <v>85.099999999999909</v>
      </c>
      <c r="S46" s="31">
        <f t="shared" si="6"/>
        <v>2.479234300576537E-4</v>
      </c>
      <c r="T46" s="33">
        <f t="shared" si="2"/>
        <v>21.658060293696302</v>
      </c>
      <c r="U46" s="33">
        <f t="shared" si="7"/>
        <v>106.75806029369622</v>
      </c>
      <c r="V46" s="125">
        <f t="shared" si="8"/>
        <v>127.5</v>
      </c>
      <c r="W46" s="126">
        <f t="shared" si="9"/>
        <v>3.6003466159579726E-4</v>
      </c>
      <c r="X46" s="127">
        <f t="shared" si="10"/>
        <v>49.168648410396109</v>
      </c>
      <c r="Y46" s="127">
        <f t="shared" si="11"/>
        <v>176.66864841039612</v>
      </c>
      <c r="Z46" s="125">
        <f t="shared" si="12"/>
        <v>71.600000000000364</v>
      </c>
      <c r="AA46" s="126">
        <f t="shared" si="13"/>
        <v>2.0796145579641382E-4</v>
      </c>
      <c r="AB46" s="127">
        <f t="shared" si="14"/>
        <v>23.914617032734537</v>
      </c>
      <c r="AC46" s="127">
        <f t="shared" si="15"/>
        <v>95.514617032734904</v>
      </c>
      <c r="AD46" s="125">
        <f t="shared" si="16"/>
        <v>218.59999999999991</v>
      </c>
      <c r="AE46" s="126">
        <f t="shared" si="17"/>
        <v>5.9098507154406812E-4</v>
      </c>
      <c r="AF46" s="127">
        <f t="shared" si="18"/>
        <v>79.65125408600187</v>
      </c>
      <c r="AG46" s="127">
        <f t="shared" si="19"/>
        <v>298.25125408600178</v>
      </c>
    </row>
    <row r="47" spans="1:33" ht="13.5" hidden="1">
      <c r="A47" s="16">
        <v>44</v>
      </c>
      <c r="B47" s="16" t="s">
        <v>39</v>
      </c>
      <c r="C47" s="17" t="s">
        <v>40</v>
      </c>
      <c r="D47" s="18" t="s">
        <v>121</v>
      </c>
      <c r="E47" s="18" t="s">
        <v>124</v>
      </c>
      <c r="F47" s="19" t="s">
        <v>43</v>
      </c>
      <c r="G47" s="19" t="s">
        <v>44</v>
      </c>
      <c r="H47" s="15">
        <v>2584.4</v>
      </c>
      <c r="I47" s="28">
        <v>2624.6</v>
      </c>
      <c r="J47" s="29">
        <v>2665.1</v>
      </c>
      <c r="K47" s="29">
        <v>2709.8</v>
      </c>
      <c r="L47" s="30">
        <f t="shared" si="3"/>
        <v>40.199999999999818</v>
      </c>
      <c r="M47" s="31">
        <f t="shared" si="4"/>
        <v>8.8124250984968999E-5</v>
      </c>
      <c r="N47" s="30">
        <f t="shared" si="5"/>
        <v>8.4406209524087448</v>
      </c>
      <c r="O47" s="29">
        <v>2752.7</v>
      </c>
      <c r="P47" s="29">
        <v>2792.5</v>
      </c>
      <c r="Q47" s="30">
        <f t="shared" si="0"/>
        <v>48.640620952408561</v>
      </c>
      <c r="R47" s="33">
        <f t="shared" si="1"/>
        <v>40.5</v>
      </c>
      <c r="S47" s="31">
        <f t="shared" si="6"/>
        <v>1.1798941148454743E-4</v>
      </c>
      <c r="T47" s="33">
        <f t="shared" si="2"/>
        <v>10.307302489949485</v>
      </c>
      <c r="U47" s="33">
        <f t="shared" si="7"/>
        <v>50.807302489949485</v>
      </c>
      <c r="V47" s="125">
        <f t="shared" si="8"/>
        <v>44.700000000000273</v>
      </c>
      <c r="W47" s="126">
        <f t="shared" si="9"/>
        <v>1.2622391665358617E-4</v>
      </c>
      <c r="X47" s="127">
        <f t="shared" si="10"/>
        <v>17.237949677997801</v>
      </c>
      <c r="Y47" s="127">
        <f t="shared" si="11"/>
        <v>61.937949677998077</v>
      </c>
      <c r="Z47" s="125">
        <f t="shared" si="12"/>
        <v>42.899999999999636</v>
      </c>
      <c r="AA47" s="126">
        <f t="shared" si="13"/>
        <v>1.2460260410148089E-4</v>
      </c>
      <c r="AB47" s="127">
        <f t="shared" si="14"/>
        <v>14.328730037769521</v>
      </c>
      <c r="AC47" s="127">
        <f t="shared" si="15"/>
        <v>57.228730037769154</v>
      </c>
      <c r="AD47" s="125">
        <f t="shared" si="16"/>
        <v>39.800000000000182</v>
      </c>
      <c r="AE47" s="126">
        <f t="shared" si="17"/>
        <v>1.0759929481909437E-4</v>
      </c>
      <c r="AF47" s="127">
        <f t="shared" si="18"/>
        <v>14.501920917762536</v>
      </c>
      <c r="AG47" s="127">
        <f t="shared" si="19"/>
        <v>54.301920917762715</v>
      </c>
    </row>
    <row r="48" spans="1:33" ht="27" hidden="1">
      <c r="A48" s="11">
        <v>45</v>
      </c>
      <c r="B48" s="16" t="s">
        <v>49</v>
      </c>
      <c r="C48" s="17" t="s">
        <v>50</v>
      </c>
      <c r="D48" s="18" t="s">
        <v>121</v>
      </c>
      <c r="E48" s="20" t="s">
        <v>49</v>
      </c>
      <c r="F48" s="17" t="s">
        <v>191</v>
      </c>
      <c r="G48" s="17" t="s">
        <v>192</v>
      </c>
      <c r="H48" s="15">
        <v>43858.400000000001</v>
      </c>
      <c r="I48" s="28">
        <v>46896.6</v>
      </c>
      <c r="J48" s="29">
        <v>48568.800000000003</v>
      </c>
      <c r="K48" s="29">
        <v>49727.4</v>
      </c>
      <c r="L48" s="30">
        <f t="shared" si="3"/>
        <v>3038.1999999999971</v>
      </c>
      <c r="M48" s="31">
        <f t="shared" si="4"/>
        <v>6.6601766005605417E-3</v>
      </c>
      <c r="N48" s="30">
        <f t="shared" si="5"/>
        <v>637.91777556239663</v>
      </c>
      <c r="O48" s="29">
        <v>50793.4</v>
      </c>
      <c r="P48" s="29">
        <v>53455.199999999997</v>
      </c>
      <c r="Q48" s="30">
        <f t="shared" si="0"/>
        <v>3676.1177755623939</v>
      </c>
      <c r="R48" s="33">
        <f t="shared" si="1"/>
        <v>1672.2000000000044</v>
      </c>
      <c r="S48" s="31">
        <f t="shared" si="6"/>
        <v>4.8716517008508819E-3</v>
      </c>
      <c r="T48" s="33">
        <f t="shared" si="2"/>
        <v>425.57706725169317</v>
      </c>
      <c r="U48" s="33">
        <f t="shared" si="7"/>
        <v>2097.7770672516976</v>
      </c>
      <c r="V48" s="125">
        <f t="shared" si="8"/>
        <v>1158.5999999999985</v>
      </c>
      <c r="W48" s="126">
        <f t="shared" si="9"/>
        <v>3.2716561484305109E-3</v>
      </c>
      <c r="X48" s="127">
        <f t="shared" si="10"/>
        <v>446.79840037870474</v>
      </c>
      <c r="Y48" s="127">
        <f t="shared" si="11"/>
        <v>1605.3984003787032</v>
      </c>
      <c r="Z48" s="125">
        <f t="shared" si="12"/>
        <v>1066</v>
      </c>
      <c r="AA48" s="126">
        <f t="shared" si="13"/>
        <v>3.0961859200974301E-3</v>
      </c>
      <c r="AB48" s="127">
        <f t="shared" si="14"/>
        <v>356.04723124154867</v>
      </c>
      <c r="AC48" s="127">
        <f t="shared" si="15"/>
        <v>1422.0472312415486</v>
      </c>
      <c r="AD48" s="125">
        <f t="shared" si="16"/>
        <v>2661.7999999999956</v>
      </c>
      <c r="AE48" s="126">
        <f t="shared" si="17"/>
        <v>7.1961759535041107E-3</v>
      </c>
      <c r="AF48" s="127">
        <f t="shared" si="18"/>
        <v>969.87972610301699</v>
      </c>
      <c r="AG48" s="127">
        <f t="shared" si="19"/>
        <v>3631.6797261030124</v>
      </c>
    </row>
    <row r="49" spans="1:33" ht="27" hidden="1">
      <c r="A49" s="16">
        <v>46</v>
      </c>
      <c r="B49" s="16" t="s">
        <v>49</v>
      </c>
      <c r="C49" s="17" t="s">
        <v>50</v>
      </c>
      <c r="D49" s="18" t="s">
        <v>121</v>
      </c>
      <c r="E49" s="20" t="s">
        <v>49</v>
      </c>
      <c r="F49" s="17" t="s">
        <v>193</v>
      </c>
      <c r="G49" s="17" t="s">
        <v>145</v>
      </c>
      <c r="H49" s="15">
        <v>265353.59999999998</v>
      </c>
      <c r="I49" s="28">
        <v>279632.09999999998</v>
      </c>
      <c r="J49" s="29">
        <v>291436</v>
      </c>
      <c r="K49" s="29">
        <v>307139.90000000002</v>
      </c>
      <c r="L49" s="30">
        <f t="shared" si="3"/>
        <v>14278.5</v>
      </c>
      <c r="M49" s="31">
        <f t="shared" si="4"/>
        <v>3.1300550191265812E-2</v>
      </c>
      <c r="N49" s="30">
        <f t="shared" si="5"/>
        <v>2997.9951808201199</v>
      </c>
      <c r="O49" s="29">
        <v>321863.59999999998</v>
      </c>
      <c r="P49" s="29">
        <v>336544.5</v>
      </c>
      <c r="Q49" s="30">
        <f t="shared" si="0"/>
        <v>17276.495180820119</v>
      </c>
      <c r="R49" s="33">
        <f t="shared" si="1"/>
        <v>11803.900000000023</v>
      </c>
      <c r="S49" s="31">
        <f t="shared" si="6"/>
        <v>3.4388523807961785E-2</v>
      </c>
      <c r="T49" s="33">
        <f t="shared" si="2"/>
        <v>3004.1078484225918</v>
      </c>
      <c r="U49" s="33">
        <f t="shared" si="7"/>
        <v>14808.007848422614</v>
      </c>
      <c r="V49" s="125">
        <f t="shared" si="8"/>
        <v>15703.900000000023</v>
      </c>
      <c r="W49" s="126">
        <f t="shared" si="9"/>
        <v>4.4344692723405868E-2</v>
      </c>
      <c r="X49" s="127">
        <f t="shared" si="10"/>
        <v>6055.9963746825142</v>
      </c>
      <c r="Y49" s="127">
        <f t="shared" si="11"/>
        <v>21759.896374682539</v>
      </c>
      <c r="Z49" s="125">
        <f t="shared" si="12"/>
        <v>14723.699999999953</v>
      </c>
      <c r="AA49" s="126">
        <f t="shared" si="13"/>
        <v>4.2764833613263026E-2</v>
      </c>
      <c r="AB49" s="127">
        <f t="shared" si="14"/>
        <v>4917.7604302356231</v>
      </c>
      <c r="AC49" s="127">
        <f t="shared" si="15"/>
        <v>19641.460430235576</v>
      </c>
      <c r="AD49" s="125">
        <f t="shared" si="16"/>
        <v>14680.900000000023</v>
      </c>
      <c r="AE49" s="126">
        <f t="shared" si="17"/>
        <v>3.9689811238935627E-2</v>
      </c>
      <c r="AF49" s="127">
        <f t="shared" si="18"/>
        <v>5349.2776583311406</v>
      </c>
      <c r="AG49" s="127">
        <f t="shared" si="19"/>
        <v>20030.177658331166</v>
      </c>
    </row>
    <row r="50" spans="1:33" ht="27" hidden="1">
      <c r="A50" s="11">
        <v>47</v>
      </c>
      <c r="B50" s="16" t="s">
        <v>49</v>
      </c>
      <c r="C50" s="17" t="s">
        <v>50</v>
      </c>
      <c r="D50" s="119" t="s">
        <v>138</v>
      </c>
      <c r="E50" s="20" t="s">
        <v>49</v>
      </c>
      <c r="F50" s="17" t="s">
        <v>61</v>
      </c>
      <c r="G50" s="17" t="s">
        <v>62</v>
      </c>
      <c r="H50" s="15">
        <v>55946.9</v>
      </c>
      <c r="I50" s="28">
        <v>59849.4</v>
      </c>
      <c r="J50" s="29">
        <v>61699.9</v>
      </c>
      <c r="K50" s="29">
        <v>63664.7</v>
      </c>
      <c r="L50" s="30">
        <f t="shared" si="3"/>
        <v>3902.5</v>
      </c>
      <c r="M50" s="31">
        <f t="shared" si="4"/>
        <v>8.5548479967373896E-3</v>
      </c>
      <c r="N50" s="30">
        <f t="shared" si="5"/>
        <v>819.39112603918602</v>
      </c>
      <c r="O50" s="29">
        <v>64893.2</v>
      </c>
      <c r="P50" s="29">
        <v>68460.600000000006</v>
      </c>
      <c r="Q50" s="30">
        <f t="shared" si="0"/>
        <v>4721.891126039186</v>
      </c>
      <c r="R50" s="33">
        <f t="shared" si="1"/>
        <v>1850.5</v>
      </c>
      <c r="S50" s="31">
        <f t="shared" si="6"/>
        <v>5.3910964432630866E-3</v>
      </c>
      <c r="T50" s="33">
        <f t="shared" si="2"/>
        <v>470.95464833707456</v>
      </c>
      <c r="U50" s="33">
        <f t="shared" si="7"/>
        <v>2321.4546483370746</v>
      </c>
      <c r="V50" s="125">
        <f t="shared" si="8"/>
        <v>1964.7999999999956</v>
      </c>
      <c r="W50" s="126">
        <f t="shared" si="9"/>
        <v>5.5482047302229083E-3</v>
      </c>
      <c r="X50" s="127">
        <f t="shared" si="10"/>
        <v>757.69851291565533</v>
      </c>
      <c r="Y50" s="127">
        <f t="shared" si="11"/>
        <v>2722.4985129156512</v>
      </c>
      <c r="Z50" s="125">
        <f t="shared" si="12"/>
        <v>1228.5</v>
      </c>
      <c r="AA50" s="126">
        <f t="shared" si="13"/>
        <v>3.5681654810878921E-3</v>
      </c>
      <c r="AB50" s="127">
        <f t="shared" si="14"/>
        <v>410.32272380885797</v>
      </c>
      <c r="AC50" s="127">
        <f t="shared" si="15"/>
        <v>1638.822723808858</v>
      </c>
      <c r="AD50" s="125">
        <f t="shared" si="16"/>
        <v>3567.4000000000087</v>
      </c>
      <c r="AE50" s="126">
        <f t="shared" si="17"/>
        <v>9.6444654356190058E-3</v>
      </c>
      <c r="AF50" s="127">
        <f t="shared" si="18"/>
        <v>1299.8530824629638</v>
      </c>
      <c r="AG50" s="127">
        <f t="shared" si="19"/>
        <v>4867.2530824629721</v>
      </c>
    </row>
    <row r="51" spans="1:33" ht="13.5" hidden="1">
      <c r="A51" s="16">
        <v>48</v>
      </c>
      <c r="B51" s="16" t="s">
        <v>39</v>
      </c>
      <c r="C51" s="17" t="s">
        <v>40</v>
      </c>
      <c r="D51" s="18" t="s">
        <v>121</v>
      </c>
      <c r="E51" s="18" t="s">
        <v>124</v>
      </c>
      <c r="F51" s="19" t="s">
        <v>146</v>
      </c>
      <c r="G51" s="19" t="s">
        <v>147</v>
      </c>
      <c r="H51" s="15">
        <v>7463.1</v>
      </c>
      <c r="I51" s="28">
        <v>7725.2</v>
      </c>
      <c r="J51" s="29">
        <v>7925.8</v>
      </c>
      <c r="K51" s="29">
        <v>8241.9</v>
      </c>
      <c r="L51" s="30">
        <f t="shared" si="3"/>
        <v>262.09999999999945</v>
      </c>
      <c r="M51" s="31">
        <f t="shared" si="4"/>
        <v>5.7456134783981166E-4</v>
      </c>
      <c r="N51" s="30">
        <f t="shared" si="5"/>
        <v>55.032008746923815</v>
      </c>
      <c r="O51" s="29">
        <v>8491.6</v>
      </c>
      <c r="P51" s="29">
        <v>8775.6</v>
      </c>
      <c r="Q51" s="30">
        <f t="shared" si="0"/>
        <v>317.13200874692325</v>
      </c>
      <c r="R51" s="33">
        <f t="shared" si="1"/>
        <v>200.60000000000036</v>
      </c>
      <c r="S51" s="31">
        <f t="shared" si="6"/>
        <v>5.8441175169877176E-4</v>
      </c>
      <c r="T51" s="33">
        <f t="shared" si="2"/>
        <v>51.05295998725606</v>
      </c>
      <c r="U51" s="33">
        <f t="shared" si="7"/>
        <v>251.65295998725642</v>
      </c>
      <c r="V51" s="125">
        <f t="shared" si="8"/>
        <v>316.09999999999945</v>
      </c>
      <c r="W51" s="126">
        <f t="shared" si="9"/>
        <v>8.9260358063083384E-4</v>
      </c>
      <c r="X51" s="127">
        <f t="shared" si="10"/>
        <v>121.89968441197007</v>
      </c>
      <c r="Y51" s="127">
        <f t="shared" si="11"/>
        <v>437.9996844119695</v>
      </c>
      <c r="Z51" s="125">
        <f t="shared" si="12"/>
        <v>249.70000000000073</v>
      </c>
      <c r="AA51" s="126">
        <f t="shared" si="13"/>
        <v>7.2525105464196109E-4</v>
      </c>
      <c r="AB51" s="127">
        <f t="shared" si="14"/>
        <v>83.400556886505598</v>
      </c>
      <c r="AC51" s="127">
        <f t="shared" si="15"/>
        <v>333.1005568865063</v>
      </c>
      <c r="AD51" s="125">
        <f t="shared" si="16"/>
        <v>284</v>
      </c>
      <c r="AE51" s="126">
        <f t="shared" si="17"/>
        <v>7.6779396303072018E-4</v>
      </c>
      <c r="AF51" s="127">
        <f t="shared" si="18"/>
        <v>103.48104373478748</v>
      </c>
      <c r="AG51" s="127">
        <f t="shared" si="19"/>
        <v>387.48104373478748</v>
      </c>
    </row>
    <row r="52" spans="1:33" ht="27">
      <c r="A52" s="11">
        <v>49</v>
      </c>
      <c r="B52" s="16" t="s">
        <v>49</v>
      </c>
      <c r="C52" s="17" t="s">
        <v>50</v>
      </c>
      <c r="D52" s="18" t="s">
        <v>121</v>
      </c>
      <c r="E52" s="20" t="s">
        <v>49</v>
      </c>
      <c r="F52" s="17" t="s">
        <v>148</v>
      </c>
      <c r="G52" s="17" t="s">
        <v>149</v>
      </c>
      <c r="H52" s="15">
        <v>199773.6</v>
      </c>
      <c r="I52" s="28">
        <v>207841.5</v>
      </c>
      <c r="J52" s="29">
        <v>223549</v>
      </c>
      <c r="K52" s="29">
        <v>223850.5</v>
      </c>
      <c r="L52" s="30">
        <f t="shared" si="3"/>
        <v>8067.8999999999942</v>
      </c>
      <c r="M52" s="31">
        <f t="shared" si="4"/>
        <v>1.7686011057752093E-2</v>
      </c>
      <c r="N52" s="30">
        <f t="shared" si="5"/>
        <v>1693.9822333815616</v>
      </c>
      <c r="O52" s="29">
        <v>233396.1</v>
      </c>
      <c r="P52" s="29">
        <v>254146.2</v>
      </c>
      <c r="Q52" s="30">
        <f t="shared" si="0"/>
        <v>9761.8822333815551</v>
      </c>
      <c r="R52" s="33">
        <f t="shared" si="1"/>
        <v>15707.5</v>
      </c>
      <c r="S52" s="31">
        <f t="shared" si="6"/>
        <v>4.5760955083790834E-2</v>
      </c>
      <c r="T52" s="33">
        <f t="shared" si="2"/>
        <v>3997.5791076760875</v>
      </c>
      <c r="U52" s="33">
        <f t="shared" si="7"/>
        <v>19705.079107676087</v>
      </c>
      <c r="V52" s="125">
        <f t="shared" si="8"/>
        <v>301.5</v>
      </c>
      <c r="W52" s="126">
        <f t="shared" si="9"/>
        <v>8.5137608212653229E-4</v>
      </c>
      <c r="X52" s="127">
        <f t="shared" si="10"/>
        <v>116.26939212340727</v>
      </c>
      <c r="Y52" s="127">
        <f t="shared" si="11"/>
        <v>417.76939212340727</v>
      </c>
      <c r="Z52" s="125">
        <f t="shared" si="12"/>
        <v>9545.6000000000058</v>
      </c>
      <c r="AA52" s="126">
        <f t="shared" si="13"/>
        <v>2.7725095983941885E-2</v>
      </c>
      <c r="AB52" s="127">
        <f t="shared" si="14"/>
        <v>3188.2593344646621</v>
      </c>
      <c r="AC52" s="127">
        <f t="shared" si="15"/>
        <v>12733.859334464669</v>
      </c>
      <c r="AD52" s="125">
        <f t="shared" si="16"/>
        <v>20750.100000000006</v>
      </c>
      <c r="AE52" s="126">
        <f t="shared" si="17"/>
        <v>5.6097892648886448E-2</v>
      </c>
      <c r="AF52" s="127">
        <f t="shared" si="18"/>
        <v>7560.7112873282194</v>
      </c>
      <c r="AG52" s="127">
        <f t="shared" si="19"/>
        <v>28310.811287328226</v>
      </c>
    </row>
    <row r="53" spans="1:33" ht="27">
      <c r="A53" s="16">
        <v>50</v>
      </c>
      <c r="B53" s="16" t="s">
        <v>49</v>
      </c>
      <c r="C53" s="17" t="s">
        <v>50</v>
      </c>
      <c r="D53" s="18" t="s">
        <v>121</v>
      </c>
      <c r="E53" s="20" t="s">
        <v>49</v>
      </c>
      <c r="F53" s="17" t="s">
        <v>150</v>
      </c>
      <c r="G53" s="17" t="s">
        <v>151</v>
      </c>
      <c r="H53" s="15">
        <v>182539.1</v>
      </c>
      <c r="I53" s="28">
        <v>201468.9</v>
      </c>
      <c r="J53" s="29">
        <v>201470.5</v>
      </c>
      <c r="K53" s="29">
        <v>217057.5</v>
      </c>
      <c r="L53" s="30">
        <f t="shared" si="3"/>
        <v>18929.799999999988</v>
      </c>
      <c r="M53" s="31">
        <f t="shared" si="4"/>
        <v>4.1496876773514248E-2</v>
      </c>
      <c r="N53" s="30">
        <f t="shared" si="5"/>
        <v>3974.6086195250673</v>
      </c>
      <c r="O53" s="29">
        <v>219628.5</v>
      </c>
      <c r="P53" s="29">
        <v>219975.9</v>
      </c>
      <c r="Q53" s="30">
        <f t="shared" si="0"/>
        <v>22904.408619525057</v>
      </c>
      <c r="R53" s="33">
        <f t="shared" si="1"/>
        <v>1.6000000000058208</v>
      </c>
      <c r="S53" s="31">
        <f t="shared" si="6"/>
        <v>4.6613100833571032E-6</v>
      </c>
      <c r="T53" s="33">
        <f t="shared" si="2"/>
        <v>0.40720207367849809</v>
      </c>
      <c r="U53" s="33">
        <f t="shared" si="7"/>
        <v>2.007202073684319</v>
      </c>
      <c r="V53" s="125">
        <f t="shared" si="8"/>
        <v>15587</v>
      </c>
      <c r="W53" s="126">
        <f t="shared" si="9"/>
        <v>4.4014590355244639E-2</v>
      </c>
      <c r="X53" s="127">
        <f t="shared" si="10"/>
        <v>6010.9154727281893</v>
      </c>
      <c r="Y53" s="127">
        <f t="shared" si="11"/>
        <v>21597.915472728189</v>
      </c>
      <c r="Z53" s="125">
        <f t="shared" si="12"/>
        <v>2571</v>
      </c>
      <c r="AA53" s="126">
        <f t="shared" si="13"/>
        <v>7.467442777270631E-3</v>
      </c>
      <c r="AB53" s="127">
        <f t="shared" si="14"/>
        <v>858.72179317262817</v>
      </c>
      <c r="AC53" s="127">
        <f t="shared" si="15"/>
        <v>3429.7217931726282</v>
      </c>
      <c r="AD53" s="125">
        <f t="shared" si="16"/>
        <v>347.39999999999418</v>
      </c>
      <c r="AE53" s="126">
        <f t="shared" si="17"/>
        <v>9.3919585477770324E-4</v>
      </c>
      <c r="AF53" s="127">
        <f t="shared" si="18"/>
        <v>126.58209363895975</v>
      </c>
      <c r="AG53" s="127">
        <f t="shared" si="19"/>
        <v>473.98209363895393</v>
      </c>
    </row>
    <row r="54" spans="1:33" ht="13.5" hidden="1">
      <c r="A54" s="11">
        <v>51</v>
      </c>
      <c r="B54" s="16" t="s">
        <v>39</v>
      </c>
      <c r="C54" s="17" t="s">
        <v>40</v>
      </c>
      <c r="D54" s="18" t="s">
        <v>121</v>
      </c>
      <c r="E54" s="18" t="s">
        <v>124</v>
      </c>
      <c r="F54" s="19" t="s">
        <v>152</v>
      </c>
      <c r="G54" s="19" t="s">
        <v>153</v>
      </c>
      <c r="H54" s="15">
        <v>273236.3</v>
      </c>
      <c r="I54" s="28">
        <v>290382</v>
      </c>
      <c r="J54" s="29">
        <v>298692.2</v>
      </c>
      <c r="K54" s="29">
        <v>309221.3</v>
      </c>
      <c r="L54" s="30">
        <f t="shared" si="3"/>
        <v>17145.700000000012</v>
      </c>
      <c r="M54" s="31">
        <f t="shared" si="4"/>
        <v>3.7585869903308228E-2</v>
      </c>
      <c r="N54" s="30">
        <f t="shared" si="5"/>
        <v>3600.0088224804817</v>
      </c>
      <c r="O54" s="29">
        <v>310649.40000000002</v>
      </c>
      <c r="P54" s="29">
        <v>327813.3</v>
      </c>
      <c r="Q54" s="30">
        <f t="shared" si="0"/>
        <v>20745.708822480494</v>
      </c>
      <c r="R54" s="33">
        <f t="shared" si="1"/>
        <v>8310.2000000000116</v>
      </c>
      <c r="S54" s="31">
        <f t="shared" si="6"/>
        <v>2.4210261909108331E-2</v>
      </c>
      <c r="T54" s="33">
        <f t="shared" si="2"/>
        <v>2114.956670419218</v>
      </c>
      <c r="U54" s="33">
        <f t="shared" si="7"/>
        <v>10425.15667041923</v>
      </c>
      <c r="V54" s="125">
        <f t="shared" si="8"/>
        <v>10529.099999999977</v>
      </c>
      <c r="W54" s="126">
        <f t="shared" si="9"/>
        <v>2.9732085924770984E-2</v>
      </c>
      <c r="X54" s="127">
        <f t="shared" si="10"/>
        <v>4060.4048311992201</v>
      </c>
      <c r="Y54" s="127">
        <f t="shared" si="11"/>
        <v>14589.504831199196</v>
      </c>
      <c r="Z54" s="125">
        <f t="shared" si="12"/>
        <v>1428.1000000000349</v>
      </c>
      <c r="AA54" s="126">
        <f t="shared" si="13"/>
        <v>4.1479016064645859E-3</v>
      </c>
      <c r="AB54" s="127">
        <f t="shared" si="14"/>
        <v>476.9897288330846</v>
      </c>
      <c r="AC54" s="127">
        <f t="shared" si="15"/>
        <v>1905.0897288331196</v>
      </c>
      <c r="AD54" s="125">
        <f t="shared" si="16"/>
        <v>17163.899999999965</v>
      </c>
      <c r="AE54" s="126">
        <f t="shared" si="17"/>
        <v>4.6402601415714617E-2</v>
      </c>
      <c r="AF54" s="127">
        <f t="shared" si="18"/>
        <v>6254.0080512658988</v>
      </c>
      <c r="AG54" s="127">
        <f t="shared" si="19"/>
        <v>23417.908051265862</v>
      </c>
    </row>
    <row r="55" spans="1:33" ht="13.5" hidden="1">
      <c r="A55" s="16">
        <v>52</v>
      </c>
      <c r="B55" s="16" t="s">
        <v>39</v>
      </c>
      <c r="C55" s="17" t="s">
        <v>40</v>
      </c>
      <c r="D55" s="18" t="s">
        <v>121</v>
      </c>
      <c r="E55" s="18" t="s">
        <v>124</v>
      </c>
      <c r="F55" s="19" t="s">
        <v>154</v>
      </c>
      <c r="G55" s="19" t="s">
        <v>155</v>
      </c>
      <c r="H55" s="15">
        <v>36120.199999999997</v>
      </c>
      <c r="I55" s="28">
        <v>37951.300000000003</v>
      </c>
      <c r="J55" s="29">
        <v>38619.4</v>
      </c>
      <c r="K55" s="29">
        <v>38627.1</v>
      </c>
      <c r="L55" s="30">
        <f t="shared" si="3"/>
        <v>1831.1000000000058</v>
      </c>
      <c r="M55" s="31">
        <f t="shared" si="4"/>
        <v>4.0140377109099002E-3</v>
      </c>
      <c r="N55" s="30">
        <f t="shared" si="5"/>
        <v>384.46818472526797</v>
      </c>
      <c r="O55" s="29">
        <v>38637.9</v>
      </c>
      <c r="P55" s="29">
        <v>38643.9</v>
      </c>
      <c r="Q55" s="30">
        <f t="shared" si="0"/>
        <v>2215.5681847252736</v>
      </c>
      <c r="R55" s="33">
        <f t="shared" si="1"/>
        <v>668.09999999999854</v>
      </c>
      <c r="S55" s="31">
        <f t="shared" si="6"/>
        <v>1.9463882916747153E-3</v>
      </c>
      <c r="T55" s="33">
        <f t="shared" si="2"/>
        <v>170.03231588975891</v>
      </c>
      <c r="U55" s="33">
        <f t="shared" si="7"/>
        <v>838.13231588975748</v>
      </c>
      <c r="V55" s="125">
        <f t="shared" si="8"/>
        <v>7.6999999999970896</v>
      </c>
      <c r="W55" s="126">
        <f t="shared" si="9"/>
        <v>2.1743269759110518E-5</v>
      </c>
      <c r="X55" s="127">
        <f t="shared" si="10"/>
        <v>2.969400727528682</v>
      </c>
      <c r="Y55" s="127">
        <f t="shared" si="11"/>
        <v>10.669400727525773</v>
      </c>
      <c r="Z55" s="125">
        <f t="shared" si="12"/>
        <v>10.80000000000291</v>
      </c>
      <c r="AA55" s="126">
        <f t="shared" si="13"/>
        <v>3.1368487745836079E-5</v>
      </c>
      <c r="AB55" s="127">
        <f t="shared" si="14"/>
        <v>3.6072327367821413</v>
      </c>
      <c r="AC55" s="127">
        <f t="shared" si="15"/>
        <v>14.407232736785051</v>
      </c>
      <c r="AD55" s="125">
        <f t="shared" si="16"/>
        <v>6</v>
      </c>
      <c r="AE55" s="126">
        <f t="shared" si="17"/>
        <v>1.6220999218958877E-5</v>
      </c>
      <c r="AF55" s="127">
        <f t="shared" si="18"/>
        <v>2.1862192338335382</v>
      </c>
      <c r="AG55" s="127">
        <f t="shared" si="19"/>
        <v>8.1862192338335387</v>
      </c>
    </row>
    <row r="56" spans="1:33" ht="13.5" hidden="1">
      <c r="A56" s="11">
        <v>53</v>
      </c>
      <c r="B56" s="16" t="s">
        <v>39</v>
      </c>
      <c r="C56" s="17" t="s">
        <v>40</v>
      </c>
      <c r="D56" s="18" t="s">
        <v>121</v>
      </c>
      <c r="E56" s="18" t="s">
        <v>124</v>
      </c>
      <c r="F56" s="19" t="s">
        <v>156</v>
      </c>
      <c r="G56" s="19" t="s">
        <v>157</v>
      </c>
      <c r="H56" s="15">
        <v>453507.2</v>
      </c>
      <c r="I56" s="28">
        <v>488045.8</v>
      </c>
      <c r="J56" s="29">
        <v>500968.6</v>
      </c>
      <c r="K56" s="29">
        <v>501032.5</v>
      </c>
      <c r="L56" s="30">
        <f t="shared" si="3"/>
        <v>34538.599999999977</v>
      </c>
      <c r="M56" s="31">
        <f t="shared" si="4"/>
        <v>7.5713638185807508E-2</v>
      </c>
      <c r="N56" s="30">
        <f t="shared" si="5"/>
        <v>7251.9211648474075</v>
      </c>
      <c r="O56" s="29">
        <v>501090.2</v>
      </c>
      <c r="P56" s="29">
        <v>501218.8</v>
      </c>
      <c r="Q56" s="30">
        <f t="shared" si="0"/>
        <v>41790.521164847385</v>
      </c>
      <c r="R56" s="33">
        <f t="shared" si="1"/>
        <v>12922.799999999988</v>
      </c>
      <c r="S56" s="31">
        <f t="shared" si="6"/>
        <v>3.7648236215617484E-2</v>
      </c>
      <c r="T56" s="33">
        <f t="shared" si="2"/>
        <v>3288.8693485708413</v>
      </c>
      <c r="U56" s="33">
        <f t="shared" si="7"/>
        <v>16211.669348570829</v>
      </c>
      <c r="V56" s="125">
        <f t="shared" si="8"/>
        <v>63.900000000023283</v>
      </c>
      <c r="W56" s="126">
        <f t="shared" si="9"/>
        <v>1.8044090098807706E-4</v>
      </c>
      <c r="X56" s="127">
        <f t="shared" si="10"/>
        <v>24.642169673925146</v>
      </c>
      <c r="Y56" s="127">
        <f t="shared" si="11"/>
        <v>88.542169673948422</v>
      </c>
      <c r="Z56" s="125">
        <f t="shared" si="12"/>
        <v>57.700000000011642</v>
      </c>
      <c r="AA56" s="126">
        <f t="shared" si="13"/>
        <v>1.6758905027172398E-4</v>
      </c>
      <c r="AB56" s="127">
        <f t="shared" si="14"/>
        <v>19.271974899288466</v>
      </c>
      <c r="AC56" s="127">
        <f t="shared" si="15"/>
        <v>76.971974899300108</v>
      </c>
      <c r="AD56" s="125">
        <f t="shared" si="16"/>
        <v>128.59999999997672</v>
      </c>
      <c r="AE56" s="126">
        <f t="shared" si="17"/>
        <v>3.476700832596223E-4</v>
      </c>
      <c r="AF56" s="127">
        <f t="shared" si="18"/>
        <v>46.857965578490351</v>
      </c>
      <c r="AG56" s="127">
        <f t="shared" si="19"/>
        <v>175.45796557846705</v>
      </c>
    </row>
    <row r="57" spans="1:33" ht="13.5" hidden="1">
      <c r="A57" s="16">
        <v>54</v>
      </c>
      <c r="B57" s="16" t="s">
        <v>39</v>
      </c>
      <c r="C57" s="17" t="s">
        <v>40</v>
      </c>
      <c r="D57" s="18" t="s">
        <v>121</v>
      </c>
      <c r="E57" s="18" t="s">
        <v>124</v>
      </c>
      <c r="F57" s="19" t="s">
        <v>158</v>
      </c>
      <c r="G57" s="19" t="s">
        <v>159</v>
      </c>
      <c r="H57" s="15">
        <v>123910.7</v>
      </c>
      <c r="I57" s="28">
        <v>131267.4</v>
      </c>
      <c r="J57" s="29">
        <v>133627.20000000001</v>
      </c>
      <c r="K57" s="29">
        <v>133657.79999999999</v>
      </c>
      <c r="L57" s="30">
        <f t="shared" si="3"/>
        <v>7356.6999999999971</v>
      </c>
      <c r="M57" s="31">
        <f t="shared" si="4"/>
        <v>1.6126957144804083E-2</v>
      </c>
      <c r="N57" s="30">
        <f t="shared" si="5"/>
        <v>1544.6546308603401</v>
      </c>
      <c r="O57" s="29">
        <v>133665.4</v>
      </c>
      <c r="P57" s="29">
        <v>133721.60000000001</v>
      </c>
      <c r="Q57" s="30">
        <f t="shared" si="0"/>
        <v>8901.3546308603363</v>
      </c>
      <c r="R57" s="33">
        <f t="shared" si="1"/>
        <v>2359.8000000000175</v>
      </c>
      <c r="S57" s="31">
        <f t="shared" si="6"/>
        <v>6.8748497091663478E-3</v>
      </c>
      <c r="T57" s="33">
        <f t="shared" si="2"/>
        <v>600.57215841439438</v>
      </c>
      <c r="U57" s="33">
        <f t="shared" si="7"/>
        <v>2960.3721584144118</v>
      </c>
      <c r="V57" s="125">
        <f t="shared" si="8"/>
        <v>30.599999999976717</v>
      </c>
      <c r="W57" s="126">
        <f t="shared" si="9"/>
        <v>8.6408318782925584E-5</v>
      </c>
      <c r="X57" s="127">
        <f t="shared" si="10"/>
        <v>11.800475618486086</v>
      </c>
      <c r="Y57" s="127">
        <f t="shared" si="11"/>
        <v>42.400475618462806</v>
      </c>
      <c r="Z57" s="125">
        <f t="shared" si="12"/>
        <v>7.6000000000058208</v>
      </c>
      <c r="AA57" s="126">
        <f t="shared" si="13"/>
        <v>2.2074121006340048E-5</v>
      </c>
      <c r="AB57" s="127">
        <f t="shared" si="14"/>
        <v>2.5384230369960998</v>
      </c>
      <c r="AC57" s="127">
        <f t="shared" si="15"/>
        <v>10.138423037001921</v>
      </c>
      <c r="AD57" s="125">
        <f t="shared" si="16"/>
        <v>56.200000000011642</v>
      </c>
      <c r="AE57" s="126">
        <f t="shared" si="17"/>
        <v>1.5193669268427962E-4</v>
      </c>
      <c r="AF57" s="127">
        <f t="shared" si="18"/>
        <v>20.477586823578385</v>
      </c>
      <c r="AG57" s="127">
        <f t="shared" si="19"/>
        <v>76.677586823590019</v>
      </c>
    </row>
    <row r="58" spans="1:33" ht="13.5" hidden="1">
      <c r="A58" s="11">
        <v>55</v>
      </c>
      <c r="B58" s="16" t="s">
        <v>39</v>
      </c>
      <c r="C58" s="17" t="s">
        <v>40</v>
      </c>
      <c r="D58" s="18" t="s">
        <v>121</v>
      </c>
      <c r="E58" s="18" t="s">
        <v>124</v>
      </c>
      <c r="F58" s="19" t="s">
        <v>160</v>
      </c>
      <c r="G58" s="19" t="s">
        <v>161</v>
      </c>
      <c r="H58" s="15">
        <v>222644.6</v>
      </c>
      <c r="I58" s="28">
        <v>237320.5</v>
      </c>
      <c r="J58" s="29">
        <v>247263.8</v>
      </c>
      <c r="K58" s="29">
        <v>255733.5</v>
      </c>
      <c r="L58" s="30">
        <f t="shared" si="3"/>
        <v>14675.899999999994</v>
      </c>
      <c r="M58" s="31">
        <f t="shared" si="4"/>
        <v>3.2171708831599796E-2</v>
      </c>
      <c r="N58" s="30">
        <f t="shared" si="5"/>
        <v>3081.4355481456719</v>
      </c>
      <c r="O58" s="29">
        <v>264257.40000000002</v>
      </c>
      <c r="P58" s="29">
        <v>283004.7</v>
      </c>
      <c r="Q58" s="30">
        <f t="shared" si="0"/>
        <v>17757.335548145667</v>
      </c>
      <c r="R58" s="33">
        <f t="shared" si="1"/>
        <v>9943.2999999999884</v>
      </c>
      <c r="S58" s="31">
        <f t="shared" si="6"/>
        <v>2.8968002844797509E-2</v>
      </c>
      <c r="T58" s="33">
        <f t="shared" si="2"/>
        <v>2530.5827369954222</v>
      </c>
      <c r="U58" s="33">
        <f t="shared" si="7"/>
        <v>12473.882736995411</v>
      </c>
      <c r="V58" s="125">
        <f t="shared" si="8"/>
        <v>8469.7000000000116</v>
      </c>
      <c r="W58" s="126">
        <f t="shared" si="9"/>
        <v>2.3916749594650417E-2</v>
      </c>
      <c r="X58" s="127">
        <f t="shared" si="10"/>
        <v>3266.2251093453528</v>
      </c>
      <c r="Y58" s="127">
        <f t="shared" si="11"/>
        <v>11735.925109345364</v>
      </c>
      <c r="Z58" s="125">
        <f t="shared" si="12"/>
        <v>8523.9000000000233</v>
      </c>
      <c r="AA58" s="126">
        <f t="shared" si="13"/>
        <v>2.4757578953394518E-2</v>
      </c>
      <c r="AB58" s="127">
        <f t="shared" si="14"/>
        <v>2847.0084375045453</v>
      </c>
      <c r="AC58" s="127">
        <f t="shared" si="15"/>
        <v>11370.908437504568</v>
      </c>
      <c r="AD58" s="125">
        <f t="shared" si="16"/>
        <v>18747.299999999988</v>
      </c>
      <c r="AE58" s="126">
        <f t="shared" si="17"/>
        <v>5.0683323109597923E-2</v>
      </c>
      <c r="AF58" s="127">
        <f t="shared" si="18"/>
        <v>6830.951307074577</v>
      </c>
      <c r="AG58" s="127">
        <f t="shared" si="19"/>
        <v>25578.251307074566</v>
      </c>
    </row>
    <row r="59" spans="1:33" ht="27" hidden="1">
      <c r="A59" s="16">
        <v>56</v>
      </c>
      <c r="B59" s="16" t="s">
        <v>39</v>
      </c>
      <c r="C59" s="17" t="s">
        <v>40</v>
      </c>
      <c r="D59" s="18" t="s">
        <v>121</v>
      </c>
      <c r="E59" s="18" t="s">
        <v>124</v>
      </c>
      <c r="F59" s="19" t="s">
        <v>194</v>
      </c>
      <c r="G59" s="19" t="s">
        <v>163</v>
      </c>
      <c r="H59" s="15">
        <v>59315.4</v>
      </c>
      <c r="I59" s="28">
        <v>64794.2</v>
      </c>
      <c r="J59" s="29">
        <v>68007.8</v>
      </c>
      <c r="K59" s="29">
        <v>70543.100000000006</v>
      </c>
      <c r="L59" s="30">
        <f t="shared" si="3"/>
        <v>5478.7999999999956</v>
      </c>
      <c r="M59" s="31">
        <f t="shared" si="4"/>
        <v>1.201032702229975E-2</v>
      </c>
      <c r="N59" s="30">
        <f t="shared" si="5"/>
        <v>1150.3600515934629</v>
      </c>
      <c r="O59" s="29">
        <v>71914.899999999994</v>
      </c>
      <c r="P59" s="29">
        <v>76843.5</v>
      </c>
      <c r="Q59" s="30">
        <f t="shared" si="0"/>
        <v>6629.1600515934588</v>
      </c>
      <c r="R59" s="33">
        <f t="shared" si="1"/>
        <v>3213.6000000000058</v>
      </c>
      <c r="S59" s="31">
        <f t="shared" si="6"/>
        <v>9.3622413023886995E-3</v>
      </c>
      <c r="T59" s="33">
        <f t="shared" si="2"/>
        <v>817.86536498028954</v>
      </c>
      <c r="U59" s="33">
        <f t="shared" si="7"/>
        <v>4031.4653649802954</v>
      </c>
      <c r="V59" s="125">
        <f t="shared" si="8"/>
        <v>2535.3000000000029</v>
      </c>
      <c r="W59" s="126">
        <f t="shared" si="9"/>
        <v>7.1591833532849078E-3</v>
      </c>
      <c r="X59" s="127">
        <f t="shared" si="10"/>
        <v>977.70411227354816</v>
      </c>
      <c r="Y59" s="127">
        <f t="shared" si="11"/>
        <v>3513.0041122735511</v>
      </c>
      <c r="Z59" s="125">
        <f t="shared" si="12"/>
        <v>1371.7999999999884</v>
      </c>
      <c r="AA59" s="126">
        <f t="shared" si="13"/>
        <v>3.9843788416412933E-3</v>
      </c>
      <c r="AB59" s="127">
        <f t="shared" si="14"/>
        <v>458.18535817744123</v>
      </c>
      <c r="AC59" s="127">
        <f t="shared" si="15"/>
        <v>1829.9853581774296</v>
      </c>
      <c r="AD59" s="125">
        <f t="shared" si="16"/>
        <v>4928.6000000000058</v>
      </c>
      <c r="AE59" s="126">
        <f t="shared" si="17"/>
        <v>1.3324469458426802E-2</v>
      </c>
      <c r="AF59" s="127">
        <f t="shared" si="18"/>
        <v>1795.8333526453316</v>
      </c>
      <c r="AG59" s="127">
        <f t="shared" si="19"/>
        <v>6724.4333526453374</v>
      </c>
    </row>
    <row r="60" spans="1:33" ht="27" hidden="1">
      <c r="A60" s="11">
        <v>57</v>
      </c>
      <c r="B60" s="16" t="s">
        <v>83</v>
      </c>
      <c r="C60" s="17" t="s">
        <v>84</v>
      </c>
      <c r="D60" s="119" t="s">
        <v>138</v>
      </c>
      <c r="E60" s="18" t="s">
        <v>83</v>
      </c>
      <c r="F60" s="17" t="s">
        <v>164</v>
      </c>
      <c r="G60" s="17" t="s">
        <v>165</v>
      </c>
      <c r="H60" s="15">
        <v>14362.8</v>
      </c>
      <c r="I60" s="28">
        <v>15219.2</v>
      </c>
      <c r="J60" s="29">
        <v>16107.3</v>
      </c>
      <c r="K60" s="29">
        <v>17492.3</v>
      </c>
      <c r="L60" s="30">
        <f t="shared" si="3"/>
        <v>856.40000000000146</v>
      </c>
      <c r="M60" s="31">
        <f t="shared" si="4"/>
        <v>1.8773534463564158E-3</v>
      </c>
      <c r="N60" s="30">
        <f t="shared" si="5"/>
        <v>179.81462148365409</v>
      </c>
      <c r="O60" s="29">
        <v>18571.900000000001</v>
      </c>
      <c r="P60" s="29">
        <v>19542.099999999999</v>
      </c>
      <c r="Q60" s="30">
        <f t="shared" si="0"/>
        <v>1036.2146214836555</v>
      </c>
      <c r="R60" s="33">
        <f t="shared" si="1"/>
        <v>888.09999999999854</v>
      </c>
      <c r="S60" s="31">
        <f t="shared" si="6"/>
        <v>2.5873184281339852E-3</v>
      </c>
      <c r="T60" s="33">
        <f t="shared" si="2"/>
        <v>226.0226010203487</v>
      </c>
      <c r="U60" s="33">
        <f t="shared" si="7"/>
        <v>1114.1226010203472</v>
      </c>
      <c r="V60" s="125">
        <f t="shared" si="8"/>
        <v>1385</v>
      </c>
      <c r="W60" s="126">
        <f t="shared" si="9"/>
        <v>3.9109647553739546E-3</v>
      </c>
      <c r="X60" s="127">
        <f t="shared" si="10"/>
        <v>534.10649449724406</v>
      </c>
      <c r="Y60" s="127">
        <f t="shared" si="11"/>
        <v>1919.1064944972441</v>
      </c>
      <c r="Z60" s="125">
        <f t="shared" si="12"/>
        <v>1079.6000000000022</v>
      </c>
      <c r="AA60" s="126">
        <f t="shared" si="13"/>
        <v>3.1356869787403305E-3</v>
      </c>
      <c r="AB60" s="127">
        <f t="shared" si="14"/>
        <v>360.58967246564424</v>
      </c>
      <c r="AC60" s="127">
        <f t="shared" si="15"/>
        <v>1440.1896724656465</v>
      </c>
      <c r="AD60" s="125">
        <f t="shared" si="16"/>
        <v>970.19999999999709</v>
      </c>
      <c r="AE60" s="126">
        <f t="shared" si="17"/>
        <v>2.6229355737056423E-3</v>
      </c>
      <c r="AF60" s="127">
        <f t="shared" si="18"/>
        <v>353.51165011088204</v>
      </c>
      <c r="AG60" s="127">
        <f t="shared" si="19"/>
        <v>1323.7116501108792</v>
      </c>
    </row>
    <row r="61" spans="1:33" ht="27" hidden="1">
      <c r="A61" s="16">
        <v>58</v>
      </c>
      <c r="B61" s="16" t="s">
        <v>49</v>
      </c>
      <c r="C61" s="17" t="s">
        <v>50</v>
      </c>
      <c r="D61" s="119" t="s">
        <v>138</v>
      </c>
      <c r="E61" s="18" t="s">
        <v>49</v>
      </c>
      <c r="F61" s="17" t="s">
        <v>166</v>
      </c>
      <c r="G61" s="17" t="s">
        <v>167</v>
      </c>
      <c r="H61" s="15">
        <v>715943.7</v>
      </c>
      <c r="I61" s="28">
        <v>736111.6</v>
      </c>
      <c r="J61" s="29">
        <v>756046.5</v>
      </c>
      <c r="K61" s="29">
        <v>780421.4</v>
      </c>
      <c r="L61" s="30">
        <f t="shared" si="3"/>
        <v>20167.900000000023</v>
      </c>
      <c r="M61" s="31">
        <f t="shared" si="4"/>
        <v>4.4210972175118567E-2</v>
      </c>
      <c r="N61" s="30">
        <f t="shared" si="5"/>
        <v>4234.567146917545</v>
      </c>
      <c r="O61" s="29">
        <v>806476.5</v>
      </c>
      <c r="P61" s="29">
        <v>831467.3</v>
      </c>
      <c r="Q61" s="30">
        <f t="shared" si="0"/>
        <v>24402.467146917566</v>
      </c>
      <c r="R61" s="33">
        <f t="shared" si="1"/>
        <v>19934.900000000023</v>
      </c>
      <c r="S61" s="31">
        <f t="shared" si="6"/>
        <v>5.8076718987735983E-2</v>
      </c>
      <c r="T61" s="33">
        <f t="shared" si="2"/>
        <v>5073.4578865899812</v>
      </c>
      <c r="U61" s="33">
        <f t="shared" si="7"/>
        <v>25008.357886590005</v>
      </c>
      <c r="V61" s="125">
        <f t="shared" si="8"/>
        <v>24374.900000000023</v>
      </c>
      <c r="W61" s="126">
        <f t="shared" si="9"/>
        <v>6.8829873513187506E-2</v>
      </c>
      <c r="X61" s="127">
        <f t="shared" si="10"/>
        <v>9399.8501030475709</v>
      </c>
      <c r="Y61" s="127">
        <f t="shared" si="11"/>
        <v>33774.750103047598</v>
      </c>
      <c r="Z61" s="125">
        <f t="shared" si="12"/>
        <v>26055.099999999977</v>
      </c>
      <c r="AA61" s="126">
        <f t="shared" si="13"/>
        <v>7.5676767135769679E-2</v>
      </c>
      <c r="AB61" s="127">
        <f t="shared" si="14"/>
        <v>8702.4823777876809</v>
      </c>
      <c r="AC61" s="127">
        <f t="shared" si="15"/>
        <v>34757.582377787658</v>
      </c>
      <c r="AD61" s="125">
        <f t="shared" si="16"/>
        <v>24990.800000000047</v>
      </c>
      <c r="AE61" s="126">
        <f t="shared" si="17"/>
        <v>6.7562624546859712E-2</v>
      </c>
      <c r="AF61" s="127">
        <f t="shared" si="18"/>
        <v>9105.8946048145481</v>
      </c>
      <c r="AG61" s="127">
        <f t="shared" si="19"/>
        <v>34096.694604814591</v>
      </c>
    </row>
    <row r="62" spans="1:33" ht="27" hidden="1">
      <c r="A62" s="11">
        <v>59</v>
      </c>
      <c r="B62" s="16" t="s">
        <v>49</v>
      </c>
      <c r="C62" s="17" t="s">
        <v>50</v>
      </c>
      <c r="D62" s="119" t="s">
        <v>138</v>
      </c>
      <c r="E62" s="18" t="s">
        <v>49</v>
      </c>
      <c r="F62" s="17" t="s">
        <v>168</v>
      </c>
      <c r="G62" s="17" t="s">
        <v>169</v>
      </c>
      <c r="H62" s="15">
        <v>875337.1</v>
      </c>
      <c r="I62" s="28">
        <v>906540.9</v>
      </c>
      <c r="J62" s="29">
        <v>934819.6</v>
      </c>
      <c r="K62" s="29">
        <v>967834.3</v>
      </c>
      <c r="L62" s="30">
        <f t="shared" si="3"/>
        <v>31203.800000000047</v>
      </c>
      <c r="M62" s="31">
        <f t="shared" si="4"/>
        <v>6.8403271216039604E-2</v>
      </c>
      <c r="N62" s="30">
        <f t="shared" si="5"/>
        <v>6551.7275640490943</v>
      </c>
      <c r="O62" s="29">
        <v>995789.9</v>
      </c>
      <c r="P62" s="29">
        <v>1021463.6</v>
      </c>
      <c r="Q62" s="30">
        <f t="shared" si="0"/>
        <v>37755.527564049138</v>
      </c>
      <c r="R62" s="33">
        <f t="shared" si="1"/>
        <v>28278.699999999953</v>
      </c>
      <c r="S62" s="31">
        <f t="shared" si="6"/>
        <v>8.2384868408594228E-2</v>
      </c>
      <c r="T62" s="33">
        <f t="shared" si="2"/>
        <v>7196.9658005563961</v>
      </c>
      <c r="U62" s="33">
        <f t="shared" si="7"/>
        <v>35475.665800556351</v>
      </c>
      <c r="V62" s="125">
        <f t="shared" si="8"/>
        <v>33014.70000000007</v>
      </c>
      <c r="W62" s="126">
        <f t="shared" si="9"/>
        <v>9.322695170342582E-2</v>
      </c>
      <c r="X62" s="127">
        <f t="shared" si="10"/>
        <v>12731.671973919278</v>
      </c>
      <c r="Y62" s="127">
        <f t="shared" si="11"/>
        <v>45746.371973919348</v>
      </c>
      <c r="Z62" s="125">
        <f t="shared" si="12"/>
        <v>27955.599999999977</v>
      </c>
      <c r="AA62" s="126">
        <f t="shared" si="13"/>
        <v>8.1196749632153509E-2</v>
      </c>
      <c r="AB62" s="127">
        <f t="shared" si="14"/>
        <v>9337.2551385518109</v>
      </c>
      <c r="AC62" s="127">
        <f t="shared" si="15"/>
        <v>37292.855138551786</v>
      </c>
      <c r="AD62" s="125">
        <f t="shared" si="16"/>
        <v>25673.699999999953</v>
      </c>
      <c r="AE62" s="126">
        <f t="shared" si="17"/>
        <v>6.9408844607963954E-2</v>
      </c>
      <c r="AF62" s="127">
        <f t="shared" si="18"/>
        <v>9354.7227906120006</v>
      </c>
      <c r="AG62" s="127">
        <f t="shared" si="19"/>
        <v>35028.422790611956</v>
      </c>
    </row>
    <row r="63" spans="1:33" ht="40.5" hidden="1">
      <c r="A63" s="16">
        <v>60</v>
      </c>
      <c r="B63" s="16" t="s">
        <v>49</v>
      </c>
      <c r="C63" s="17" t="s">
        <v>50</v>
      </c>
      <c r="D63" s="18" t="s">
        <v>121</v>
      </c>
      <c r="E63" s="20" t="s">
        <v>49</v>
      </c>
      <c r="F63" s="17" t="s">
        <v>170</v>
      </c>
      <c r="G63" s="17" t="s">
        <v>171</v>
      </c>
      <c r="H63" s="15">
        <v>120195.9</v>
      </c>
      <c r="I63" s="28">
        <v>126819.9</v>
      </c>
      <c r="J63" s="29">
        <v>132123.20000000001</v>
      </c>
      <c r="K63" s="29">
        <v>139825.1</v>
      </c>
      <c r="L63" s="30">
        <f t="shared" si="3"/>
        <v>6624</v>
      </c>
      <c r="M63" s="31">
        <f t="shared" si="4"/>
        <v>1.4520772102597942E-2</v>
      </c>
      <c r="N63" s="34">
        <f t="shared" si="5"/>
        <v>1390.8127658894473</v>
      </c>
      <c r="O63" s="29">
        <v>146353</v>
      </c>
      <c r="P63" s="29">
        <v>150655.6</v>
      </c>
      <c r="Q63" s="34">
        <f t="shared" si="0"/>
        <v>8014.8127658894473</v>
      </c>
      <c r="R63" s="33">
        <f t="shared" si="1"/>
        <v>5303.3000000000175</v>
      </c>
      <c r="S63" s="31">
        <f t="shared" si="6"/>
        <v>1.5450203603111171E-2</v>
      </c>
      <c r="T63" s="33">
        <f t="shared" si="2"/>
        <v>1349.6967233320811</v>
      </c>
      <c r="U63" s="33">
        <f t="shared" si="7"/>
        <v>6652.9967233320986</v>
      </c>
      <c r="V63" s="125">
        <f t="shared" si="8"/>
        <v>7701.8999999999942</v>
      </c>
      <c r="W63" s="126">
        <f t="shared" si="9"/>
        <v>2.1748634981526814E-2</v>
      </c>
      <c r="X63" s="127">
        <f t="shared" si="10"/>
        <v>2970.1334368002317</v>
      </c>
      <c r="Y63" s="127">
        <f t="shared" si="11"/>
        <v>10672.033436800226</v>
      </c>
      <c r="Z63" s="125">
        <f t="shared" si="12"/>
        <v>6527.8999999999942</v>
      </c>
      <c r="AA63" s="126">
        <f t="shared" si="13"/>
        <v>1.8960217699628513E-2</v>
      </c>
      <c r="AB63" s="127">
        <f t="shared" si="14"/>
        <v>2180.3383872623858</v>
      </c>
      <c r="AC63" s="127">
        <f t="shared" si="15"/>
        <v>8708.2383872623795</v>
      </c>
      <c r="AD63" s="125">
        <f t="shared" si="16"/>
        <v>4302.6000000000058</v>
      </c>
      <c r="AE63" s="126">
        <f t="shared" si="17"/>
        <v>1.1632078539915425E-2</v>
      </c>
      <c r="AF63" s="127">
        <f t="shared" si="18"/>
        <v>1567.7378125820323</v>
      </c>
      <c r="AG63" s="127">
        <f t="shared" si="19"/>
        <v>5870.3378125820382</v>
      </c>
    </row>
    <row r="64" spans="1:33" ht="27" hidden="1">
      <c r="A64" s="11">
        <v>61</v>
      </c>
      <c r="B64" s="16" t="s">
        <v>49</v>
      </c>
      <c r="C64" s="17" t="s">
        <v>50</v>
      </c>
      <c r="D64" s="18" t="s">
        <v>172</v>
      </c>
      <c r="E64" s="20" t="s">
        <v>49</v>
      </c>
      <c r="F64" s="17" t="s">
        <v>173</v>
      </c>
      <c r="G64" s="17" t="s">
        <v>174</v>
      </c>
      <c r="H64" s="15">
        <v>1767.8</v>
      </c>
      <c r="I64" s="28">
        <v>1846.7</v>
      </c>
      <c r="J64" s="29">
        <v>1915.4</v>
      </c>
      <c r="K64" s="29">
        <v>2000.9</v>
      </c>
      <c r="L64" s="30">
        <f t="shared" si="3"/>
        <v>78.900000000000091</v>
      </c>
      <c r="M64" s="31">
        <f t="shared" si="4"/>
        <v>1.7296028364960432E-4</v>
      </c>
      <c r="N64" s="30">
        <f t="shared" si="5"/>
        <v>16.566293361817259</v>
      </c>
      <c r="O64" s="29">
        <v>2096.3000000000002</v>
      </c>
      <c r="P64" s="29">
        <v>2227.6</v>
      </c>
      <c r="Q64" s="30">
        <f t="shared" si="0"/>
        <v>95.46629336181735</v>
      </c>
      <c r="R64" s="33">
        <f t="shared" si="1"/>
        <v>68.700000000000045</v>
      </c>
      <c r="S64" s="31">
        <f t="shared" si="6"/>
        <v>2.0014500170341761E-4</v>
      </c>
      <c r="T64" s="33">
        <f t="shared" si="2"/>
        <v>17.484239038506914</v>
      </c>
      <c r="U64" s="33">
        <f t="shared" si="7"/>
        <v>86.184239038506959</v>
      </c>
      <c r="V64" s="125">
        <f t="shared" si="8"/>
        <v>85.5</v>
      </c>
      <c r="W64" s="126">
        <f t="shared" si="9"/>
        <v>2.414350083642405E-4</v>
      </c>
      <c r="X64" s="127">
        <f t="shared" si="10"/>
        <v>32.971917169324449</v>
      </c>
      <c r="Y64" s="127">
        <f t="shared" si="11"/>
        <v>118.47191716932446</v>
      </c>
      <c r="Z64" s="125">
        <f t="shared" si="12"/>
        <v>95.400000000000091</v>
      </c>
      <c r="AA64" s="126">
        <f t="shared" si="13"/>
        <v>2.7708830842147758E-4</v>
      </c>
      <c r="AB64" s="127">
        <f t="shared" si="14"/>
        <v>31.863889174900354</v>
      </c>
      <c r="AC64" s="127">
        <f t="shared" si="15"/>
        <v>127.26388917490044</v>
      </c>
      <c r="AD64" s="125">
        <f t="shared" si="16"/>
        <v>131.29999999999973</v>
      </c>
      <c r="AE64" s="126">
        <f t="shared" si="17"/>
        <v>3.5496953290821599E-4</v>
      </c>
      <c r="AF64" s="127">
        <f t="shared" si="18"/>
        <v>47.841764233723829</v>
      </c>
      <c r="AG64" s="127">
        <f t="shared" si="19"/>
        <v>179.14176423372356</v>
      </c>
    </row>
    <row r="65" spans="1:33" ht="24.95" hidden="1" customHeight="1">
      <c r="A65" s="35">
        <v>62</v>
      </c>
      <c r="B65" s="36" t="s">
        <v>105</v>
      </c>
      <c r="C65" s="37" t="s">
        <v>106</v>
      </c>
      <c r="D65" s="120" t="s">
        <v>138</v>
      </c>
      <c r="E65" s="38" t="s">
        <v>105</v>
      </c>
      <c r="F65" s="39" t="s">
        <v>195</v>
      </c>
      <c r="G65" s="17" t="s">
        <v>196</v>
      </c>
      <c r="H65" s="40">
        <v>4.2</v>
      </c>
      <c r="I65" s="28">
        <v>60.8</v>
      </c>
      <c r="J65" s="29">
        <v>126.1</v>
      </c>
      <c r="K65" s="29">
        <v>232.5</v>
      </c>
      <c r="L65" s="30">
        <f t="shared" si="3"/>
        <v>56.599999999999994</v>
      </c>
      <c r="M65" s="31">
        <f t="shared" si="4"/>
        <v>1.2407543795396188E-4</v>
      </c>
      <c r="N65" s="30">
        <f t="shared" si="5"/>
        <v>11.884058355879032</v>
      </c>
      <c r="O65" s="29">
        <v>344.4</v>
      </c>
      <c r="P65" s="29">
        <v>463.6</v>
      </c>
      <c r="Q65" s="30">
        <f t="shared" si="0"/>
        <v>68.484058355879029</v>
      </c>
      <c r="R65" s="33">
        <f t="shared" si="1"/>
        <v>65.3</v>
      </c>
      <c r="S65" s="31">
        <f t="shared" si="6"/>
        <v>1.9023971777631967E-4</v>
      </c>
      <c r="T65" s="33">
        <f t="shared" si="2"/>
        <v>16.618934631943244</v>
      </c>
      <c r="U65" s="33">
        <f t="shared" si="7"/>
        <v>81.918934631943245</v>
      </c>
      <c r="V65" s="125">
        <f t="shared" si="8"/>
        <v>106.4</v>
      </c>
      <c r="W65" s="126">
        <f t="shared" si="9"/>
        <v>3.004524548532771E-4</v>
      </c>
      <c r="X65" s="127">
        <f t="shared" si="10"/>
        <v>41.031719144048211</v>
      </c>
      <c r="Y65" s="127">
        <f t="shared" si="11"/>
        <v>147.4317191440482</v>
      </c>
      <c r="Z65" s="125">
        <f t="shared" si="12"/>
        <v>111.89999999999998</v>
      </c>
      <c r="AA65" s="126">
        <f t="shared" si="13"/>
        <v>3.2501238692204726E-4</v>
      </c>
      <c r="AB65" s="127">
        <f t="shared" si="14"/>
        <v>37.374939189427103</v>
      </c>
      <c r="AC65" s="127">
        <f t="shared" si="15"/>
        <v>149.27493918942707</v>
      </c>
      <c r="AD65" s="125">
        <f t="shared" si="16"/>
        <v>119.20000000000005</v>
      </c>
      <c r="AE65" s="126">
        <f t="shared" si="17"/>
        <v>3.2225718448331648E-4</v>
      </c>
      <c r="AF65" s="127">
        <f t="shared" si="18"/>
        <v>43.43288877882631</v>
      </c>
      <c r="AG65" s="127">
        <f>AF65+AD65</f>
        <v>162.63288877882636</v>
      </c>
    </row>
    <row r="66" spans="1:33">
      <c r="G66" s="5"/>
      <c r="L66" s="44">
        <f>SUM(L4:L65)</f>
        <v>456174.08999999979</v>
      </c>
      <c r="M66" s="1"/>
      <c r="N66" s="1"/>
      <c r="O66" s="1"/>
      <c r="P66" s="1"/>
      <c r="Q66" s="45">
        <f>SUM(Q4:Q65)</f>
        <v>551954.99999999988</v>
      </c>
      <c r="R66" s="46">
        <f>SUM(R4:R65)</f>
        <v>343251.14</v>
      </c>
      <c r="U66" s="46">
        <f>SUM(U4:U65)</f>
        <v>430608.99999999983</v>
      </c>
      <c r="V66" s="46">
        <f>SUM(V4:V65)</f>
        <v>354132.57000000007</v>
      </c>
      <c r="Y66" s="46">
        <f>SUM(Y4:Y65)</f>
        <v>490699.00000000006</v>
      </c>
      <c r="Z66" s="130">
        <f>SUM(Z4:Z65)</f>
        <v>344294.5700000003</v>
      </c>
      <c r="AC66" s="130">
        <f>SUM(AC4:AC65)</f>
        <v>459289.99999999988</v>
      </c>
      <c r="AD66" s="130">
        <f>SUM(AD4:AD65)</f>
        <v>369890.90000000026</v>
      </c>
      <c r="AG66" s="130">
        <f>SUM(AG4:AG65)</f>
        <v>504667.99999999983</v>
      </c>
    </row>
    <row r="67" spans="1:33">
      <c r="G67" s="5"/>
    </row>
    <row r="68" spans="1:33">
      <c r="A68" s="41" t="s">
        <v>176</v>
      </c>
      <c r="B68" s="41"/>
      <c r="C68" s="42">
        <v>551955</v>
      </c>
      <c r="G68" s="5"/>
      <c r="H68" s="43"/>
      <c r="I68" s="43"/>
      <c r="J68" s="43"/>
      <c r="K68" s="43"/>
      <c r="L68" s="47">
        <f>C68-L66</f>
        <v>95780.910000000207</v>
      </c>
      <c r="M68" s="43"/>
      <c r="N68" s="43"/>
      <c r="O68" s="43"/>
      <c r="P68" s="43"/>
      <c r="Q68" s="115"/>
      <c r="R68" s="48">
        <f>C69-R66</f>
        <v>87357.859999999986</v>
      </c>
      <c r="S68" s="115"/>
      <c r="T68" s="115"/>
      <c r="U68" s="115"/>
      <c r="V68" s="122">
        <f>C70-V66</f>
        <v>136566.42999999993</v>
      </c>
      <c r="W68" s="115"/>
      <c r="X68" s="115"/>
      <c r="Y68" s="115"/>
      <c r="Z68" s="122">
        <f>C71-Z66</f>
        <v>114995.4299999997</v>
      </c>
      <c r="AA68" s="115"/>
      <c r="AB68" s="115"/>
      <c r="AC68" s="115"/>
      <c r="AD68" s="122">
        <f>C72-AD66</f>
        <v>134777.09999999974</v>
      </c>
    </row>
    <row r="69" spans="1:33">
      <c r="A69" s="41" t="s">
        <v>177</v>
      </c>
      <c r="B69" s="41"/>
      <c r="C69" s="42">
        <v>430609</v>
      </c>
      <c r="G69" s="5"/>
    </row>
    <row r="70" spans="1:33">
      <c r="A70" s="41" t="s">
        <v>178</v>
      </c>
      <c r="B70" s="41"/>
      <c r="C70" s="42">
        <v>490699</v>
      </c>
      <c r="G70" s="5"/>
    </row>
    <row r="71" spans="1:33">
      <c r="A71" s="41" t="s">
        <v>179</v>
      </c>
      <c r="B71" s="41"/>
      <c r="C71" s="42">
        <v>459290</v>
      </c>
      <c r="D71" s="6"/>
      <c r="G71" s="5"/>
    </row>
    <row r="72" spans="1:33">
      <c r="A72" s="41" t="s">
        <v>180</v>
      </c>
      <c r="B72" s="41"/>
      <c r="C72" s="42">
        <v>504668</v>
      </c>
      <c r="D72" s="6"/>
      <c r="G72" s="5"/>
      <c r="Q72" s="103">
        <f>SUM(Q52:Q53)</f>
        <v>32666.290852906612</v>
      </c>
      <c r="R72" s="103">
        <f t="shared" ref="R72:AG72" si="20">SUM(R52:R53)</f>
        <v>15709.100000000006</v>
      </c>
      <c r="S72" s="103">
        <f t="shared" si="20"/>
        <v>4.5765616393874192E-2</v>
      </c>
      <c r="T72" s="103">
        <f t="shared" si="20"/>
        <v>3997.986309749766</v>
      </c>
      <c r="U72" s="103">
        <f t="shared" si="20"/>
        <v>19707.086309749771</v>
      </c>
      <c r="V72" s="103">
        <f t="shared" si="20"/>
        <v>15888.5</v>
      </c>
      <c r="W72" s="103">
        <f t="shared" si="20"/>
        <v>4.4865966437371174E-2</v>
      </c>
      <c r="X72" s="103">
        <f t="shared" si="20"/>
        <v>6127.184864851597</v>
      </c>
      <c r="Y72" s="103">
        <f t="shared" si="20"/>
        <v>22015.684864851595</v>
      </c>
      <c r="Z72" s="103">
        <f t="shared" si="20"/>
        <v>12116.600000000006</v>
      </c>
      <c r="AA72" s="103">
        <f t="shared" si="20"/>
        <v>3.5192538761212519E-2</v>
      </c>
      <c r="AB72" s="103">
        <f t="shared" si="20"/>
        <v>4046.9811276372902</v>
      </c>
      <c r="AC72" s="103">
        <f t="shared" si="20"/>
        <v>16163.581127637297</v>
      </c>
      <c r="AD72" s="103">
        <f t="shared" si="20"/>
        <v>21097.5</v>
      </c>
      <c r="AE72" s="103">
        <f t="shared" si="20"/>
        <v>5.7037088503664152E-2</v>
      </c>
      <c r="AF72" s="103">
        <f t="shared" si="20"/>
        <v>7687.2933809671795</v>
      </c>
      <c r="AG72" s="103">
        <f t="shared" si="20"/>
        <v>28784.793380967181</v>
      </c>
    </row>
    <row r="73" spans="1:33">
      <c r="A73" s="41" t="s">
        <v>181</v>
      </c>
      <c r="B73" s="41"/>
      <c r="C73" s="42"/>
      <c r="G73" s="5"/>
    </row>
    <row r="74" spans="1:33">
      <c r="A74" s="41" t="s">
        <v>182</v>
      </c>
      <c r="B74" s="41"/>
      <c r="C74" s="42"/>
      <c r="D74" s="6"/>
      <c r="G74" s="5"/>
    </row>
    <row r="75" spans="1:33">
      <c r="A75" s="41" t="s">
        <v>183</v>
      </c>
      <c r="B75" s="41"/>
      <c r="C75" s="42"/>
      <c r="D75" s="6"/>
      <c r="G75" s="5"/>
    </row>
    <row r="76" spans="1:33">
      <c r="A76" s="41" t="s">
        <v>184</v>
      </c>
      <c r="B76" s="41"/>
      <c r="C76" s="42"/>
      <c r="D76" s="6"/>
      <c r="G76" s="5"/>
    </row>
    <row r="77" spans="1:33">
      <c r="A77" s="41" t="s">
        <v>185</v>
      </c>
      <c r="B77" s="41"/>
      <c r="C77" s="42"/>
      <c r="G77" s="5"/>
    </row>
    <row r="78" spans="1:33">
      <c r="A78" s="41" t="s">
        <v>186</v>
      </c>
      <c r="B78" s="41"/>
      <c r="C78" s="42"/>
      <c r="G78" s="5"/>
    </row>
    <row r="79" spans="1:33">
      <c r="A79" s="41" t="s">
        <v>187</v>
      </c>
      <c r="B79" s="41"/>
      <c r="C79" s="42"/>
      <c r="G79" s="5"/>
    </row>
  </sheetData>
  <autoFilter ref="A3:G79" xr:uid="{00000000-0009-0000-0000-000001000000}"/>
  <mergeCells count="1">
    <mergeCell ref="A2:U2"/>
  </mergeCells>
  <pageMargins left="0.75" right="0.75" top="1" bottom="1" header="0.5" footer="0.5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DD52-BB58-4C3D-AA18-05EBE76AE1B3}">
  <sheetPr>
    <tabColor rgb="FFFF0000"/>
  </sheetPr>
  <dimension ref="A1:Z10"/>
  <sheetViews>
    <sheetView zoomScale="115" zoomScaleNormal="115" workbookViewId="0">
      <selection activeCell="J32" sqref="J32"/>
    </sheetView>
  </sheetViews>
  <sheetFormatPr defaultRowHeight="12.75"/>
  <cols>
    <col min="1" max="1" width="37.140625" customWidth="1"/>
  </cols>
  <sheetData>
    <row r="1" spans="1:26" ht="13.5" thickBot="1"/>
    <row r="2" spans="1:26" ht="23.25" customHeight="1">
      <c r="A2" s="160" t="s">
        <v>223</v>
      </c>
      <c r="B2" s="159" t="s">
        <v>221</v>
      </c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33"/>
      <c r="O2" s="159" t="s">
        <v>222</v>
      </c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</row>
    <row r="3" spans="1:26" ht="23.25" customHeight="1">
      <c r="A3" s="161"/>
      <c r="B3" s="134" t="s">
        <v>209</v>
      </c>
      <c r="C3" s="134" t="s">
        <v>210</v>
      </c>
      <c r="D3" s="134" t="s">
        <v>211</v>
      </c>
      <c r="E3" s="134" t="s">
        <v>212</v>
      </c>
      <c r="F3" s="134" t="s">
        <v>213</v>
      </c>
      <c r="G3" s="134" t="s">
        <v>214</v>
      </c>
      <c r="H3" s="134" t="s">
        <v>215</v>
      </c>
      <c r="I3" s="134" t="s">
        <v>216</v>
      </c>
      <c r="J3" s="134" t="s">
        <v>217</v>
      </c>
      <c r="K3" s="134" t="s">
        <v>218</v>
      </c>
      <c r="L3" s="134" t="s">
        <v>219</v>
      </c>
      <c r="M3" s="134" t="s">
        <v>220</v>
      </c>
      <c r="O3" s="134" t="s">
        <v>209</v>
      </c>
      <c r="P3" s="134" t="s">
        <v>210</v>
      </c>
      <c r="Q3" s="134" t="s">
        <v>211</v>
      </c>
      <c r="R3" s="134" t="s">
        <v>212</v>
      </c>
      <c r="S3" s="134" t="s">
        <v>213</v>
      </c>
      <c r="T3" s="134" t="s">
        <v>214</v>
      </c>
      <c r="U3" s="134" t="s">
        <v>215</v>
      </c>
      <c r="V3" s="134" t="s">
        <v>216</v>
      </c>
      <c r="W3" s="134" t="s">
        <v>217</v>
      </c>
      <c r="X3" s="134" t="s">
        <v>218</v>
      </c>
      <c r="Y3" s="134" t="s">
        <v>219</v>
      </c>
      <c r="Z3" s="134" t="s">
        <v>220</v>
      </c>
    </row>
    <row r="4" spans="1:26" ht="23.25" customHeight="1" thickBot="1">
      <c r="A4" s="162"/>
      <c r="B4" s="135">
        <v>57677.720428501882</v>
      </c>
      <c r="C4" s="135">
        <v>71932.73107827123</v>
      </c>
      <c r="D4" s="135">
        <v>73056.689994413347</v>
      </c>
      <c r="E4" s="135">
        <v>83217.201117046236</v>
      </c>
      <c r="F4" s="135">
        <v>76609.377904649067</v>
      </c>
      <c r="G4" s="135">
        <v>88508.139572691813</v>
      </c>
      <c r="H4" s="135">
        <v>79952.74964490853</v>
      </c>
      <c r="I4" s="135">
        <v>76556.109579563199</v>
      </c>
      <c r="J4" s="135">
        <v>82735.173263765435</v>
      </c>
      <c r="K4" s="135">
        <v>86850.892775307831</v>
      </c>
      <c r="L4" s="135">
        <v>61287.253763801047</v>
      </c>
      <c r="M4" s="135">
        <v>64203.83794545268</v>
      </c>
      <c r="N4" s="135"/>
      <c r="O4" s="135">
        <v>62157.99</v>
      </c>
      <c r="P4" s="135">
        <v>60484.02</v>
      </c>
      <c r="Q4" s="135">
        <v>79521.119999999995</v>
      </c>
      <c r="R4" s="135">
        <v>72050.44</v>
      </c>
      <c r="S4" s="135">
        <v>69125.119999999995</v>
      </c>
      <c r="T4" s="135"/>
      <c r="U4" s="135"/>
      <c r="V4" s="135"/>
      <c r="W4" s="135"/>
      <c r="X4" s="135"/>
      <c r="Y4" s="135"/>
      <c r="Z4" s="135"/>
    </row>
    <row r="7" spans="1:26" ht="13.5" thickBot="1"/>
    <row r="8" spans="1:26" ht="23.25" customHeight="1">
      <c r="A8" s="160" t="s">
        <v>224</v>
      </c>
      <c r="B8" s="159" t="s">
        <v>221</v>
      </c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33"/>
      <c r="O8" s="159" t="s">
        <v>222</v>
      </c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</row>
    <row r="9" spans="1:26" ht="23.25" customHeight="1">
      <c r="A9" s="161"/>
      <c r="B9" s="134" t="s">
        <v>209</v>
      </c>
      <c r="C9" s="134" t="s">
        <v>210</v>
      </c>
      <c r="D9" s="134" t="s">
        <v>211</v>
      </c>
      <c r="E9" s="134" t="s">
        <v>212</v>
      </c>
      <c r="F9" s="134" t="s">
        <v>213</v>
      </c>
      <c r="G9" s="134" t="s">
        <v>214</v>
      </c>
      <c r="H9" s="134" t="s">
        <v>215</v>
      </c>
      <c r="I9" s="134" t="s">
        <v>216</v>
      </c>
      <c r="J9" s="134" t="s">
        <v>217</v>
      </c>
      <c r="K9" s="134" t="s">
        <v>218</v>
      </c>
      <c r="L9" s="134" t="s">
        <v>219</v>
      </c>
      <c r="M9" s="134" t="s">
        <v>220</v>
      </c>
      <c r="O9" s="134" t="s">
        <v>209</v>
      </c>
      <c r="P9" s="134" t="s">
        <v>210</v>
      </c>
      <c r="Q9" s="134" t="s">
        <v>211</v>
      </c>
      <c r="R9" s="134" t="s">
        <v>212</v>
      </c>
      <c r="S9" s="134" t="s">
        <v>213</v>
      </c>
      <c r="T9" s="134" t="s">
        <v>214</v>
      </c>
      <c r="U9" s="134" t="s">
        <v>215</v>
      </c>
      <c r="V9" s="134" t="s">
        <v>216</v>
      </c>
      <c r="W9" s="134" t="s">
        <v>217</v>
      </c>
      <c r="X9" s="134" t="s">
        <v>218</v>
      </c>
      <c r="Y9" s="134" t="s">
        <v>219</v>
      </c>
      <c r="Z9" s="134" t="s">
        <v>220</v>
      </c>
    </row>
    <row r="10" spans="1:26" ht="23.25" customHeight="1" thickBot="1">
      <c r="A10" s="162"/>
      <c r="B10" s="135">
        <v>39904.90096905973</v>
      </c>
      <c r="C10" s="135">
        <v>7860.2477045446449</v>
      </c>
      <c r="D10" s="135">
        <v>5707.1897241785518</v>
      </c>
      <c r="E10" s="135">
        <v>20602.949966051558</v>
      </c>
      <c r="F10" s="135">
        <v>19326.365629454041</v>
      </c>
      <c r="G10" s="135">
        <v>33421.884807202063</v>
      </c>
      <c r="H10" s="135">
        <v>25909.061070343832</v>
      </c>
      <c r="I10" s="135">
        <v>12401.935737013351</v>
      </c>
      <c r="J10" s="135">
        <v>14637.070993096357</v>
      </c>
      <c r="K10" s="135">
        <v>33639.389455067234</v>
      </c>
      <c r="L10" s="135">
        <v>24562.701199572191</v>
      </c>
      <c r="M10" s="135">
        <v>41984.067571365071</v>
      </c>
      <c r="N10" s="135"/>
      <c r="O10" s="135">
        <v>32666.29</v>
      </c>
      <c r="P10" s="135">
        <v>19707.09</v>
      </c>
      <c r="Q10" s="135">
        <v>22015.68</v>
      </c>
      <c r="R10" s="135">
        <v>16163.58</v>
      </c>
      <c r="S10" s="135">
        <v>28784.79</v>
      </c>
      <c r="T10" s="135"/>
      <c r="U10" s="135"/>
      <c r="V10" s="135"/>
      <c r="W10" s="135"/>
      <c r="X10" s="135"/>
      <c r="Y10" s="135"/>
      <c r="Z10" s="135"/>
    </row>
  </sheetData>
  <mergeCells count="6">
    <mergeCell ref="B2:M2"/>
    <mergeCell ref="O2:Z2"/>
    <mergeCell ref="A2:A4"/>
    <mergeCell ref="B8:M8"/>
    <mergeCell ref="O8:Z8"/>
    <mergeCell ref="A8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onthly"/>
  <dimension ref="A2:BT79"/>
  <sheetViews>
    <sheetView topLeftCell="D1" workbookViewId="0">
      <pane ySplit="1" topLeftCell="A7" activePane="bottomLeft" state="frozen"/>
      <selection activeCell="D51" sqref="A8:XFD51"/>
      <selection pane="bottomLeft" activeCell="D51" sqref="A8:XFD51"/>
    </sheetView>
  </sheetViews>
  <sheetFormatPr defaultColWidth="10.28515625" defaultRowHeight="12.75"/>
  <cols>
    <col min="1" max="1" width="11.5703125" customWidth="1"/>
    <col min="2" max="2" width="11.7109375" hidden="1" customWidth="1"/>
    <col min="3" max="3" width="34.140625" style="5" customWidth="1"/>
    <col min="4" max="4" width="16.5703125" style="3" customWidth="1"/>
    <col min="5" max="5" width="24.140625" style="6" hidden="1" customWidth="1"/>
    <col min="6" max="6" width="20.7109375" style="5" hidden="1" customWidth="1"/>
    <col min="7" max="7" width="48.7109375" style="7" customWidth="1"/>
    <col min="8" max="10" width="18.5703125" hidden="1" customWidth="1"/>
    <col min="11" max="11" width="16" hidden="1" customWidth="1"/>
    <col min="12" max="12" width="14.7109375" hidden="1" customWidth="1"/>
    <col min="13" max="22" width="18.5703125" hidden="1" customWidth="1"/>
    <col min="23" max="24" width="18.5703125" customWidth="1"/>
    <col min="25" max="27" width="15.140625" hidden="1" customWidth="1"/>
    <col min="28" max="28" width="15.140625" customWidth="1"/>
    <col min="29" max="31" width="15.140625" hidden="1" customWidth="1"/>
    <col min="32" max="32" width="15.140625" customWidth="1"/>
    <col min="33" max="35" width="15.140625" hidden="1" customWidth="1"/>
    <col min="36" max="36" width="15.140625" customWidth="1"/>
    <col min="37" max="39" width="15.140625" hidden="1" customWidth="1"/>
    <col min="40" max="40" width="15.140625" customWidth="1"/>
    <col min="41" max="42" width="15.140625" hidden="1" customWidth="1"/>
    <col min="43" max="43" width="13.28515625" hidden="1" customWidth="1"/>
    <col min="44" max="44" width="15.140625" customWidth="1"/>
    <col min="45" max="45" width="12.7109375" hidden="1" customWidth="1"/>
    <col min="46" max="46" width="6.7109375" hidden="1" customWidth="1"/>
    <col min="47" max="47" width="10.28515625" hidden="1" customWidth="1"/>
    <col min="48" max="48" width="11.7109375" customWidth="1"/>
    <col min="49" max="49" width="11.7109375" hidden="1" customWidth="1"/>
    <col min="50" max="50" width="10.28515625" hidden="1" customWidth="1"/>
    <col min="51" max="51" width="12.42578125" hidden="1" customWidth="1"/>
    <col min="52" max="52" width="11.7109375" customWidth="1"/>
    <col min="53" max="53" width="11.7109375" hidden="1" customWidth="1"/>
    <col min="54" max="54" width="10.28515625" hidden="1" customWidth="1"/>
    <col min="55" max="55" width="10.5703125" hidden="1" customWidth="1"/>
    <col min="56" max="56" width="11.7109375" customWidth="1"/>
    <col min="57" max="57" width="11.7109375" hidden="1" customWidth="1"/>
    <col min="58" max="58" width="10.28515625" hidden="1" customWidth="1"/>
    <col min="59" max="59" width="10.5703125" hidden="1" customWidth="1"/>
    <col min="60" max="60" width="11.7109375" customWidth="1"/>
    <col min="61" max="61" width="11.7109375" hidden="1" customWidth="1"/>
    <col min="62" max="62" width="10.28515625" hidden="1" customWidth="1"/>
    <col min="63" max="63" width="10.5703125" hidden="1" customWidth="1"/>
    <col min="64" max="64" width="11.7109375" customWidth="1"/>
    <col min="65" max="65" width="12.85546875" hidden="1" customWidth="1"/>
    <col min="66" max="66" width="10.28515625" hidden="1" customWidth="1"/>
    <col min="67" max="67" width="10.5703125" hidden="1" customWidth="1"/>
    <col min="68" max="68" width="11.7109375" customWidth="1"/>
    <col min="69" max="69" width="11.7109375" hidden="1" customWidth="1"/>
    <col min="70" max="70" width="10.28515625" hidden="1" customWidth="1"/>
    <col min="71" max="71" width="10.5703125" hidden="1" customWidth="1"/>
    <col min="72" max="72" width="11.7109375"/>
  </cols>
  <sheetData>
    <row r="2" spans="1:72" ht="27" customHeight="1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  <c r="BA2" s="158"/>
      <c r="BB2" s="158"/>
      <c r="BC2" s="158"/>
      <c r="BD2" s="158"/>
      <c r="BE2" s="158"/>
      <c r="BF2" s="158"/>
      <c r="BG2" s="158"/>
      <c r="BH2" s="158"/>
      <c r="BI2" s="158"/>
      <c r="BJ2" s="158"/>
      <c r="BK2" s="158"/>
      <c r="BL2" s="158"/>
    </row>
    <row r="3" spans="1:72" ht="33.7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49" t="s">
        <v>7</v>
      </c>
      <c r="H3" s="50" t="s">
        <v>8</v>
      </c>
      <c r="I3" s="50" t="s">
        <v>9</v>
      </c>
      <c r="J3" s="50" t="s">
        <v>10</v>
      </c>
      <c r="K3" s="63" t="s">
        <v>11</v>
      </c>
      <c r="L3" s="63" t="s">
        <v>12</v>
      </c>
      <c r="M3" s="64" t="s">
        <v>13</v>
      </c>
      <c r="N3" s="64" t="s">
        <v>14</v>
      </c>
      <c r="O3" s="64" t="s">
        <v>15</v>
      </c>
      <c r="P3" s="64" t="s">
        <v>16</v>
      </c>
      <c r="Q3" s="64" t="s">
        <v>17</v>
      </c>
      <c r="R3" s="64" t="s">
        <v>18</v>
      </c>
      <c r="S3" s="64" t="s">
        <v>19</v>
      </c>
      <c r="T3" s="68" t="s">
        <v>20</v>
      </c>
      <c r="U3" s="69" t="s">
        <v>21</v>
      </c>
      <c r="V3" s="70" t="s">
        <v>22</v>
      </c>
      <c r="W3" s="22" t="s">
        <v>23</v>
      </c>
      <c r="X3" s="22" t="s">
        <v>24</v>
      </c>
      <c r="Y3" s="24" t="s">
        <v>25</v>
      </c>
      <c r="Z3" s="25" t="s">
        <v>26</v>
      </c>
      <c r="AA3" s="25" t="s">
        <v>27</v>
      </c>
      <c r="AB3" s="25" t="s">
        <v>25</v>
      </c>
      <c r="AC3" s="82" t="s">
        <v>28</v>
      </c>
      <c r="AD3" s="82" t="s">
        <v>26</v>
      </c>
      <c r="AE3" s="82" t="s">
        <v>27</v>
      </c>
      <c r="AF3" s="82" t="s">
        <v>28</v>
      </c>
      <c r="AG3" s="85" t="s">
        <v>29</v>
      </c>
      <c r="AH3" s="85" t="s">
        <v>26</v>
      </c>
      <c r="AI3" s="85" t="s">
        <v>27</v>
      </c>
      <c r="AJ3" s="85" t="s">
        <v>29</v>
      </c>
      <c r="AK3" s="86" t="s">
        <v>30</v>
      </c>
      <c r="AL3" s="86" t="s">
        <v>26</v>
      </c>
      <c r="AM3" s="86" t="s">
        <v>27</v>
      </c>
      <c r="AN3" s="86" t="s">
        <v>30</v>
      </c>
      <c r="AO3" s="87" t="s">
        <v>31</v>
      </c>
      <c r="AP3" s="87" t="s">
        <v>26</v>
      </c>
      <c r="AQ3" s="87" t="s">
        <v>27</v>
      </c>
      <c r="AR3" s="87" t="s">
        <v>31</v>
      </c>
      <c r="AS3" s="88" t="s">
        <v>32</v>
      </c>
      <c r="AT3" s="88" t="s">
        <v>26</v>
      </c>
      <c r="AU3" s="88" t="s">
        <v>27</v>
      </c>
      <c r="AV3" s="88" t="s">
        <v>32</v>
      </c>
      <c r="AW3" s="100" t="s">
        <v>33</v>
      </c>
      <c r="AX3" s="100" t="s">
        <v>26</v>
      </c>
      <c r="AY3" s="100" t="s">
        <v>27</v>
      </c>
      <c r="AZ3" s="100" t="s">
        <v>33</v>
      </c>
      <c r="BA3" s="101" t="s">
        <v>34</v>
      </c>
      <c r="BB3" s="101" t="s">
        <v>26</v>
      </c>
      <c r="BC3" s="101" t="s">
        <v>27</v>
      </c>
      <c r="BD3" s="101" t="s">
        <v>34</v>
      </c>
      <c r="BE3" s="105" t="s">
        <v>35</v>
      </c>
      <c r="BF3" s="105" t="s">
        <v>26</v>
      </c>
      <c r="BG3" s="105" t="s">
        <v>27</v>
      </c>
      <c r="BH3" s="105" t="s">
        <v>35</v>
      </c>
      <c r="BI3" s="106" t="s">
        <v>36</v>
      </c>
      <c r="BJ3" s="106" t="s">
        <v>26</v>
      </c>
      <c r="BK3" s="106" t="s">
        <v>27</v>
      </c>
      <c r="BL3" s="106" t="s">
        <v>36</v>
      </c>
      <c r="BM3" s="107" t="s">
        <v>37</v>
      </c>
      <c r="BN3" s="107" t="s">
        <v>26</v>
      </c>
      <c r="BO3" s="107" t="s">
        <v>27</v>
      </c>
      <c r="BP3" s="107" t="s">
        <v>37</v>
      </c>
      <c r="BQ3" s="108" t="s">
        <v>38</v>
      </c>
      <c r="BR3" s="109" t="s">
        <v>26</v>
      </c>
      <c r="BS3" s="109" t="s">
        <v>27</v>
      </c>
      <c r="BT3" s="109" t="s">
        <v>38</v>
      </c>
    </row>
    <row r="4" spans="1:72" ht="13.5" customHeight="1">
      <c r="A4" s="11">
        <v>1</v>
      </c>
      <c r="B4" s="11" t="s">
        <v>39</v>
      </c>
      <c r="C4" s="12" t="s">
        <v>40</v>
      </c>
      <c r="D4" s="13" t="s">
        <v>41</v>
      </c>
      <c r="E4" s="13" t="s">
        <v>42</v>
      </c>
      <c r="F4" s="51" t="s">
        <v>43</v>
      </c>
      <c r="G4" s="52" t="s">
        <v>44</v>
      </c>
      <c r="H4" s="53">
        <v>253556.64</v>
      </c>
      <c r="I4" s="53">
        <v>313476.74</v>
      </c>
      <c r="J4" s="53">
        <v>316470.98</v>
      </c>
      <c r="K4" s="53">
        <v>59920.1</v>
      </c>
      <c r="L4" s="53">
        <v>2994.24</v>
      </c>
      <c r="M4" s="53">
        <v>318823.67999999999</v>
      </c>
      <c r="N4" s="53">
        <v>322279.67999999999</v>
      </c>
      <c r="O4" s="53">
        <v>328844.42</v>
      </c>
      <c r="P4" s="53">
        <v>331230.02</v>
      </c>
      <c r="Q4" s="53">
        <v>338053.2</v>
      </c>
      <c r="R4" s="53">
        <v>339269.52</v>
      </c>
      <c r="S4" s="53">
        <v>344450.64</v>
      </c>
      <c r="T4" s="71">
        <v>361563.36</v>
      </c>
      <c r="U4" s="34">
        <v>366345.6</v>
      </c>
      <c r="V4" s="34">
        <v>370707.12</v>
      </c>
      <c r="W4" s="72">
        <v>375853.2</v>
      </c>
      <c r="X4" s="72">
        <v>384535.44</v>
      </c>
      <c r="Y4" s="30">
        <f t="shared" ref="Y4:Y11" si="0">M4-I4</f>
        <v>5346.9400000000023</v>
      </c>
      <c r="Z4" s="31">
        <f t="shared" ref="Z4:Z11" si="1">Y4/$Y$65</f>
        <v>1.2104705998928256E-2</v>
      </c>
      <c r="AA4" s="30">
        <f t="shared" ref="AA4:AA11" si="2">Z4*$Y$67</f>
        <v>1657.9323145197905</v>
      </c>
      <c r="AB4" s="30">
        <f t="shared" ref="AB4:AB11" si="3">Y4+AA4</f>
        <v>7004.8723145197928</v>
      </c>
      <c r="AC4" s="30">
        <f t="shared" ref="AC4:AC11" si="4">N4-M4</f>
        <v>3456</v>
      </c>
      <c r="AD4" s="31">
        <f t="shared" ref="AD4:AD11" si="5">AC4/$AC$65</f>
        <v>9.7235312523044539E-3</v>
      </c>
      <c r="AE4" s="30">
        <f t="shared" ref="AE4:AE11" si="6">AD4*$AC$67</f>
        <v>67.485488009430199</v>
      </c>
      <c r="AF4" s="30">
        <f t="shared" ref="AF4:AF11" si="7">AC4+AE4</f>
        <v>3523.4854880094304</v>
      </c>
      <c r="AG4" s="30">
        <f t="shared" ref="AG4:AG11" si="8">O4-N4</f>
        <v>6564.7399999999907</v>
      </c>
      <c r="AH4" s="31">
        <f t="shared" ref="AH4:AH11" si="9">AG4/$AG$65</f>
        <v>2.2626375899270287E-2</v>
      </c>
      <c r="AI4" s="30">
        <f t="shared" ref="AI4:AI11" si="10">AH4*$AG$67</f>
        <v>2128.9245326489345</v>
      </c>
      <c r="AJ4" s="30">
        <f t="shared" ref="AJ4:AJ11" si="11">AG4+AI4</f>
        <v>8693.6645326489252</v>
      </c>
      <c r="AK4" s="30">
        <f t="shared" ref="AK4:AK11" si="12">P4-O4</f>
        <v>2385.6000000000349</v>
      </c>
      <c r="AL4" s="31">
        <f t="shared" ref="AL4:AL11" si="13">AK4/$AK$65</f>
        <v>5.8005638918399993E-3</v>
      </c>
      <c r="AM4" s="30">
        <f t="shared" ref="AM4:AM11" si="14">AL4*$AK$67</f>
        <v>240.29207158036553</v>
      </c>
      <c r="AN4" s="30">
        <f t="shared" ref="AN4:AN11" si="15">AK4+AM4</f>
        <v>2625.8920715804006</v>
      </c>
      <c r="AO4" s="30">
        <f t="shared" ref="AO4:AO11" si="16">Q4-P4</f>
        <v>6823.179999999993</v>
      </c>
      <c r="AP4" s="31">
        <f t="shared" ref="AP4:AP11" si="17">AO4/$AO$65</f>
        <v>1.8839747366839906E-2</v>
      </c>
      <c r="AQ4" s="30">
        <f t="shared" ref="AQ4:AQ11" si="18">AP4*$AO$67</f>
        <v>1641.4619726790768</v>
      </c>
      <c r="AR4" s="30">
        <f t="shared" ref="AR4:AR11" si="19">AO4+AQ4</f>
        <v>8464.64197267907</v>
      </c>
      <c r="AS4" s="89">
        <f t="shared" ref="AS4:AS11" si="20">R4-Q4</f>
        <v>1216.320000000007</v>
      </c>
      <c r="AT4" s="90">
        <f t="shared" ref="AT4:AT11" si="21">AS4/$AS$65</f>
        <v>2.5677579391614699E-3</v>
      </c>
      <c r="AU4" s="91">
        <f t="shared" ref="AU4:AU11" si="22">AT4*$AS$67</f>
        <v>304.21124452766657</v>
      </c>
      <c r="AV4" s="91">
        <f t="shared" ref="AV4:AV11" si="23">+AS4+AU4</f>
        <v>1520.5312445276736</v>
      </c>
      <c r="AW4" s="102">
        <f t="shared" ref="AW4:AW11" si="24">S4-R4</f>
        <v>5181.1199999999953</v>
      </c>
      <c r="AX4" s="90">
        <f t="shared" ref="AX4:AX11" si="25">AW4/$AW$65</f>
        <v>1.1169592679332638E-2</v>
      </c>
      <c r="AY4" s="102">
        <f t="shared" ref="AY4:AY11" si="26">AX4*$AW$67</f>
        <v>1154.2059501614006</v>
      </c>
      <c r="AZ4" s="102">
        <f t="shared" ref="AZ4:AZ11" si="27">AW4+AY4</f>
        <v>6335.3259501613957</v>
      </c>
      <c r="BA4" s="102">
        <f t="shared" ref="BA4:BA11" si="28">T4-S4</f>
        <v>17112.719999999972</v>
      </c>
      <c r="BB4" s="90">
        <f>BA4/$BA$65</f>
        <v>4.8716021598918753E-2</v>
      </c>
      <c r="BC4" s="102">
        <f>BB4*$BA$67</f>
        <v>4211.0133941707509</v>
      </c>
      <c r="BD4" s="102">
        <f t="shared" ref="BD4:BD11" si="29">BA4+BC4</f>
        <v>21323.733394170722</v>
      </c>
      <c r="BE4" s="102">
        <f>U4-T4</f>
        <v>4782.2399999999907</v>
      </c>
      <c r="BF4" s="90">
        <f>BE4/$BE$65</f>
        <v>1.2404072014604193E-2</v>
      </c>
      <c r="BG4" s="102">
        <f>BF4*$BE$67</f>
        <v>963.87193633331435</v>
      </c>
      <c r="BH4" s="102">
        <f>BG4+BE4</f>
        <v>5746.1119363333055</v>
      </c>
      <c r="BI4" s="102">
        <f>V4-U4</f>
        <v>4361.5200000000186</v>
      </c>
      <c r="BJ4" s="90">
        <f>BI4/$BI$65</f>
        <v>9.0553095522043214E-3</v>
      </c>
      <c r="BK4" s="102">
        <f>BJ4*$BI$67</f>
        <v>1020.8020575678423</v>
      </c>
      <c r="BL4" s="102">
        <f>BK4+BI4</f>
        <v>5382.3220575678606</v>
      </c>
      <c r="BM4" s="91">
        <f>W4-V4</f>
        <v>5146.0800000000163</v>
      </c>
      <c r="BN4" s="90">
        <f>BM4/$BM$65</f>
        <v>1.3278070652532238E-2</v>
      </c>
      <c r="BO4" s="91">
        <f>BN4*$BM$67</f>
        <v>1303.3444773479423</v>
      </c>
      <c r="BP4" s="91">
        <f>BO4+BM4</f>
        <v>6449.4244773479586</v>
      </c>
      <c r="BQ4" s="91">
        <f>X4-W4</f>
        <v>8682.2399999999907</v>
      </c>
      <c r="BR4" s="90">
        <f>BQ4/$BQ$65</f>
        <v>1.6493082186715555E-2</v>
      </c>
      <c r="BS4" s="91">
        <f>BR4*$BQ$67</f>
        <v>1875.9055203190921</v>
      </c>
      <c r="BT4" s="91">
        <f>BS4+BQ4</f>
        <v>10558.145520319084</v>
      </c>
    </row>
    <row r="5" spans="1:72" ht="13.5">
      <c r="A5" s="16">
        <v>2</v>
      </c>
      <c r="B5" s="16" t="s">
        <v>39</v>
      </c>
      <c r="C5" s="17" t="s">
        <v>40</v>
      </c>
      <c r="D5" s="13" t="s">
        <v>41</v>
      </c>
      <c r="E5" s="18" t="s">
        <v>42</v>
      </c>
      <c r="F5" s="54" t="s">
        <v>45</v>
      </c>
      <c r="G5" s="55" t="s">
        <v>46</v>
      </c>
      <c r="H5" s="53">
        <v>347235.6</v>
      </c>
      <c r="I5" s="53">
        <v>420383.2</v>
      </c>
      <c r="J5" s="53">
        <v>425260.79999999999</v>
      </c>
      <c r="K5" s="53">
        <v>73147.600000000006</v>
      </c>
      <c r="L5" s="53">
        <v>4877.6000000000004</v>
      </c>
      <c r="M5" s="53">
        <v>428962</v>
      </c>
      <c r="N5" s="53">
        <v>434476.79999999999</v>
      </c>
      <c r="O5" s="53">
        <v>441850</v>
      </c>
      <c r="P5" s="53">
        <v>445489.6</v>
      </c>
      <c r="Q5" s="53">
        <v>456083.6</v>
      </c>
      <c r="R5" s="53">
        <v>457800</v>
      </c>
      <c r="S5" s="53">
        <v>463536.8</v>
      </c>
      <c r="T5" s="71">
        <v>470326</v>
      </c>
      <c r="U5" s="34">
        <v>477266</v>
      </c>
      <c r="V5" s="34">
        <v>480361.6</v>
      </c>
      <c r="W5" s="72">
        <v>483683.2</v>
      </c>
      <c r="X5" s="72">
        <v>491340</v>
      </c>
      <c r="Y5" s="30">
        <f t="shared" si="0"/>
        <v>8578.7999999999884</v>
      </c>
      <c r="Z5" s="31">
        <f t="shared" si="1"/>
        <v>1.9421173946894025E-2</v>
      </c>
      <c r="AA5" s="30">
        <f t="shared" si="2"/>
        <v>2660.0391513281152</v>
      </c>
      <c r="AB5" s="30">
        <f t="shared" si="3"/>
        <v>11238.839151328104</v>
      </c>
      <c r="AC5" s="30">
        <f t="shared" si="4"/>
        <v>5514.7999999999884</v>
      </c>
      <c r="AD5" s="31">
        <f t="shared" si="5"/>
        <v>1.5516009881426067E-2</v>
      </c>
      <c r="AE5" s="30">
        <f t="shared" si="6"/>
        <v>107.687780461344</v>
      </c>
      <c r="AF5" s="30">
        <f t="shared" si="7"/>
        <v>5622.4877804613325</v>
      </c>
      <c r="AG5" s="30">
        <f t="shared" si="8"/>
        <v>7373.2000000000116</v>
      </c>
      <c r="AH5" s="31">
        <f t="shared" si="9"/>
        <v>2.541285637824197E-2</v>
      </c>
      <c r="AI5" s="30">
        <f t="shared" si="10"/>
        <v>2391.1055676427659</v>
      </c>
      <c r="AJ5" s="30">
        <f t="shared" si="11"/>
        <v>9764.3055676427775</v>
      </c>
      <c r="AK5" s="30">
        <f t="shared" si="12"/>
        <v>3639.5999999999767</v>
      </c>
      <c r="AL5" s="31">
        <f t="shared" si="13"/>
        <v>8.8496530603371978E-3</v>
      </c>
      <c r="AM5" s="30">
        <f t="shared" si="14"/>
        <v>366.60254180243129</v>
      </c>
      <c r="AN5" s="30">
        <f t="shared" si="15"/>
        <v>4006.2025418024082</v>
      </c>
      <c r="AO5" s="30">
        <f t="shared" si="16"/>
        <v>10594</v>
      </c>
      <c r="AP5" s="31">
        <f t="shared" si="17"/>
        <v>2.9251504958729243E-2</v>
      </c>
      <c r="AQ5" s="30">
        <f t="shared" si="18"/>
        <v>2548.613423442172</v>
      </c>
      <c r="AR5" s="30">
        <f t="shared" si="19"/>
        <v>13142.613423442172</v>
      </c>
      <c r="AS5" s="92">
        <f t="shared" si="20"/>
        <v>1716.4000000000233</v>
      </c>
      <c r="AT5" s="93">
        <f t="shared" si="21"/>
        <v>3.6234705725276093E-3</v>
      </c>
      <c r="AU5" s="94">
        <f t="shared" si="22"/>
        <v>429.28520463964333</v>
      </c>
      <c r="AV5" s="94">
        <f t="shared" si="23"/>
        <v>2145.6852046396666</v>
      </c>
      <c r="AW5" s="103">
        <f t="shared" si="24"/>
        <v>5736.7999999999884</v>
      </c>
      <c r="AX5" s="93">
        <f t="shared" si="25"/>
        <v>1.2367542014621433E-2</v>
      </c>
      <c r="AY5" s="103">
        <f t="shared" si="26"/>
        <v>1277.9956254412009</v>
      </c>
      <c r="AZ5" s="103">
        <f t="shared" si="27"/>
        <v>7014.7956254411893</v>
      </c>
      <c r="BA5" s="103">
        <f t="shared" si="28"/>
        <v>6789.2000000000116</v>
      </c>
      <c r="BB5" s="90">
        <f t="shared" ref="BB5:BB11" si="30">BA5/$BA$65</f>
        <v>1.9327308215139401E-2</v>
      </c>
      <c r="BC5" s="103">
        <f t="shared" ref="BC5:BC11" si="31">BB5*$BA$67</f>
        <v>1670.6527153897309</v>
      </c>
      <c r="BD5" s="103">
        <f t="shared" si="29"/>
        <v>8459.852715389743</v>
      </c>
      <c r="BE5" s="103">
        <f t="shared" ref="BE5:BE36" si="32">U5-T5</f>
        <v>6940</v>
      </c>
      <c r="BF5" s="93">
        <f t="shared" ref="BF5:BF36" si="33">BE5/$BE$65</f>
        <v>1.8000823835975038E-2</v>
      </c>
      <c r="BG5" s="103">
        <f t="shared" ref="BG5:BG36" si="34">BF5*$BE$67</f>
        <v>1398.773637072421</v>
      </c>
      <c r="BH5" s="103">
        <f t="shared" ref="BH5:BH36" si="35">BG5+BE5</f>
        <v>8338.7736370724215</v>
      </c>
      <c r="BI5" s="103">
        <f t="shared" ref="BI5:BI36" si="36">V5-U5</f>
        <v>3095.5999999999767</v>
      </c>
      <c r="BJ5" s="90">
        <f t="shared" ref="BJ5:BJ36" si="37">BI5/$BI$65</f>
        <v>6.4270291663923052E-3</v>
      </c>
      <c r="BK5" s="102">
        <f t="shared" ref="BK5:BK36" si="38">BJ5*$BI$67</f>
        <v>724.51687700778064</v>
      </c>
      <c r="BL5" s="102">
        <f t="shared" ref="BL5:BL36" si="39">BK5+BI5</f>
        <v>3820.1168770077575</v>
      </c>
      <c r="BM5" s="94">
        <f t="shared" ref="BM5:BM36" si="40">W5-V5</f>
        <v>3321.6000000000349</v>
      </c>
      <c r="BN5" s="90">
        <f t="shared" ref="BN5:BN36" si="41">BM5/$BM$65</f>
        <v>8.5704923902176818E-3</v>
      </c>
      <c r="BO5" s="94">
        <f t="shared" ref="BO5:BO36" si="42">BN5*$BM$67</f>
        <v>841.25956377649732</v>
      </c>
      <c r="BP5" s="94">
        <f t="shared" ref="BP5:BP36" si="43">BO5+BM5</f>
        <v>4162.859563776532</v>
      </c>
      <c r="BQ5" s="94">
        <f t="shared" ref="BQ5:BQ36" si="44">X5-W5</f>
        <v>7656.7999999999884</v>
      </c>
      <c r="BR5" s="90">
        <f t="shared" ref="BR5:BR36" si="45">BQ5/$BQ$65</f>
        <v>1.454512103872314E-2</v>
      </c>
      <c r="BS5" s="94">
        <f t="shared" ref="BS5:BS36" si="46">BR5*$BQ$67</f>
        <v>1654.3465036648627</v>
      </c>
      <c r="BT5" s="94">
        <f t="shared" ref="BT5:BT36" si="47">BS5+BQ5</f>
        <v>9311.1465036648515</v>
      </c>
    </row>
    <row r="6" spans="1:72" ht="13.5">
      <c r="A6" s="11">
        <v>3</v>
      </c>
      <c r="B6" s="16" t="s">
        <v>39</v>
      </c>
      <c r="C6" s="17" t="s">
        <v>40</v>
      </c>
      <c r="D6" s="13" t="s">
        <v>41</v>
      </c>
      <c r="E6" s="18" t="s">
        <v>42</v>
      </c>
      <c r="F6" s="54" t="s">
        <v>47</v>
      </c>
      <c r="G6" s="55" t="s">
        <v>48</v>
      </c>
      <c r="H6" s="53">
        <v>613287.80000000005</v>
      </c>
      <c r="I6" s="53">
        <v>750382.32</v>
      </c>
      <c r="J6" s="53">
        <v>760395.12</v>
      </c>
      <c r="K6" s="53">
        <v>137094.51999999999</v>
      </c>
      <c r="L6" s="53">
        <v>10012.799999999999</v>
      </c>
      <c r="M6" s="53">
        <v>769121.52</v>
      </c>
      <c r="N6" s="53">
        <v>780237.92</v>
      </c>
      <c r="O6" s="53">
        <v>794775.52</v>
      </c>
      <c r="P6" s="53">
        <v>801874.96</v>
      </c>
      <c r="Q6" s="53">
        <v>824147.92</v>
      </c>
      <c r="R6" s="53">
        <v>828082.08</v>
      </c>
      <c r="S6" s="53">
        <v>838343.04</v>
      </c>
      <c r="T6" s="71">
        <v>849287.76</v>
      </c>
      <c r="U6" s="34">
        <v>862748.16000000003</v>
      </c>
      <c r="V6" s="34">
        <v>868284</v>
      </c>
      <c r="W6" s="72">
        <v>874111.92</v>
      </c>
      <c r="X6" s="72">
        <v>886536.4</v>
      </c>
      <c r="Y6" s="30">
        <f t="shared" si="0"/>
        <v>18739.20000000007</v>
      </c>
      <c r="Z6" s="31">
        <f t="shared" si="1"/>
        <v>4.2422863666904273E-2</v>
      </c>
      <c r="AA6" s="30">
        <f t="shared" si="2"/>
        <v>5810.4869754007632</v>
      </c>
      <c r="AB6" s="30">
        <f t="shared" si="3"/>
        <v>24549.686975400833</v>
      </c>
      <c r="AC6" s="30">
        <f t="shared" si="4"/>
        <v>11116.400000000023</v>
      </c>
      <c r="AD6" s="31">
        <f t="shared" si="5"/>
        <v>3.1276233452869631E-2</v>
      </c>
      <c r="AE6" s="30">
        <f t="shared" si="6"/>
        <v>217.07050894329612</v>
      </c>
      <c r="AF6" s="30">
        <f t="shared" si="7"/>
        <v>11333.470508943319</v>
      </c>
      <c r="AG6" s="30">
        <f t="shared" si="8"/>
        <v>14537.599999999977</v>
      </c>
      <c r="AH6" s="31">
        <f t="shared" si="9"/>
        <v>5.0106051766441881E-2</v>
      </c>
      <c r="AI6" s="30">
        <f t="shared" si="10"/>
        <v>4714.4979520646884</v>
      </c>
      <c r="AJ6" s="30">
        <f t="shared" si="11"/>
        <v>19252.097952064665</v>
      </c>
      <c r="AK6" s="30">
        <f t="shared" si="12"/>
        <v>7099.4399999999441</v>
      </c>
      <c r="AL6" s="31">
        <f t="shared" si="13"/>
        <v>1.7262221376711788E-2</v>
      </c>
      <c r="AM6" s="30">
        <f t="shared" si="14"/>
        <v>715.09856835197525</v>
      </c>
      <c r="AN6" s="30">
        <f t="shared" si="15"/>
        <v>7814.5385683519198</v>
      </c>
      <c r="AO6" s="30">
        <f t="shared" si="16"/>
        <v>22272.960000000079</v>
      </c>
      <c r="AP6" s="31">
        <f t="shared" si="17"/>
        <v>6.1498735122293785E-2</v>
      </c>
      <c r="AQ6" s="30">
        <f t="shared" si="18"/>
        <v>5358.2371942411519</v>
      </c>
      <c r="AR6" s="30">
        <f t="shared" si="19"/>
        <v>27631.197194241231</v>
      </c>
      <c r="AS6" s="92">
        <f t="shared" si="20"/>
        <v>3934.1599999999162</v>
      </c>
      <c r="AT6" s="93">
        <f t="shared" si="21"/>
        <v>8.3053559704117461E-3</v>
      </c>
      <c r="AU6" s="94">
        <f t="shared" si="22"/>
        <v>983.96450750701479</v>
      </c>
      <c r="AV6" s="94">
        <f t="shared" si="23"/>
        <v>4918.124507506931</v>
      </c>
      <c r="AW6" s="103">
        <f t="shared" si="24"/>
        <v>10260.960000000079</v>
      </c>
      <c r="AX6" s="93">
        <f t="shared" si="25"/>
        <v>2.2120843311663502E-2</v>
      </c>
      <c r="AY6" s="103">
        <f t="shared" si="26"/>
        <v>2285.8496013155896</v>
      </c>
      <c r="AZ6" s="103">
        <f t="shared" si="27"/>
        <v>12546.809601315668</v>
      </c>
      <c r="BA6" s="103">
        <f t="shared" si="28"/>
        <v>10944.719999999972</v>
      </c>
      <c r="BB6" s="90">
        <f t="shared" si="30"/>
        <v>3.1157128493548517E-2</v>
      </c>
      <c r="BC6" s="103">
        <f t="shared" si="31"/>
        <v>2693.2224985536172</v>
      </c>
      <c r="BD6" s="103">
        <f t="shared" si="29"/>
        <v>13637.94249855359</v>
      </c>
      <c r="BE6" s="103">
        <f t="shared" si="32"/>
        <v>13460.400000000023</v>
      </c>
      <c r="BF6" s="93">
        <f t="shared" si="33"/>
        <v>3.4913298150109344E-2</v>
      </c>
      <c r="BG6" s="103">
        <f t="shared" si="34"/>
        <v>2712.9758882492292</v>
      </c>
      <c r="BH6" s="103">
        <f t="shared" si="35"/>
        <v>16173.375888249253</v>
      </c>
      <c r="BI6" s="103">
        <f t="shared" si="36"/>
        <v>5535.8399999999674</v>
      </c>
      <c r="BJ6" s="90">
        <f t="shared" si="37"/>
        <v>1.1493411661868857E-2</v>
      </c>
      <c r="BK6" s="102">
        <f t="shared" si="38"/>
        <v>1295.6485038166297</v>
      </c>
      <c r="BL6" s="102">
        <f t="shared" si="39"/>
        <v>6831.4885038165976</v>
      </c>
      <c r="BM6" s="94">
        <f t="shared" si="40"/>
        <v>5827.9200000000419</v>
      </c>
      <c r="BN6" s="90">
        <f t="shared" si="41"/>
        <v>1.5037374762402836E-2</v>
      </c>
      <c r="BO6" s="94">
        <f t="shared" si="42"/>
        <v>1476.033669594264</v>
      </c>
      <c r="BP6" s="94">
        <f t="shared" si="43"/>
        <v>7303.9536695943061</v>
      </c>
      <c r="BQ6" s="94">
        <f t="shared" si="44"/>
        <v>12424.479999999981</v>
      </c>
      <c r="BR6" s="90">
        <f t="shared" si="45"/>
        <v>2.3601970202068084E-2</v>
      </c>
      <c r="BS6" s="94">
        <f t="shared" si="46"/>
        <v>2684.4628366751144</v>
      </c>
      <c r="BT6" s="94">
        <f t="shared" si="47"/>
        <v>15108.942836675096</v>
      </c>
    </row>
    <row r="7" spans="1:72" ht="40.5">
      <c r="A7" s="16">
        <v>4</v>
      </c>
      <c r="B7" s="16" t="s">
        <v>49</v>
      </c>
      <c r="C7" s="17" t="s">
        <v>50</v>
      </c>
      <c r="D7" s="13" t="s">
        <v>41</v>
      </c>
      <c r="E7" s="20" t="s">
        <v>49</v>
      </c>
      <c r="F7" s="54" t="s">
        <v>51</v>
      </c>
      <c r="G7" s="55" t="s">
        <v>52</v>
      </c>
      <c r="H7" s="53">
        <v>108339.36</v>
      </c>
      <c r="I7" s="53">
        <v>200938.38</v>
      </c>
      <c r="J7" s="53">
        <v>205176.51</v>
      </c>
      <c r="K7" s="53">
        <v>92599.02</v>
      </c>
      <c r="L7" s="53">
        <v>4238.13</v>
      </c>
      <c r="M7" s="53">
        <v>207332.65</v>
      </c>
      <c r="N7" s="53">
        <v>215194.73</v>
      </c>
      <c r="O7" s="53">
        <v>222641.13</v>
      </c>
      <c r="P7" s="53">
        <v>229884.55</v>
      </c>
      <c r="Q7" s="53">
        <v>238873.9</v>
      </c>
      <c r="R7" s="53">
        <v>245959.05</v>
      </c>
      <c r="S7" s="53">
        <v>252787.55</v>
      </c>
      <c r="T7" s="71">
        <v>260120.12</v>
      </c>
      <c r="U7" s="34">
        <v>268882.08</v>
      </c>
      <c r="V7" s="34">
        <v>276535.56</v>
      </c>
      <c r="W7" s="72">
        <v>282975.06</v>
      </c>
      <c r="X7" s="72">
        <v>292377.08</v>
      </c>
      <c r="Y7" s="30">
        <f t="shared" si="0"/>
        <v>6394.2699999999895</v>
      </c>
      <c r="Z7" s="31">
        <f t="shared" si="1"/>
        <v>1.4475711047396608E-2</v>
      </c>
      <c r="AA7" s="30">
        <f t="shared" si="2"/>
        <v>1982.6792260179539</v>
      </c>
      <c r="AB7" s="30">
        <f t="shared" si="3"/>
        <v>8376.9492260179431</v>
      </c>
      <c r="AC7" s="30">
        <f t="shared" si="4"/>
        <v>7862.0800000000163</v>
      </c>
      <c r="AD7" s="31">
        <f t="shared" si="5"/>
        <v>2.2120133272024872E-2</v>
      </c>
      <c r="AE7" s="30">
        <f t="shared" si="6"/>
        <v>153.52323656515685</v>
      </c>
      <c r="AF7" s="30">
        <f t="shared" si="7"/>
        <v>8015.6032365651736</v>
      </c>
      <c r="AG7" s="30">
        <f t="shared" si="8"/>
        <v>7446.3999999999942</v>
      </c>
      <c r="AH7" s="31">
        <f t="shared" si="9"/>
        <v>2.5665151323026714E-2</v>
      </c>
      <c r="AI7" s="30">
        <f t="shared" si="10"/>
        <v>2414.8440973925908</v>
      </c>
      <c r="AJ7" s="30">
        <f t="shared" si="11"/>
        <v>9861.2440973925841</v>
      </c>
      <c r="AK7" s="30">
        <f t="shared" si="12"/>
        <v>7243.4199999999837</v>
      </c>
      <c r="AL7" s="31">
        <f t="shared" si="13"/>
        <v>1.761230738825913E-2</v>
      </c>
      <c r="AM7" s="30">
        <f t="shared" si="14"/>
        <v>729.60110543537144</v>
      </c>
      <c r="AN7" s="30">
        <f t="shared" si="15"/>
        <v>7973.0211054353549</v>
      </c>
      <c r="AO7" s="30">
        <f t="shared" si="16"/>
        <v>8989.3500000000058</v>
      </c>
      <c r="AP7" s="31">
        <f t="shared" si="17"/>
        <v>2.4820843505829044E-2</v>
      </c>
      <c r="AQ7" s="30">
        <f t="shared" si="18"/>
        <v>2162.5805246384657</v>
      </c>
      <c r="AR7" s="30">
        <f t="shared" si="19"/>
        <v>11151.930524638472</v>
      </c>
      <c r="AS7" s="92">
        <f t="shared" si="20"/>
        <v>7085.1499999999942</v>
      </c>
      <c r="AT7" s="93">
        <f t="shared" si="21"/>
        <v>1.495737154913984E-2</v>
      </c>
      <c r="AU7" s="94">
        <f t="shared" si="22"/>
        <v>1772.0520086533006</v>
      </c>
      <c r="AV7" s="94">
        <f t="shared" si="23"/>
        <v>8857.2020086532939</v>
      </c>
      <c r="AW7" s="103">
        <f t="shared" si="24"/>
        <v>6828.5</v>
      </c>
      <c r="AX7" s="93">
        <f t="shared" si="25"/>
        <v>1.4721057148034206E-2</v>
      </c>
      <c r="AY7" s="103">
        <f t="shared" si="26"/>
        <v>1521.1952880221131</v>
      </c>
      <c r="AZ7" s="103">
        <f t="shared" si="27"/>
        <v>8349.6952880221124</v>
      </c>
      <c r="BA7" s="103">
        <f t="shared" si="28"/>
        <v>7332.570000000007</v>
      </c>
      <c r="BB7" s="90">
        <f t="shared" si="30"/>
        <v>2.0874159017127879E-2</v>
      </c>
      <c r="BC7" s="103">
        <f t="shared" si="31"/>
        <v>1804.362514182123</v>
      </c>
      <c r="BD7" s="103">
        <f t="shared" si="29"/>
        <v>9136.93251418213</v>
      </c>
      <c r="BE7" s="103">
        <f t="shared" si="32"/>
        <v>8761.960000000021</v>
      </c>
      <c r="BF7" s="93">
        <f t="shared" si="33"/>
        <v>2.2726584786435192E-2</v>
      </c>
      <c r="BG7" s="103">
        <f t="shared" si="34"/>
        <v>1765.994042807363</v>
      </c>
      <c r="BH7" s="103">
        <f t="shared" si="35"/>
        <v>10527.954042807383</v>
      </c>
      <c r="BI7" s="103">
        <f t="shared" si="36"/>
        <v>7653.4799999999814</v>
      </c>
      <c r="BJ7" s="90">
        <f t="shared" si="37"/>
        <v>1.5890017826721937E-2</v>
      </c>
      <c r="BK7" s="102">
        <f t="shared" si="38"/>
        <v>1791.2764659004836</v>
      </c>
      <c r="BL7" s="102">
        <f t="shared" si="39"/>
        <v>9444.7564659004656</v>
      </c>
      <c r="BM7" s="94">
        <f t="shared" si="40"/>
        <v>6439.5</v>
      </c>
      <c r="BN7" s="90">
        <f t="shared" si="41"/>
        <v>1.6615391903542321E-2</v>
      </c>
      <c r="BO7" s="94">
        <f t="shared" si="42"/>
        <v>1630.9281553885767</v>
      </c>
      <c r="BP7" s="94">
        <f t="shared" si="43"/>
        <v>8070.4281553885767</v>
      </c>
      <c r="BQ7" s="94">
        <f t="shared" si="44"/>
        <v>9402.0200000000186</v>
      </c>
      <c r="BR7" s="90">
        <f t="shared" si="45"/>
        <v>1.7860401069441048E-2</v>
      </c>
      <c r="BS7" s="94">
        <f t="shared" si="46"/>
        <v>2031.4229070090855</v>
      </c>
      <c r="BT7" s="94">
        <f t="shared" si="47"/>
        <v>11433.442907009105</v>
      </c>
    </row>
    <row r="8" spans="1:72" ht="13.5">
      <c r="A8" s="11">
        <v>5</v>
      </c>
      <c r="B8" s="16" t="s">
        <v>39</v>
      </c>
      <c r="C8" s="17" t="s">
        <v>40</v>
      </c>
      <c r="D8" s="13" t="s">
        <v>41</v>
      </c>
      <c r="E8" s="18" t="s">
        <v>42</v>
      </c>
      <c r="F8" s="54" t="s">
        <v>53</v>
      </c>
      <c r="G8" s="55" t="s">
        <v>54</v>
      </c>
      <c r="H8" s="53">
        <v>17570.45</v>
      </c>
      <c r="I8" s="53">
        <v>18288.05</v>
      </c>
      <c r="J8" s="53">
        <v>18314.55</v>
      </c>
      <c r="K8" s="53">
        <v>717.6</v>
      </c>
      <c r="L8" s="53">
        <v>26.5</v>
      </c>
      <c r="M8" s="53">
        <v>18346.75</v>
      </c>
      <c r="N8" s="53">
        <v>18389.05</v>
      </c>
      <c r="O8" s="53">
        <v>18433.25</v>
      </c>
      <c r="P8" s="53">
        <v>18451.7</v>
      </c>
      <c r="Q8" s="53">
        <v>18518.2</v>
      </c>
      <c r="R8" s="53">
        <v>18547.45</v>
      </c>
      <c r="S8" s="53">
        <v>18597.7</v>
      </c>
      <c r="T8" s="71">
        <v>18643.8</v>
      </c>
      <c r="U8" s="34">
        <v>18709.45</v>
      </c>
      <c r="V8" s="34">
        <v>18737.95</v>
      </c>
      <c r="W8" s="72">
        <v>18766.060000000001</v>
      </c>
      <c r="X8" s="72">
        <v>18944.650000000001</v>
      </c>
      <c r="Y8" s="30">
        <f t="shared" si="0"/>
        <v>58.700000000000728</v>
      </c>
      <c r="Z8" s="31">
        <f t="shared" si="1"/>
        <v>1.3288838889852835E-4</v>
      </c>
      <c r="AA8" s="30">
        <f t="shared" si="2"/>
        <v>18.201181771688642</v>
      </c>
      <c r="AB8" s="30">
        <f t="shared" si="3"/>
        <v>76.901181771689366</v>
      </c>
      <c r="AC8" s="30">
        <f t="shared" si="4"/>
        <v>42.299999999999272</v>
      </c>
      <c r="AD8" s="31">
        <f t="shared" si="5"/>
        <v>1.1901197105684934E-4</v>
      </c>
      <c r="AE8" s="30">
        <f t="shared" si="6"/>
        <v>0.82599425428207418</v>
      </c>
      <c r="AF8" s="30">
        <f t="shared" si="7"/>
        <v>43.125994254281345</v>
      </c>
      <c r="AG8" s="30">
        <f t="shared" si="8"/>
        <v>44.200000000000728</v>
      </c>
      <c r="AH8" s="31">
        <f t="shared" si="9"/>
        <v>1.5234202950120869E-4</v>
      </c>
      <c r="AI8" s="30">
        <f t="shared" si="10"/>
        <v>14.333920969160179</v>
      </c>
      <c r="AJ8" s="30">
        <f t="shared" si="11"/>
        <v>58.533920969160903</v>
      </c>
      <c r="AK8" s="30">
        <f t="shared" si="12"/>
        <v>18.450000000000728</v>
      </c>
      <c r="AL8" s="31">
        <f t="shared" si="13"/>
        <v>4.4861000924065494E-5</v>
      </c>
      <c r="AM8" s="30">
        <f t="shared" si="14"/>
        <v>1.8583956743200261</v>
      </c>
      <c r="AN8" s="30">
        <f t="shared" si="15"/>
        <v>20.308395674320753</v>
      </c>
      <c r="AO8" s="30">
        <f t="shared" si="16"/>
        <v>66.5</v>
      </c>
      <c r="AP8" s="31">
        <f t="shared" si="17"/>
        <v>1.8361573341093966E-4</v>
      </c>
      <c r="AQ8" s="30">
        <f t="shared" si="18"/>
        <v>15.997998174334949</v>
      </c>
      <c r="AR8" s="30">
        <f t="shared" si="19"/>
        <v>82.497998174334953</v>
      </c>
      <c r="AS8" s="92">
        <f t="shared" si="20"/>
        <v>29.25</v>
      </c>
      <c r="AT8" s="93">
        <f t="shared" si="21"/>
        <v>6.1749309162451141E-5</v>
      </c>
      <c r="AU8" s="94">
        <f t="shared" si="22"/>
        <v>7.3156561615645526</v>
      </c>
      <c r="AV8" s="94">
        <f t="shared" si="23"/>
        <v>36.565656161564554</v>
      </c>
      <c r="AW8" s="103">
        <f t="shared" si="24"/>
        <v>50.25</v>
      </c>
      <c r="AX8" s="93">
        <f t="shared" si="25"/>
        <v>1.0833025140055925E-4</v>
      </c>
      <c r="AY8" s="103">
        <f t="shared" si="26"/>
        <v>11.194268612888802</v>
      </c>
      <c r="AZ8" s="103">
        <f t="shared" si="27"/>
        <v>61.444268612888806</v>
      </c>
      <c r="BA8" s="103">
        <f t="shared" si="28"/>
        <v>46.099999999998545</v>
      </c>
      <c r="BB8" s="90">
        <f t="shared" si="30"/>
        <v>1.3123621468183241E-4</v>
      </c>
      <c r="BC8" s="103">
        <f t="shared" si="31"/>
        <v>11.344059709459733</v>
      </c>
      <c r="BD8" s="103">
        <f t="shared" si="29"/>
        <v>57.44405970945828</v>
      </c>
      <c r="BE8" s="103">
        <f t="shared" si="32"/>
        <v>65.650000000001455</v>
      </c>
      <c r="BF8" s="93">
        <f t="shared" si="33"/>
        <v>1.7028156841956594E-4</v>
      </c>
      <c r="BG8" s="103">
        <f t="shared" si="34"/>
        <v>13.231914880951942</v>
      </c>
      <c r="BH8" s="103">
        <f t="shared" si="35"/>
        <v>78.881914880953403</v>
      </c>
      <c r="BI8" s="103">
        <f t="shared" si="36"/>
        <v>28.5</v>
      </c>
      <c r="BJ8" s="90">
        <f t="shared" si="37"/>
        <v>5.9171188539275765E-5</v>
      </c>
      <c r="BK8" s="102">
        <f t="shared" si="38"/>
        <v>6.6703485575403487</v>
      </c>
      <c r="BL8" s="102">
        <f t="shared" si="39"/>
        <v>35.17034855754035</v>
      </c>
      <c r="BM8" s="94">
        <f t="shared" si="40"/>
        <v>28.110000000000582</v>
      </c>
      <c r="BN8" s="90">
        <f t="shared" si="41"/>
        <v>7.2530268873139897E-5</v>
      </c>
      <c r="BO8" s="94">
        <f t="shared" si="42"/>
        <v>7.1194021970609285</v>
      </c>
      <c r="BP8" s="94">
        <f t="shared" si="43"/>
        <v>35.229402197061511</v>
      </c>
      <c r="BQ8" s="94">
        <f t="shared" si="44"/>
        <v>178.59000000000015</v>
      </c>
      <c r="BR8" s="90">
        <f t="shared" si="45"/>
        <v>3.3925571600480249E-4</v>
      </c>
      <c r="BS8" s="94">
        <f t="shared" si="46"/>
        <v>38.586582134770204</v>
      </c>
      <c r="BT8" s="94">
        <f t="shared" si="47"/>
        <v>217.17658213477034</v>
      </c>
    </row>
    <row r="9" spans="1:72" ht="40.5">
      <c r="A9" s="16">
        <v>6</v>
      </c>
      <c r="B9" s="16" t="s">
        <v>49</v>
      </c>
      <c r="C9" s="17" t="s">
        <v>50</v>
      </c>
      <c r="D9" s="13" t="s">
        <v>41</v>
      </c>
      <c r="E9" s="20" t="s">
        <v>49</v>
      </c>
      <c r="F9" s="54" t="s">
        <v>55</v>
      </c>
      <c r="G9" s="55" t="s">
        <v>56</v>
      </c>
      <c r="H9" s="53">
        <v>36348.120000000003</v>
      </c>
      <c r="I9" s="53">
        <v>66063.679999999993</v>
      </c>
      <c r="J9" s="53">
        <v>67099.02</v>
      </c>
      <c r="K9" s="53">
        <v>29715.56</v>
      </c>
      <c r="L9" s="53">
        <v>1035.3399999999999</v>
      </c>
      <c r="M9" s="53">
        <v>67403.03</v>
      </c>
      <c r="N9" s="53">
        <v>69293.63</v>
      </c>
      <c r="O9" s="53">
        <v>71101.429999999993</v>
      </c>
      <c r="P9" s="53">
        <v>72963.47</v>
      </c>
      <c r="Q9" s="53">
        <v>75226.070000000007</v>
      </c>
      <c r="R9" s="53">
        <v>77370.600000000006</v>
      </c>
      <c r="S9" s="53">
        <v>79294.490000000005</v>
      </c>
      <c r="T9" s="71">
        <v>81242.69</v>
      </c>
      <c r="U9" s="34">
        <v>83585.39</v>
      </c>
      <c r="V9" s="34">
        <v>86255.28</v>
      </c>
      <c r="W9" s="72">
        <v>89046.41</v>
      </c>
      <c r="X9" s="72">
        <v>91991.54</v>
      </c>
      <c r="Y9" s="30">
        <f t="shared" si="0"/>
        <v>1339.3500000000058</v>
      </c>
      <c r="Z9" s="31">
        <f t="shared" si="1"/>
        <v>3.032096485029685E-3</v>
      </c>
      <c r="AA9" s="30">
        <f t="shared" si="2"/>
        <v>415.29391492182259</v>
      </c>
      <c r="AB9" s="30">
        <f t="shared" si="3"/>
        <v>1754.6439149218284</v>
      </c>
      <c r="AC9" s="30">
        <f t="shared" si="4"/>
        <v>1890.6000000000058</v>
      </c>
      <c r="AD9" s="31">
        <f t="shared" si="5"/>
        <v>5.3192442666686506E-3</v>
      </c>
      <c r="AE9" s="30">
        <f t="shared" si="6"/>
        <v>36.917842485714445</v>
      </c>
      <c r="AF9" s="30">
        <f t="shared" si="7"/>
        <v>1927.5178424857202</v>
      </c>
      <c r="AG9" s="30">
        <f t="shared" si="8"/>
        <v>1807.7999999999884</v>
      </c>
      <c r="AH9" s="31">
        <f t="shared" si="9"/>
        <v>6.2308579396443157E-3</v>
      </c>
      <c r="AI9" s="30">
        <f t="shared" si="10"/>
        <v>586.26385357572804</v>
      </c>
      <c r="AJ9" s="30">
        <f t="shared" si="11"/>
        <v>2394.0638535757162</v>
      </c>
      <c r="AK9" s="30">
        <f t="shared" si="12"/>
        <v>1862.0400000000081</v>
      </c>
      <c r="AL9" s="31">
        <f t="shared" si="13"/>
        <v>4.5275326916338204E-3</v>
      </c>
      <c r="AM9" s="30">
        <f t="shared" si="14"/>
        <v>187.55593937185583</v>
      </c>
      <c r="AN9" s="30">
        <f t="shared" si="15"/>
        <v>2049.595939371864</v>
      </c>
      <c r="AO9" s="30">
        <f t="shared" si="16"/>
        <v>2262.6000000000058</v>
      </c>
      <c r="AP9" s="31">
        <f t="shared" si="17"/>
        <v>6.2473527581292194E-3</v>
      </c>
      <c r="AQ9" s="30">
        <f t="shared" si="18"/>
        <v>544.31685216917811</v>
      </c>
      <c r="AR9" s="30">
        <f t="shared" si="19"/>
        <v>2806.916852169184</v>
      </c>
      <c r="AS9" s="92">
        <f t="shared" si="20"/>
        <v>2144.5299999999988</v>
      </c>
      <c r="AT9" s="93">
        <f t="shared" si="21"/>
        <v>4.5272904607914959E-3</v>
      </c>
      <c r="AU9" s="94">
        <f t="shared" si="22"/>
        <v>536.36390113367588</v>
      </c>
      <c r="AV9" s="94">
        <f t="shared" si="23"/>
        <v>2680.8939011336747</v>
      </c>
      <c r="AW9" s="103">
        <f t="shared" si="24"/>
        <v>1923.8899999999994</v>
      </c>
      <c r="AX9" s="93">
        <f t="shared" si="25"/>
        <v>4.1475718879009325E-3</v>
      </c>
      <c r="AY9" s="103">
        <f t="shared" si="26"/>
        <v>428.58788938608217</v>
      </c>
      <c r="AZ9" s="103">
        <f t="shared" si="27"/>
        <v>2352.4778893860816</v>
      </c>
      <c r="BA9" s="103">
        <f t="shared" si="28"/>
        <v>1948.1999999999971</v>
      </c>
      <c r="BB9" s="90">
        <f t="shared" si="30"/>
        <v>5.5460822872701434E-3</v>
      </c>
      <c r="BC9" s="103">
        <f t="shared" si="31"/>
        <v>479.40340837245378</v>
      </c>
      <c r="BD9" s="103">
        <f t="shared" si="29"/>
        <v>2427.6034083724508</v>
      </c>
      <c r="BE9" s="103">
        <f t="shared" si="32"/>
        <v>2342.6999999999971</v>
      </c>
      <c r="BF9" s="93">
        <f t="shared" si="33"/>
        <v>6.076445245034391E-3</v>
      </c>
      <c r="BG9" s="103">
        <f t="shared" si="34"/>
        <v>472.17680109071426</v>
      </c>
      <c r="BH9" s="103">
        <f t="shared" si="35"/>
        <v>2814.8768010907115</v>
      </c>
      <c r="BI9" s="103">
        <f t="shared" si="36"/>
        <v>2669.8899999999994</v>
      </c>
      <c r="BJ9" s="90">
        <f t="shared" si="37"/>
        <v>5.543177704179893E-3</v>
      </c>
      <c r="BK9" s="102">
        <f t="shared" si="38"/>
        <v>624.88059334355785</v>
      </c>
      <c r="BL9" s="102">
        <f t="shared" si="39"/>
        <v>3294.7705933435573</v>
      </c>
      <c r="BM9" s="94">
        <f t="shared" si="40"/>
        <v>2791.1300000000047</v>
      </c>
      <c r="BN9" s="90">
        <f t="shared" si="41"/>
        <v>7.2017577146881217E-3</v>
      </c>
      <c r="BO9" s="94">
        <f t="shared" si="42"/>
        <v>706.90775717830979</v>
      </c>
      <c r="BP9" s="94">
        <f t="shared" si="43"/>
        <v>3498.0377571783147</v>
      </c>
      <c r="BQ9" s="94">
        <f t="shared" si="44"/>
        <v>2945.1299999999901</v>
      </c>
      <c r="BR9" s="90">
        <f t="shared" si="45"/>
        <v>5.5946704007907491E-3</v>
      </c>
      <c r="BS9" s="94">
        <f t="shared" si="46"/>
        <v>636.3318250886125</v>
      </c>
      <c r="BT9" s="94">
        <f t="shared" si="47"/>
        <v>3581.4618250886024</v>
      </c>
    </row>
    <row r="10" spans="1:72" ht="13.5">
      <c r="A10" s="11">
        <v>7</v>
      </c>
      <c r="B10" s="16" t="s">
        <v>39</v>
      </c>
      <c r="C10" s="17" t="s">
        <v>40</v>
      </c>
      <c r="D10" s="13" t="s">
        <v>41</v>
      </c>
      <c r="E10" s="18" t="s">
        <v>42</v>
      </c>
      <c r="F10" s="56" t="s">
        <v>57</v>
      </c>
      <c r="G10" s="57" t="s">
        <v>58</v>
      </c>
      <c r="H10" s="53">
        <v>107549.25</v>
      </c>
      <c r="I10" s="53">
        <v>27589.8</v>
      </c>
      <c r="J10" s="53">
        <v>160781.32999999999</v>
      </c>
      <c r="K10" s="53">
        <v>50761.74</v>
      </c>
      <c r="L10" s="53">
        <v>2470.34</v>
      </c>
      <c r="M10" s="53">
        <v>28538.400000000001</v>
      </c>
      <c r="N10" s="53">
        <v>29842.799999999999</v>
      </c>
      <c r="O10" s="53">
        <v>30793.8</v>
      </c>
      <c r="P10" s="53">
        <v>31824.6</v>
      </c>
      <c r="Q10" s="53">
        <v>32515.8</v>
      </c>
      <c r="R10" s="53">
        <v>33285</v>
      </c>
      <c r="S10" s="73">
        <v>34080</v>
      </c>
      <c r="T10" s="74">
        <v>34970.400000000001</v>
      </c>
      <c r="U10" s="34">
        <v>35949</v>
      </c>
      <c r="V10" s="34">
        <v>36898.199999999997</v>
      </c>
      <c r="W10" s="72">
        <v>37588.800000000003</v>
      </c>
      <c r="X10" s="72">
        <v>38508.6</v>
      </c>
      <c r="Y10" s="30">
        <f t="shared" si="0"/>
        <v>948.60000000000218</v>
      </c>
      <c r="Z10" s="31">
        <f t="shared" si="1"/>
        <v>2.1474944754538792E-3</v>
      </c>
      <c r="AA10" s="30">
        <f t="shared" si="2"/>
        <v>294.13357800040325</v>
      </c>
      <c r="AB10" s="30">
        <f t="shared" si="3"/>
        <v>1242.7335780004055</v>
      </c>
      <c r="AC10" s="30">
        <f t="shared" si="4"/>
        <v>1304.3999999999978</v>
      </c>
      <c r="AD10" s="31">
        <f t="shared" si="5"/>
        <v>3.6699578025190705E-3</v>
      </c>
      <c r="AE10" s="30">
        <f t="shared" si="6"/>
        <v>25.471085231336978</v>
      </c>
      <c r="AF10" s="30">
        <f t="shared" si="7"/>
        <v>1329.8710852313347</v>
      </c>
      <c r="AG10" s="30">
        <f t="shared" si="8"/>
        <v>951</v>
      </c>
      <c r="AH10" s="31">
        <f t="shared" si="9"/>
        <v>3.2777662908517434E-3</v>
      </c>
      <c r="AI10" s="30">
        <f t="shared" si="10"/>
        <v>308.40630863509284</v>
      </c>
      <c r="AJ10" s="30">
        <f t="shared" si="11"/>
        <v>1259.406308635093</v>
      </c>
      <c r="AK10" s="30">
        <f t="shared" si="12"/>
        <v>1030.7999999999993</v>
      </c>
      <c r="AL10" s="31">
        <f t="shared" si="13"/>
        <v>2.506380474391591E-3</v>
      </c>
      <c r="AM10" s="30">
        <f t="shared" si="14"/>
        <v>103.82841523517646</v>
      </c>
      <c r="AN10" s="30">
        <f t="shared" si="15"/>
        <v>1134.6284152351757</v>
      </c>
      <c r="AO10" s="30">
        <f t="shared" si="16"/>
        <v>691.20000000000073</v>
      </c>
      <c r="AP10" s="31">
        <f t="shared" si="17"/>
        <v>1.9084991719344603E-3</v>
      </c>
      <c r="AQ10" s="30">
        <f t="shared" si="18"/>
        <v>166.28295245263649</v>
      </c>
      <c r="AR10" s="30">
        <f t="shared" si="19"/>
        <v>857.48295245263716</v>
      </c>
      <c r="AS10" s="92">
        <f t="shared" si="20"/>
        <v>769.20000000000073</v>
      </c>
      <c r="AT10" s="95">
        <f t="shared" si="21"/>
        <v>1.6238484994105114E-3</v>
      </c>
      <c r="AU10" s="94">
        <f t="shared" si="22"/>
        <v>192.38299895642592</v>
      </c>
      <c r="AV10" s="94">
        <f t="shared" si="23"/>
        <v>961.58299895642665</v>
      </c>
      <c r="AW10" s="103">
        <f t="shared" si="24"/>
        <v>795</v>
      </c>
      <c r="AX10" s="95">
        <f t="shared" si="25"/>
        <v>1.7138815893222806E-3</v>
      </c>
      <c r="AY10" s="103">
        <f t="shared" si="26"/>
        <v>177.10335417406165</v>
      </c>
      <c r="AZ10" s="103">
        <f t="shared" si="27"/>
        <v>972.10335417406168</v>
      </c>
      <c r="BA10" s="103">
        <f t="shared" si="28"/>
        <v>890.40000000000146</v>
      </c>
      <c r="BB10" s="104">
        <f t="shared" si="30"/>
        <v>2.5347662809697934E-3</v>
      </c>
      <c r="BC10" s="103">
        <f t="shared" si="31"/>
        <v>219.10522267469162</v>
      </c>
      <c r="BD10" s="103">
        <f t="shared" si="29"/>
        <v>1109.505222674693</v>
      </c>
      <c r="BE10" s="103">
        <f t="shared" si="32"/>
        <v>978.59999999999854</v>
      </c>
      <c r="BF10" s="95">
        <f t="shared" si="33"/>
        <v>2.5382717875915197E-3</v>
      </c>
      <c r="BG10" s="103">
        <f t="shared" si="34"/>
        <v>197.23917597104744</v>
      </c>
      <c r="BH10" s="103">
        <f t="shared" si="35"/>
        <v>1175.839175971046</v>
      </c>
      <c r="BI10" s="103">
        <f t="shared" si="36"/>
        <v>949.19999999999709</v>
      </c>
      <c r="BJ10" s="104">
        <f t="shared" si="37"/>
        <v>1.9707120056659784E-3</v>
      </c>
      <c r="BK10" s="102">
        <f t="shared" si="38"/>
        <v>222.15771406376419</v>
      </c>
      <c r="BL10" s="102">
        <f t="shared" si="39"/>
        <v>1171.3577140637613</v>
      </c>
      <c r="BM10" s="94">
        <f t="shared" si="40"/>
        <v>690.60000000000582</v>
      </c>
      <c r="BN10" s="104">
        <f t="shared" si="41"/>
        <v>1.7819069257840553E-3</v>
      </c>
      <c r="BO10" s="94">
        <f t="shared" si="42"/>
        <v>174.90783199182556</v>
      </c>
      <c r="BP10" s="94">
        <f t="shared" si="43"/>
        <v>865.50783199183138</v>
      </c>
      <c r="BQ10" s="94">
        <f t="shared" si="44"/>
        <v>919.79999999999563</v>
      </c>
      <c r="BR10" s="90">
        <f t="shared" si="45"/>
        <v>1.7472837649432534E-3</v>
      </c>
      <c r="BS10" s="94">
        <f t="shared" si="46"/>
        <v>198.73418583101764</v>
      </c>
      <c r="BT10" s="94">
        <f t="shared" si="47"/>
        <v>1118.5341858310132</v>
      </c>
    </row>
    <row r="11" spans="1:72" ht="13.5">
      <c r="A11" s="11">
        <v>8</v>
      </c>
      <c r="B11" s="16" t="s">
        <v>49</v>
      </c>
      <c r="C11" s="17" t="s">
        <v>50</v>
      </c>
      <c r="D11" s="13" t="s">
        <v>41</v>
      </c>
      <c r="E11" s="20" t="s">
        <v>49</v>
      </c>
      <c r="F11" s="56" t="s">
        <v>59</v>
      </c>
      <c r="G11" s="57" t="s">
        <v>60</v>
      </c>
      <c r="H11" s="53"/>
      <c r="I11" s="53">
        <v>130565.93</v>
      </c>
      <c r="J11" s="53"/>
      <c r="K11" s="53"/>
      <c r="L11" s="53"/>
      <c r="M11" s="53">
        <v>133055.03</v>
      </c>
      <c r="N11" s="53">
        <v>136572.96</v>
      </c>
      <c r="O11" s="53">
        <v>139700</v>
      </c>
      <c r="P11" s="53">
        <v>143449.57999999999</v>
      </c>
      <c r="Q11" s="53">
        <v>147155.38</v>
      </c>
      <c r="R11" s="53">
        <v>151703.57999999999</v>
      </c>
      <c r="S11" s="73">
        <v>155250</v>
      </c>
      <c r="T11" s="74">
        <v>159994.67000000001</v>
      </c>
      <c r="U11" s="34">
        <v>163054.98000000001</v>
      </c>
      <c r="V11" s="34">
        <v>167090.94</v>
      </c>
      <c r="W11" s="72">
        <v>170578.92</v>
      </c>
      <c r="X11" s="72">
        <v>174832.21</v>
      </c>
      <c r="Y11" s="30">
        <f t="shared" si="0"/>
        <v>2489.1000000000058</v>
      </c>
      <c r="Z11" s="31">
        <f t="shared" si="1"/>
        <v>5.634965737773826E-3</v>
      </c>
      <c r="AA11" s="30">
        <f t="shared" si="2"/>
        <v>771.79832279232949</v>
      </c>
      <c r="AB11" s="30">
        <f t="shared" si="3"/>
        <v>3260.8983227923354</v>
      </c>
      <c r="AC11" s="30">
        <f t="shared" si="4"/>
        <v>3517.929999999993</v>
      </c>
      <c r="AD11" s="31">
        <f t="shared" si="5"/>
        <v>9.8977726557926329E-3</v>
      </c>
      <c r="AE11" s="30">
        <f t="shared" si="6"/>
        <v>68.694798273441648</v>
      </c>
      <c r="AF11" s="30">
        <f t="shared" si="7"/>
        <v>3586.6247982734349</v>
      </c>
      <c r="AG11" s="30">
        <f t="shared" si="8"/>
        <v>3127.0400000000081</v>
      </c>
      <c r="AH11" s="31">
        <f t="shared" si="9"/>
        <v>1.0777819455462738E-2</v>
      </c>
      <c r="AI11" s="30">
        <f t="shared" si="10"/>
        <v>1014.089235914073</v>
      </c>
      <c r="AJ11" s="30">
        <f t="shared" si="11"/>
        <v>4141.1292359140807</v>
      </c>
      <c r="AK11" s="30">
        <f t="shared" si="12"/>
        <v>3749.5799999999872</v>
      </c>
      <c r="AL11" s="31">
        <f t="shared" si="13"/>
        <v>9.1170683926748118E-3</v>
      </c>
      <c r="AM11" s="30">
        <f t="shared" si="14"/>
        <v>377.68039309032974</v>
      </c>
      <c r="AN11" s="30">
        <f t="shared" si="15"/>
        <v>4127.2603930903169</v>
      </c>
      <c r="AO11" s="30">
        <f t="shared" si="16"/>
        <v>3705.8000000000175</v>
      </c>
      <c r="AP11" s="31">
        <f t="shared" si="17"/>
        <v>1.0232228343973885E-2</v>
      </c>
      <c r="AQ11" s="30">
        <f t="shared" si="18"/>
        <v>891.50949826241708</v>
      </c>
      <c r="AR11" s="30">
        <f t="shared" si="19"/>
        <v>4597.3094982624343</v>
      </c>
      <c r="AS11" s="92">
        <f t="shared" si="20"/>
        <v>4548.1999999999825</v>
      </c>
      <c r="AT11" s="95">
        <f t="shared" si="21"/>
        <v>9.6016481344498861E-3</v>
      </c>
      <c r="AU11" s="94">
        <f t="shared" si="22"/>
        <v>1137.5407642402654</v>
      </c>
      <c r="AV11" s="94">
        <f t="shared" si="23"/>
        <v>5685.7407642402477</v>
      </c>
      <c r="AW11" s="103">
        <f t="shared" si="24"/>
        <v>3546.4200000000128</v>
      </c>
      <c r="AX11" s="95">
        <f t="shared" si="25"/>
        <v>7.6454640830243325E-3</v>
      </c>
      <c r="AY11" s="103">
        <f t="shared" si="26"/>
        <v>790.04135510689048</v>
      </c>
      <c r="AZ11" s="103">
        <f t="shared" si="27"/>
        <v>4336.4613551069033</v>
      </c>
      <c r="BA11" s="103">
        <f t="shared" si="28"/>
        <v>4744.6700000000128</v>
      </c>
      <c r="BB11" s="104">
        <f t="shared" si="30"/>
        <v>1.3506996327862716E-2</v>
      </c>
      <c r="BC11" s="103">
        <f t="shared" si="31"/>
        <v>1167.5448976504158</v>
      </c>
      <c r="BD11" s="103">
        <f t="shared" si="29"/>
        <v>5912.2148976504286</v>
      </c>
      <c r="BE11" s="103">
        <f t="shared" si="32"/>
        <v>3060.3099999999977</v>
      </c>
      <c r="BF11" s="95">
        <f t="shared" si="33"/>
        <v>7.9377667425753213E-3</v>
      </c>
      <c r="BG11" s="103">
        <f t="shared" si="34"/>
        <v>616.81281689756452</v>
      </c>
      <c r="BH11" s="103">
        <f t="shared" si="35"/>
        <v>3677.1228168975622</v>
      </c>
      <c r="BI11" s="103">
        <f t="shared" si="36"/>
        <v>4035.9599999999919</v>
      </c>
      <c r="BJ11" s="104">
        <f t="shared" si="37"/>
        <v>8.3793877227008751E-3</v>
      </c>
      <c r="BK11" s="102">
        <f t="shared" si="38"/>
        <v>944.60561278212253</v>
      </c>
      <c r="BL11" s="102">
        <f t="shared" si="39"/>
        <v>4980.5656127821148</v>
      </c>
      <c r="BM11" s="94">
        <f t="shared" si="40"/>
        <v>3487.9800000000105</v>
      </c>
      <c r="BN11" s="104">
        <f t="shared" si="41"/>
        <v>8.9997910787666321E-3</v>
      </c>
      <c r="BO11" s="94">
        <f t="shared" si="42"/>
        <v>883.39852277851787</v>
      </c>
      <c r="BP11" s="94">
        <f t="shared" si="43"/>
        <v>4371.3785227785283</v>
      </c>
      <c r="BQ11" s="94">
        <f t="shared" si="44"/>
        <v>4253.289999999979</v>
      </c>
      <c r="BR11" s="90">
        <f t="shared" si="45"/>
        <v>8.0796961998211448E-3</v>
      </c>
      <c r="BS11" s="94">
        <f t="shared" si="46"/>
        <v>918.97600049272546</v>
      </c>
      <c r="BT11" s="94">
        <f t="shared" si="47"/>
        <v>5172.2660004927047</v>
      </c>
    </row>
    <row r="12" spans="1:72" ht="13.5">
      <c r="A12" s="11">
        <v>9</v>
      </c>
      <c r="B12" s="16" t="s">
        <v>49</v>
      </c>
      <c r="C12" s="17" t="s">
        <v>50</v>
      </c>
      <c r="D12" s="13" t="s">
        <v>41</v>
      </c>
      <c r="E12" s="20" t="s">
        <v>49</v>
      </c>
      <c r="F12" s="56" t="s">
        <v>61</v>
      </c>
      <c r="G12" s="57" t="s">
        <v>62</v>
      </c>
      <c r="H12" s="53">
        <v>88490.72</v>
      </c>
      <c r="I12" s="53">
        <v>113826.96</v>
      </c>
      <c r="J12" s="53">
        <v>115288.56</v>
      </c>
      <c r="K12" s="53">
        <v>25336.240000000002</v>
      </c>
      <c r="L12" s="53">
        <v>1461.6</v>
      </c>
      <c r="M12" s="53">
        <v>116295.92</v>
      </c>
      <c r="N12" s="53">
        <v>118482.32</v>
      </c>
      <c r="O12" s="53">
        <v>120829.28</v>
      </c>
      <c r="P12" s="53">
        <v>122684.72</v>
      </c>
      <c r="Q12" s="53">
        <v>125776.96000000001</v>
      </c>
      <c r="R12" s="53">
        <v>127206.32</v>
      </c>
      <c r="S12" s="53">
        <v>129159.44</v>
      </c>
      <c r="T12" s="71">
        <v>131207.35999999999</v>
      </c>
      <c r="U12" s="34">
        <v>133415.04000000001</v>
      </c>
      <c r="V12" s="34">
        <v>135165.44</v>
      </c>
      <c r="W12" s="72">
        <v>136676.64000000001</v>
      </c>
      <c r="X12" s="72">
        <v>139277.04</v>
      </c>
      <c r="Y12" s="30">
        <f t="shared" ref="Y12:Y37" si="48">M12-I12</f>
        <v>2468.9599999999919</v>
      </c>
      <c r="Z12" s="31">
        <f t="shared" ref="Z12:Z37" si="49">Y12/$Y$65</f>
        <v>5.5893716636270085E-3</v>
      </c>
      <c r="AA12" s="30">
        <f t="shared" ref="AA12:AA37" si="50">Z12*$Y$67</f>
        <v>765.55348802432161</v>
      </c>
      <c r="AB12" s="30">
        <f t="shared" ref="AB12:AB37" si="51">Y12+AA12</f>
        <v>3234.5134880243136</v>
      </c>
      <c r="AC12" s="30">
        <f t="shared" ref="AC12:AC37" si="52">N12-M12</f>
        <v>2186.4000000000087</v>
      </c>
      <c r="AD12" s="31">
        <f t="shared" ref="AD12:AD37" si="53">AC12/$AC$65</f>
        <v>6.1514840075343E-3</v>
      </c>
      <c r="AE12" s="30">
        <f t="shared" ref="AE12:AE37" si="54">AD12*$AC$67</f>
        <v>42.693944150410523</v>
      </c>
      <c r="AF12" s="30">
        <f t="shared" ref="AF12:AF37" si="55">AC12+AE12</f>
        <v>2229.0939441504192</v>
      </c>
      <c r="AG12" s="30">
        <f t="shared" ref="AG12:AG37" si="56">O12-N12</f>
        <v>2346.9599999999919</v>
      </c>
      <c r="AH12" s="31">
        <f t="shared" ref="AH12:AH37" si="57">AG12/$AG$65</f>
        <v>8.0891549673789507E-3</v>
      </c>
      <c r="AI12" s="30">
        <f t="shared" ref="AI12:AI37" si="58">AH12*$AG$67</f>
        <v>761.11174565112003</v>
      </c>
      <c r="AJ12" s="30">
        <f t="shared" ref="AJ12:AJ37" si="59">AG12+AI12</f>
        <v>3108.071745651112</v>
      </c>
      <c r="AK12" s="30">
        <f t="shared" ref="AK12:AK37" si="60">P12-O12</f>
        <v>1855.4400000000023</v>
      </c>
      <c r="AL12" s="31">
        <f t="shared" ref="AL12:AL37" si="61">AK12/$AK$65</f>
        <v>4.5114848539048727E-3</v>
      </c>
      <c r="AM12" s="30">
        <f t="shared" ref="AM12:AM37" si="62">AL12*$AK$67</f>
        <v>186.89114742331802</v>
      </c>
      <c r="AN12" s="30">
        <f t="shared" ref="AN12:AN37" si="63">AK12+AM12</f>
        <v>2042.3311474233203</v>
      </c>
      <c r="AO12" s="30">
        <f t="shared" ref="AO12:AO37" si="64">Q12-P12</f>
        <v>3092.2400000000052</v>
      </c>
      <c r="AP12" s="31">
        <f t="shared" ref="AP12:AP37" si="65">AO12/$AO$65</f>
        <v>8.5381039922202244E-3</v>
      </c>
      <c r="AQ12" s="30">
        <f t="shared" ref="AQ12:AQ37" si="66">AP12*$AO$67</f>
        <v>743.90450939256516</v>
      </c>
      <c r="AR12" s="30">
        <f t="shared" ref="AR12:AR37" si="67">AO12+AQ12</f>
        <v>3836.1445093925704</v>
      </c>
      <c r="AS12" s="92">
        <f t="shared" ref="AS12:AS37" si="68">R12-Q12</f>
        <v>1429.3600000000006</v>
      </c>
      <c r="AT12" s="93">
        <f t="shared" ref="AT12:AT64" si="69">AS12/$AS$65</f>
        <v>3.0175040186133741E-3</v>
      </c>
      <c r="AU12" s="94">
        <f t="shared" ref="AU12:AU64" si="70">AT12*$AS$67</f>
        <v>357.49423217415085</v>
      </c>
      <c r="AV12" s="94">
        <f t="shared" ref="AV12:AV64" si="71">+AS12+AU12</f>
        <v>1786.8542321741515</v>
      </c>
      <c r="AW12" s="103">
        <f t="shared" ref="AW12:AW37" si="72">S12-R12</f>
        <v>1953.1199999999953</v>
      </c>
      <c r="AX12" s="93">
        <f t="shared" ref="AX12:AX37" si="73">AW12/$AW$65</f>
        <v>4.2105866789146221E-3</v>
      </c>
      <c r="AY12" s="103">
        <f t="shared" ref="AY12:AY44" si="74">AX12*$AW$67</f>
        <v>435.09950076030498</v>
      </c>
      <c r="AZ12" s="103">
        <f t="shared" ref="AZ12:AZ37" si="75">AW12+AY12</f>
        <v>2388.2195007603004</v>
      </c>
      <c r="BA12" s="103">
        <f t="shared" ref="BA12:BA37" si="76">T12-S12</f>
        <v>2047.9199999999837</v>
      </c>
      <c r="BB12" s="90">
        <f t="shared" ref="BB12:BB37" si="77">BA12/$BA$65</f>
        <v>5.8299624462304685E-3</v>
      </c>
      <c r="BC12" s="103">
        <f t="shared" ref="BC12:BC37" si="78">BB12*$BA$67</f>
        <v>503.94201215178589</v>
      </c>
      <c r="BD12" s="103">
        <f t="shared" ref="BD12:BD37" si="79">BA12+BC12</f>
        <v>2551.8620121517697</v>
      </c>
      <c r="BE12" s="103">
        <f t="shared" si="32"/>
        <v>2207.6800000000221</v>
      </c>
      <c r="BF12" s="93">
        <f t="shared" si="33"/>
        <v>5.7262332516146647E-3</v>
      </c>
      <c r="BG12" s="103">
        <f t="shared" si="34"/>
        <v>444.96319641096159</v>
      </c>
      <c r="BH12" s="103">
        <f t="shared" si="35"/>
        <v>2652.6431964109838</v>
      </c>
      <c r="BI12" s="103">
        <f t="shared" si="36"/>
        <v>1750.3999999999942</v>
      </c>
      <c r="BJ12" s="90">
        <f t="shared" si="37"/>
        <v>3.6341490673385251E-3</v>
      </c>
      <c r="BK12" s="102">
        <f t="shared" si="38"/>
        <v>409.67642509188028</v>
      </c>
      <c r="BL12" s="102">
        <f t="shared" si="39"/>
        <v>2160.0764250918746</v>
      </c>
      <c r="BM12" s="94">
        <f t="shared" si="40"/>
        <v>1511.2000000000116</v>
      </c>
      <c r="BN12" s="90">
        <f t="shared" si="41"/>
        <v>3.8992437680927636E-3</v>
      </c>
      <c r="BO12" s="94">
        <f t="shared" si="42"/>
        <v>382.7406830380055</v>
      </c>
      <c r="BP12" s="94">
        <f t="shared" si="43"/>
        <v>1893.9406830380171</v>
      </c>
      <c r="BQ12" s="94">
        <f t="shared" si="44"/>
        <v>2600.3999999999942</v>
      </c>
      <c r="BR12" s="90">
        <f t="shared" si="45"/>
        <v>4.9398094176543242E-3</v>
      </c>
      <c r="BS12" s="94">
        <f t="shared" si="46"/>
        <v>561.84863756792731</v>
      </c>
      <c r="BT12" s="94">
        <f t="shared" si="47"/>
        <v>3162.2486375679214</v>
      </c>
    </row>
    <row r="13" spans="1:72" ht="13.5">
      <c r="A13" s="16">
        <v>10</v>
      </c>
      <c r="B13" s="16" t="s">
        <v>49</v>
      </c>
      <c r="C13" s="17" t="s">
        <v>50</v>
      </c>
      <c r="D13" s="13" t="s">
        <v>41</v>
      </c>
      <c r="E13" s="20" t="s">
        <v>49</v>
      </c>
      <c r="F13" s="56" t="s">
        <v>63</v>
      </c>
      <c r="G13" s="57" t="s">
        <v>64</v>
      </c>
      <c r="H13" s="53">
        <v>35247.370000000003</v>
      </c>
      <c r="I13" s="53">
        <v>47659.31</v>
      </c>
      <c r="J13" s="53">
        <v>48554.69</v>
      </c>
      <c r="K13" s="53">
        <v>12411.94</v>
      </c>
      <c r="L13" s="53">
        <v>895.38</v>
      </c>
      <c r="M13" s="53">
        <v>49136.69</v>
      </c>
      <c r="N13" s="53">
        <v>50513.7</v>
      </c>
      <c r="O13" s="53">
        <v>51602.07</v>
      </c>
      <c r="P13" s="53">
        <v>52068.97</v>
      </c>
      <c r="Q13" s="53">
        <v>52975.06</v>
      </c>
      <c r="R13" s="53">
        <v>53370.44</v>
      </c>
      <c r="S13" s="53">
        <v>54077.13</v>
      </c>
      <c r="T13" s="71">
        <v>55352.02</v>
      </c>
      <c r="U13" s="34">
        <v>56556.22</v>
      </c>
      <c r="V13" s="34">
        <v>57314.85</v>
      </c>
      <c r="W13" s="72">
        <v>58156.15</v>
      </c>
      <c r="X13" s="72">
        <v>59661.45</v>
      </c>
      <c r="Y13" s="30">
        <f t="shared" si="48"/>
        <v>1477.3800000000047</v>
      </c>
      <c r="Z13" s="31">
        <f t="shared" si="49"/>
        <v>3.3445766267616011E-3</v>
      </c>
      <c r="AA13" s="30">
        <f t="shared" si="50"/>
        <v>458.09304814066633</v>
      </c>
      <c r="AB13" s="30">
        <f t="shared" si="51"/>
        <v>1935.4730481406709</v>
      </c>
      <c r="AC13" s="30">
        <f t="shared" si="52"/>
        <v>1377.0099999999948</v>
      </c>
      <c r="AD13" s="31">
        <f t="shared" si="53"/>
        <v>3.8742476185577848E-3</v>
      </c>
      <c r="AE13" s="30">
        <f t="shared" si="54"/>
        <v>26.888944399266528</v>
      </c>
      <c r="AF13" s="30">
        <f t="shared" si="55"/>
        <v>1403.8989443992614</v>
      </c>
      <c r="AG13" s="30">
        <f t="shared" si="56"/>
        <v>1088.3700000000026</v>
      </c>
      <c r="AH13" s="31">
        <f t="shared" si="57"/>
        <v>3.7512329105933973E-3</v>
      </c>
      <c r="AI13" s="30">
        <f t="shared" si="58"/>
        <v>352.95496753856662</v>
      </c>
      <c r="AJ13" s="30">
        <f t="shared" si="59"/>
        <v>1441.3249675385691</v>
      </c>
      <c r="AK13" s="30">
        <f t="shared" si="60"/>
        <v>466.90000000000146</v>
      </c>
      <c r="AL13" s="31">
        <f t="shared" si="61"/>
        <v>1.1352629447937896E-3</v>
      </c>
      <c r="AM13" s="30">
        <f t="shared" si="62"/>
        <v>47.028994056367949</v>
      </c>
      <c r="AN13" s="30">
        <f t="shared" si="63"/>
        <v>513.92899405636945</v>
      </c>
      <c r="AO13" s="30">
        <f t="shared" si="64"/>
        <v>906.08999999999651</v>
      </c>
      <c r="AP13" s="31">
        <f t="shared" si="65"/>
        <v>2.5018402990423707E-3</v>
      </c>
      <c r="AQ13" s="30">
        <f t="shared" si="66"/>
        <v>217.97934083884357</v>
      </c>
      <c r="AR13" s="30">
        <f t="shared" si="67"/>
        <v>1124.0693408388402</v>
      </c>
      <c r="AS13" s="92">
        <f t="shared" si="68"/>
        <v>395.38000000000466</v>
      </c>
      <c r="AT13" s="93">
        <f t="shared" si="69"/>
        <v>8.3468177287693052E-4</v>
      </c>
      <c r="AU13" s="94">
        <f t="shared" si="70"/>
        <v>98.887662672117145</v>
      </c>
      <c r="AV13" s="94">
        <f t="shared" si="71"/>
        <v>494.26766267212179</v>
      </c>
      <c r="AW13" s="103">
        <f t="shared" si="72"/>
        <v>706.68999999999505</v>
      </c>
      <c r="AX13" s="93">
        <f t="shared" si="73"/>
        <v>1.5235006042240932E-3</v>
      </c>
      <c r="AY13" s="103">
        <f t="shared" si="74"/>
        <v>157.43040171228523</v>
      </c>
      <c r="AZ13" s="103">
        <f t="shared" si="75"/>
        <v>864.12040171228023</v>
      </c>
      <c r="BA13" s="103">
        <f t="shared" si="76"/>
        <v>1274.8899999999994</v>
      </c>
      <c r="BB13" s="90">
        <f t="shared" si="77"/>
        <v>3.6293218597771484E-3</v>
      </c>
      <c r="BC13" s="103">
        <f t="shared" si="78"/>
        <v>313.71861785235512</v>
      </c>
      <c r="BD13" s="103">
        <f t="shared" si="79"/>
        <v>1588.6086178523547</v>
      </c>
      <c r="BE13" s="103">
        <f t="shared" si="32"/>
        <v>1204.2000000000044</v>
      </c>
      <c r="BF13" s="93">
        <f t="shared" si="33"/>
        <v>3.1234282511932595E-3</v>
      </c>
      <c r="BG13" s="103">
        <f t="shared" si="34"/>
        <v>242.70939679576594</v>
      </c>
      <c r="BH13" s="103">
        <f t="shared" si="35"/>
        <v>1446.9093967957704</v>
      </c>
      <c r="BI13" s="103">
        <f t="shared" si="36"/>
        <v>758.62999999999738</v>
      </c>
      <c r="BJ13" s="90">
        <f t="shared" si="37"/>
        <v>1.5750539916333552E-3</v>
      </c>
      <c r="BK13" s="102">
        <f t="shared" si="38"/>
        <v>177.55531670901115</v>
      </c>
      <c r="BL13" s="102">
        <f t="shared" si="39"/>
        <v>936.18531670900848</v>
      </c>
      <c r="BM13" s="94">
        <f t="shared" si="40"/>
        <v>841.30000000000291</v>
      </c>
      <c r="BN13" s="90">
        <f t="shared" si="41"/>
        <v>2.1707476059399339E-3</v>
      </c>
      <c r="BO13" s="94">
        <f t="shared" si="42"/>
        <v>213.07552715714178</v>
      </c>
      <c r="BP13" s="94">
        <f t="shared" si="43"/>
        <v>1054.3755271571447</v>
      </c>
      <c r="BQ13" s="94">
        <f t="shared" si="44"/>
        <v>1505.2999999999956</v>
      </c>
      <c r="BR13" s="90">
        <f t="shared" si="45"/>
        <v>2.8595197340390128E-3</v>
      </c>
      <c r="BS13" s="94">
        <f t="shared" si="46"/>
        <v>325.2387148634827</v>
      </c>
      <c r="BT13" s="94">
        <f t="shared" si="47"/>
        <v>1830.5387148634784</v>
      </c>
    </row>
    <row r="14" spans="1:72" ht="27">
      <c r="A14" s="11">
        <v>11</v>
      </c>
      <c r="B14" s="16" t="s">
        <v>49</v>
      </c>
      <c r="C14" s="17" t="s">
        <v>50</v>
      </c>
      <c r="D14" s="13" t="s">
        <v>41</v>
      </c>
      <c r="E14" s="20" t="s">
        <v>49</v>
      </c>
      <c r="F14" s="56" t="s">
        <v>65</v>
      </c>
      <c r="G14" s="57" t="s">
        <v>66</v>
      </c>
      <c r="H14" s="53">
        <v>24315.79</v>
      </c>
      <c r="I14" s="53">
        <v>38074.14</v>
      </c>
      <c r="J14" s="53">
        <v>38635.629999999997</v>
      </c>
      <c r="K14" s="53">
        <v>13758.35</v>
      </c>
      <c r="L14" s="53">
        <v>561.49</v>
      </c>
      <c r="M14" s="53">
        <v>38855.32</v>
      </c>
      <c r="N14" s="53">
        <v>39928.39</v>
      </c>
      <c r="O14" s="53">
        <v>40770.879999999997</v>
      </c>
      <c r="P14" s="53">
        <v>41812.99</v>
      </c>
      <c r="Q14" s="53">
        <v>42686.3</v>
      </c>
      <c r="R14" s="53">
        <v>43677.17</v>
      </c>
      <c r="S14" s="53">
        <v>44498.23</v>
      </c>
      <c r="T14" s="71">
        <v>45394.84</v>
      </c>
      <c r="U14" s="34">
        <v>46385.32</v>
      </c>
      <c r="V14" s="34">
        <v>47337.75</v>
      </c>
      <c r="W14" s="72">
        <v>48207.14</v>
      </c>
      <c r="X14" s="72">
        <v>49234.62</v>
      </c>
      <c r="Y14" s="30">
        <f t="shared" si="48"/>
        <v>781.18000000000029</v>
      </c>
      <c r="Z14" s="31">
        <f t="shared" si="49"/>
        <v>1.7684795850042782E-3</v>
      </c>
      <c r="AA14" s="30">
        <f t="shared" si="50"/>
        <v>242.22145104612542</v>
      </c>
      <c r="AB14" s="30">
        <f t="shared" si="51"/>
        <v>1023.4014510461257</v>
      </c>
      <c r="AC14" s="30">
        <f t="shared" si="52"/>
        <v>1073.0699999999997</v>
      </c>
      <c r="AD14" s="31">
        <f t="shared" si="53"/>
        <v>3.019105810448593E-3</v>
      </c>
      <c r="AE14" s="30">
        <f t="shared" si="54"/>
        <v>20.953892540011356</v>
      </c>
      <c r="AF14" s="30">
        <f t="shared" si="55"/>
        <v>1094.023892540011</v>
      </c>
      <c r="AG14" s="30">
        <f t="shared" si="56"/>
        <v>842.48999999999796</v>
      </c>
      <c r="AH14" s="31">
        <f t="shared" si="57"/>
        <v>2.9037700550785268E-3</v>
      </c>
      <c r="AI14" s="30">
        <f t="shared" si="58"/>
        <v>273.2168569526591</v>
      </c>
      <c r="AJ14" s="30">
        <f t="shared" si="59"/>
        <v>1115.7068569526571</v>
      </c>
      <c r="AK14" s="30">
        <f t="shared" si="60"/>
        <v>1042.1100000000006</v>
      </c>
      <c r="AL14" s="31">
        <f t="shared" si="61"/>
        <v>2.5338806326816302E-3</v>
      </c>
      <c r="AM14" s="30">
        <f t="shared" si="62"/>
        <v>104.96762689244267</v>
      </c>
      <c r="AN14" s="30">
        <f t="shared" si="63"/>
        <v>1147.0776268924433</v>
      </c>
      <c r="AO14" s="30">
        <f t="shared" si="64"/>
        <v>873.31000000000495</v>
      </c>
      <c r="AP14" s="31">
        <f t="shared" si="65"/>
        <v>2.4113301675956181E-3</v>
      </c>
      <c r="AQ14" s="30">
        <f t="shared" si="66"/>
        <v>210.0934103102035</v>
      </c>
      <c r="AR14" s="30">
        <f t="shared" si="67"/>
        <v>1083.4034103102085</v>
      </c>
      <c r="AS14" s="92">
        <f t="shared" si="68"/>
        <v>990.86999999999534</v>
      </c>
      <c r="AT14" s="93">
        <f t="shared" si="69"/>
        <v>2.0918132639247068E-3</v>
      </c>
      <c r="AU14" s="94">
        <f t="shared" si="70"/>
        <v>247.82441780545074</v>
      </c>
      <c r="AV14" s="94">
        <f t="shared" si="71"/>
        <v>1238.6944178054462</v>
      </c>
      <c r="AW14" s="103">
        <f t="shared" si="72"/>
        <v>821.06000000000495</v>
      </c>
      <c r="AX14" s="93">
        <f t="shared" si="73"/>
        <v>1.7700624122376858E-3</v>
      </c>
      <c r="AY14" s="103">
        <f t="shared" si="74"/>
        <v>182.90877984673702</v>
      </c>
      <c r="AZ14" s="103">
        <f t="shared" si="75"/>
        <v>1003.968779846742</v>
      </c>
      <c r="BA14" s="103">
        <f t="shared" si="76"/>
        <v>896.60999999999331</v>
      </c>
      <c r="BB14" s="90">
        <f t="shared" si="77"/>
        <v>2.5524447385223558E-3</v>
      </c>
      <c r="BC14" s="103">
        <f t="shared" si="78"/>
        <v>220.63334872231968</v>
      </c>
      <c r="BD14" s="103">
        <f t="shared" si="79"/>
        <v>1117.2433487223129</v>
      </c>
      <c r="BE14" s="103">
        <f t="shared" si="32"/>
        <v>990.4800000000032</v>
      </c>
      <c r="BF14" s="93">
        <f t="shared" si="33"/>
        <v>2.5690858779620481E-3</v>
      </c>
      <c r="BG14" s="103">
        <f t="shared" si="34"/>
        <v>199.63361845064784</v>
      </c>
      <c r="BH14" s="103">
        <f t="shared" si="35"/>
        <v>1190.1136184506511</v>
      </c>
      <c r="BI14" s="103">
        <f t="shared" si="36"/>
        <v>952.43000000000029</v>
      </c>
      <c r="BJ14" s="90">
        <f t="shared" si="37"/>
        <v>1.9774180737004363E-3</v>
      </c>
      <c r="BK14" s="102">
        <f t="shared" si="38"/>
        <v>222.91368690028617</v>
      </c>
      <c r="BL14" s="102">
        <f t="shared" si="39"/>
        <v>1175.3436869002865</v>
      </c>
      <c r="BM14" s="94">
        <f t="shared" si="40"/>
        <v>869.38999999999942</v>
      </c>
      <c r="BN14" s="90">
        <f t="shared" si="41"/>
        <v>2.2432262702105211E-3</v>
      </c>
      <c r="BO14" s="94">
        <f t="shared" si="42"/>
        <v>220.18986396665485</v>
      </c>
      <c r="BP14" s="94">
        <f t="shared" si="43"/>
        <v>1089.5798639666543</v>
      </c>
      <c r="BQ14" s="94">
        <f t="shared" si="44"/>
        <v>1027.4800000000032</v>
      </c>
      <c r="BR14" s="90">
        <f t="shared" si="45"/>
        <v>1.9518364022656099E-3</v>
      </c>
      <c r="BS14" s="94">
        <f t="shared" si="46"/>
        <v>221.99978392874061</v>
      </c>
      <c r="BT14" s="94">
        <f t="shared" si="47"/>
        <v>1249.4797839287439</v>
      </c>
    </row>
    <row r="15" spans="1:72" ht="13.5" customHeight="1">
      <c r="A15" s="16">
        <v>12</v>
      </c>
      <c r="B15" s="16" t="s">
        <v>39</v>
      </c>
      <c r="C15" s="17" t="s">
        <v>40</v>
      </c>
      <c r="D15" s="21" t="s">
        <v>67</v>
      </c>
      <c r="E15" s="21" t="s">
        <v>68</v>
      </c>
      <c r="F15" s="56" t="s">
        <v>69</v>
      </c>
      <c r="G15" s="57" t="s">
        <v>70</v>
      </c>
      <c r="H15" s="53">
        <v>12536.12</v>
      </c>
      <c r="I15" s="53">
        <v>52636.800000000003</v>
      </c>
      <c r="J15" s="53">
        <v>54168.25</v>
      </c>
      <c r="K15" s="53">
        <v>40100.68</v>
      </c>
      <c r="L15" s="53">
        <v>1531.45</v>
      </c>
      <c r="M15" s="53">
        <v>57272.800000000003</v>
      </c>
      <c r="N15" s="53">
        <v>60569.47</v>
      </c>
      <c r="O15" s="53">
        <v>62279.32</v>
      </c>
      <c r="P15" s="53">
        <v>65572.87</v>
      </c>
      <c r="Q15" s="53">
        <v>68827.94</v>
      </c>
      <c r="R15" s="53">
        <v>72258.12</v>
      </c>
      <c r="S15" s="53">
        <v>74818.17</v>
      </c>
      <c r="T15" s="71">
        <v>77660.570000000007</v>
      </c>
      <c r="U15" s="34">
        <v>80079.070000000007</v>
      </c>
      <c r="V15" s="34">
        <v>81773.23</v>
      </c>
      <c r="W15" s="72">
        <v>82913.34</v>
      </c>
      <c r="X15" s="72">
        <v>84146.05</v>
      </c>
      <c r="Y15" s="30">
        <f t="shared" si="48"/>
        <v>4636</v>
      </c>
      <c r="Z15" s="31">
        <f t="shared" si="49"/>
        <v>1.0495239709260133E-2</v>
      </c>
      <c r="AA15" s="30">
        <f t="shared" si="50"/>
        <v>1437.4902673517461</v>
      </c>
      <c r="AB15" s="30">
        <f t="shared" si="51"/>
        <v>6073.4902673517463</v>
      </c>
      <c r="AC15" s="30">
        <f t="shared" si="52"/>
        <v>3296.6699999999983</v>
      </c>
      <c r="AD15" s="31">
        <f t="shared" si="53"/>
        <v>9.2752528279903077E-3</v>
      </c>
      <c r="AE15" s="30">
        <f t="shared" si="54"/>
        <v>64.374242984967623</v>
      </c>
      <c r="AF15" s="30">
        <f t="shared" si="55"/>
        <v>3361.0442429849659</v>
      </c>
      <c r="AG15" s="30">
        <f t="shared" si="56"/>
        <v>1709.8499999999985</v>
      </c>
      <c r="AH15" s="31">
        <f t="shared" si="57"/>
        <v>5.8932583516433743E-3</v>
      </c>
      <c r="AI15" s="30">
        <f t="shared" si="58"/>
        <v>554.49897667688026</v>
      </c>
      <c r="AJ15" s="30">
        <f t="shared" si="59"/>
        <v>2264.3489766768789</v>
      </c>
      <c r="AK15" s="30">
        <f t="shared" si="60"/>
        <v>3293.5499999999956</v>
      </c>
      <c r="AL15" s="31">
        <f t="shared" si="61"/>
        <v>8.0082357503224871E-3</v>
      </c>
      <c r="AM15" s="30">
        <f t="shared" si="62"/>
        <v>331.74629122799308</v>
      </c>
      <c r="AN15" s="30">
        <f t="shared" si="63"/>
        <v>3625.2962912279886</v>
      </c>
      <c r="AO15" s="30">
        <f t="shared" si="64"/>
        <v>3255.070000000007</v>
      </c>
      <c r="AP15" s="31">
        <f t="shared" si="65"/>
        <v>8.9877002308864449E-3</v>
      </c>
      <c r="AQ15" s="30">
        <f t="shared" si="66"/>
        <v>783.07675063658007</v>
      </c>
      <c r="AR15" s="30">
        <f t="shared" si="67"/>
        <v>4038.1467506365871</v>
      </c>
      <c r="AS15" s="92">
        <f t="shared" si="68"/>
        <v>3430.179999999993</v>
      </c>
      <c r="AT15" s="93">
        <f t="shared" si="69"/>
        <v>7.241410095824144E-3</v>
      </c>
      <c r="AU15" s="94">
        <f t="shared" si="70"/>
        <v>857.91512657351939</v>
      </c>
      <c r="AV15" s="94">
        <f t="shared" si="71"/>
        <v>4288.0951265735121</v>
      </c>
      <c r="AW15" s="103">
        <f t="shared" si="72"/>
        <v>2560.0500000000029</v>
      </c>
      <c r="AX15" s="93">
        <f t="shared" si="73"/>
        <v>5.5190220915025279E-3</v>
      </c>
      <c r="AY15" s="103">
        <f t="shared" si="74"/>
        <v>570.30621616768178</v>
      </c>
      <c r="AZ15" s="103">
        <f t="shared" si="75"/>
        <v>3130.3562161676846</v>
      </c>
      <c r="BA15" s="103">
        <f t="shared" si="76"/>
        <v>2842.4000000000087</v>
      </c>
      <c r="BB15" s="90">
        <f t="shared" si="77"/>
        <v>8.0916663039404205E-3</v>
      </c>
      <c r="BC15" s="103">
        <f t="shared" si="78"/>
        <v>699.44371622927258</v>
      </c>
      <c r="BD15" s="103">
        <f t="shared" si="79"/>
        <v>3541.8437162292812</v>
      </c>
      <c r="BE15" s="103">
        <f t="shared" si="32"/>
        <v>2418.5</v>
      </c>
      <c r="BF15" s="93">
        <f t="shared" si="33"/>
        <v>6.2730536667587366E-3</v>
      </c>
      <c r="BG15" s="103">
        <f t="shared" si="34"/>
        <v>487.45447280398417</v>
      </c>
      <c r="BH15" s="103">
        <f t="shared" si="35"/>
        <v>2905.9544728039841</v>
      </c>
      <c r="BI15" s="103">
        <f t="shared" si="36"/>
        <v>1694.1599999999889</v>
      </c>
      <c r="BJ15" s="90">
        <f t="shared" si="37"/>
        <v>3.5173845886210097E-3</v>
      </c>
      <c r="BK15" s="102">
        <f t="shared" si="38"/>
        <v>396.51360393833272</v>
      </c>
      <c r="BL15" s="102">
        <f t="shared" si="39"/>
        <v>2090.6736039383218</v>
      </c>
      <c r="BM15" s="94">
        <f t="shared" si="40"/>
        <v>1140.1100000000006</v>
      </c>
      <c r="BN15" s="90">
        <f t="shared" si="41"/>
        <v>2.9417461702224779E-3</v>
      </c>
      <c r="BO15" s="94">
        <f t="shared" si="42"/>
        <v>288.75494980046142</v>
      </c>
      <c r="BP15" s="94">
        <f t="shared" si="43"/>
        <v>1428.864949800462</v>
      </c>
      <c r="BQ15" s="94">
        <f t="shared" si="44"/>
        <v>1232.7100000000064</v>
      </c>
      <c r="BR15" s="90">
        <f t="shared" si="45"/>
        <v>2.3416983799556634E-3</v>
      </c>
      <c r="BS15" s="94">
        <f t="shared" si="46"/>
        <v>266.3422681188913</v>
      </c>
      <c r="BT15" s="94">
        <f t="shared" si="47"/>
        <v>1499.0522681188977</v>
      </c>
    </row>
    <row r="16" spans="1:72" ht="13.5">
      <c r="A16" s="11">
        <v>13</v>
      </c>
      <c r="B16" s="16" t="s">
        <v>39</v>
      </c>
      <c r="C16" s="17" t="s">
        <v>40</v>
      </c>
      <c r="D16" s="21" t="s">
        <v>67</v>
      </c>
      <c r="E16" s="21" t="s">
        <v>68</v>
      </c>
      <c r="F16" s="56" t="s">
        <v>71</v>
      </c>
      <c r="G16" s="57" t="s">
        <v>72</v>
      </c>
      <c r="H16" s="53">
        <v>101470.02</v>
      </c>
      <c r="I16" s="53">
        <v>197062.62</v>
      </c>
      <c r="J16" s="53">
        <v>198673.16</v>
      </c>
      <c r="K16" s="53">
        <v>95592.6</v>
      </c>
      <c r="L16" s="53">
        <v>1610.54</v>
      </c>
      <c r="M16" s="53">
        <v>198707.88</v>
      </c>
      <c r="N16" s="53">
        <v>198991.64</v>
      </c>
      <c r="O16" s="53">
        <v>199128.78</v>
      </c>
      <c r="P16" s="53">
        <v>199673.18</v>
      </c>
      <c r="Q16" s="53">
        <v>200911</v>
      </c>
      <c r="R16" s="53">
        <v>204243.06</v>
      </c>
      <c r="S16" s="53">
        <v>208991.22</v>
      </c>
      <c r="T16" s="71">
        <v>212609.82</v>
      </c>
      <c r="U16" s="34">
        <v>217093.32</v>
      </c>
      <c r="V16" s="34">
        <v>220642.84</v>
      </c>
      <c r="W16" s="72">
        <v>223799.04000000001</v>
      </c>
      <c r="X16" s="72">
        <v>227214.24</v>
      </c>
      <c r="Y16" s="30">
        <f t="shared" si="48"/>
        <v>1645.2600000000093</v>
      </c>
      <c r="Z16" s="31">
        <f t="shared" si="49"/>
        <v>3.7246328912979776E-3</v>
      </c>
      <c r="AA16" s="30">
        <f t="shared" si="50"/>
        <v>510.14780786521726</v>
      </c>
      <c r="AB16" s="30">
        <f t="shared" si="51"/>
        <v>2155.4078078652265</v>
      </c>
      <c r="AC16" s="30">
        <f t="shared" si="52"/>
        <v>283.76000000000931</v>
      </c>
      <c r="AD16" s="31">
        <f t="shared" si="53"/>
        <v>7.9836493870196824E-4</v>
      </c>
      <c r="AE16" s="30">
        <f t="shared" si="54"/>
        <v>5.5409959715152031</v>
      </c>
      <c r="AF16" s="30">
        <f t="shared" si="55"/>
        <v>289.30099597152451</v>
      </c>
      <c r="AG16" s="30">
        <f t="shared" si="56"/>
        <v>137.13999999998487</v>
      </c>
      <c r="AH16" s="31">
        <f t="shared" si="57"/>
        <v>4.7267388972382598E-4</v>
      </c>
      <c r="AI16" s="30">
        <f t="shared" si="58"/>
        <v>44.474070626931621</v>
      </c>
      <c r="AJ16" s="30">
        <f t="shared" si="59"/>
        <v>181.61407062691649</v>
      </c>
      <c r="AK16" s="30">
        <f t="shared" si="60"/>
        <v>544.39999999999418</v>
      </c>
      <c r="AL16" s="31">
        <f t="shared" si="61"/>
        <v>1.3237034635804896E-3</v>
      </c>
      <c r="AM16" s="30">
        <f t="shared" si="62"/>
        <v>54.835263149039108</v>
      </c>
      <c r="AN16" s="30">
        <f t="shared" si="63"/>
        <v>599.23526314903324</v>
      </c>
      <c r="AO16" s="30">
        <f t="shared" si="64"/>
        <v>1237.820000000007</v>
      </c>
      <c r="AP16" s="31">
        <f t="shared" si="65"/>
        <v>3.4177928891839186E-3</v>
      </c>
      <c r="AQ16" s="30">
        <f t="shared" si="66"/>
        <v>297.78409173166011</v>
      </c>
      <c r="AR16" s="30">
        <f t="shared" si="67"/>
        <v>1535.604091731667</v>
      </c>
      <c r="AS16" s="92">
        <f t="shared" si="68"/>
        <v>3332.0599999999977</v>
      </c>
      <c r="AT16" s="93">
        <f t="shared" si="69"/>
        <v>7.0342701910371553E-3</v>
      </c>
      <c r="AU16" s="94">
        <f t="shared" si="70"/>
        <v>833.37453913513718</v>
      </c>
      <c r="AV16" s="94">
        <f t="shared" si="71"/>
        <v>4165.4345391351344</v>
      </c>
      <c r="AW16" s="103">
        <f t="shared" si="72"/>
        <v>4748.1600000000035</v>
      </c>
      <c r="AX16" s="93">
        <f t="shared" si="73"/>
        <v>1.0236206298310044E-2</v>
      </c>
      <c r="AY16" s="103">
        <f t="shared" si="74"/>
        <v>1057.7547951636643</v>
      </c>
      <c r="AZ16" s="103">
        <f t="shared" si="75"/>
        <v>5805.9147951636678</v>
      </c>
      <c r="BA16" s="103">
        <f t="shared" si="76"/>
        <v>3618.6000000000058</v>
      </c>
      <c r="BB16" s="90">
        <f t="shared" si="77"/>
        <v>1.0301331159386E-2</v>
      </c>
      <c r="BC16" s="103">
        <f t="shared" si="78"/>
        <v>890.44716843063691</v>
      </c>
      <c r="BD16" s="103">
        <f t="shared" si="79"/>
        <v>4509.0471684306431</v>
      </c>
      <c r="BE16" s="103">
        <f t="shared" si="32"/>
        <v>4483.5</v>
      </c>
      <c r="BF16" s="93">
        <f t="shared" si="33"/>
        <v>1.1629206580489061E-2</v>
      </c>
      <c r="BG16" s="103">
        <f t="shared" si="34"/>
        <v>903.66017317207479</v>
      </c>
      <c r="BH16" s="103">
        <f t="shared" si="35"/>
        <v>5387.1601731720748</v>
      </c>
      <c r="BI16" s="103">
        <f t="shared" si="36"/>
        <v>3549.5199999999895</v>
      </c>
      <c r="BJ16" s="90">
        <f t="shared" si="37"/>
        <v>7.3694497243484034E-3</v>
      </c>
      <c r="BK16" s="102">
        <f t="shared" si="38"/>
        <v>830.75563550738764</v>
      </c>
      <c r="BL16" s="102">
        <f t="shared" si="39"/>
        <v>4380.275635507377</v>
      </c>
      <c r="BM16" s="94">
        <f t="shared" si="40"/>
        <v>3156.2000000000116</v>
      </c>
      <c r="BN16" s="90">
        <f t="shared" si="41"/>
        <v>8.1437223271931779E-3</v>
      </c>
      <c r="BO16" s="94">
        <f t="shared" si="42"/>
        <v>799.36880876425892</v>
      </c>
      <c r="BP16" s="94">
        <f t="shared" si="43"/>
        <v>3955.5688087642707</v>
      </c>
      <c r="BQ16" s="94">
        <f t="shared" si="44"/>
        <v>3415.1999999999825</v>
      </c>
      <c r="BR16" s="90">
        <f t="shared" si="45"/>
        <v>6.4876315655949084E-3</v>
      </c>
      <c r="BS16" s="94">
        <f t="shared" si="46"/>
        <v>737.89627250499154</v>
      </c>
      <c r="BT16" s="94">
        <f t="shared" si="47"/>
        <v>4153.096272504974</v>
      </c>
    </row>
    <row r="17" spans="1:72" ht="13.5">
      <c r="A17" s="16">
        <v>14</v>
      </c>
      <c r="B17" s="16" t="s">
        <v>39</v>
      </c>
      <c r="C17" s="17" t="s">
        <v>40</v>
      </c>
      <c r="D17" s="21" t="s">
        <v>67</v>
      </c>
      <c r="E17" s="21" t="s">
        <v>68</v>
      </c>
      <c r="F17" s="56" t="s">
        <v>73</v>
      </c>
      <c r="G17" s="57" t="s">
        <v>74</v>
      </c>
      <c r="H17" s="53">
        <v>7895.3</v>
      </c>
      <c r="I17" s="53">
        <v>11421.25</v>
      </c>
      <c r="J17" s="53">
        <v>11422.45</v>
      </c>
      <c r="K17" s="53">
        <v>3525.95</v>
      </c>
      <c r="L17" s="53">
        <v>1.2</v>
      </c>
      <c r="M17" s="53">
        <v>11422.85</v>
      </c>
      <c r="N17" s="53">
        <v>11425.25</v>
      </c>
      <c r="O17" s="53">
        <v>11427</v>
      </c>
      <c r="P17" s="53">
        <v>11428.8</v>
      </c>
      <c r="Q17" s="53">
        <v>11430.75</v>
      </c>
      <c r="R17" s="53">
        <v>11433.2</v>
      </c>
      <c r="S17" s="53">
        <v>11435.25</v>
      </c>
      <c r="T17" s="71">
        <v>11437.35</v>
      </c>
      <c r="U17" s="34">
        <v>11439.65</v>
      </c>
      <c r="V17" s="34">
        <v>11441.9</v>
      </c>
      <c r="W17" s="72">
        <v>11443.85</v>
      </c>
      <c r="X17" s="72">
        <v>11446.3</v>
      </c>
      <c r="Y17" s="30">
        <f t="shared" si="48"/>
        <v>1.6000000000003638</v>
      </c>
      <c r="Z17" s="31">
        <f t="shared" si="49"/>
        <v>3.6221707365875821E-6</v>
      </c>
      <c r="AA17" s="30">
        <f t="shared" si="50"/>
        <v>0.49611398355550401</v>
      </c>
      <c r="AB17" s="30">
        <f t="shared" si="51"/>
        <v>2.0961139835558678</v>
      </c>
      <c r="AC17" s="30">
        <f t="shared" si="52"/>
        <v>2.3999999999996362</v>
      </c>
      <c r="AD17" s="31">
        <f t="shared" si="53"/>
        <v>6.7524522585437363E-6</v>
      </c>
      <c r="AE17" s="30">
        <f t="shared" si="54"/>
        <v>4.6864922228763872E-2</v>
      </c>
      <c r="AF17" s="30">
        <f t="shared" si="55"/>
        <v>2.4468649222284</v>
      </c>
      <c r="AG17" s="30">
        <f t="shared" si="56"/>
        <v>1.75</v>
      </c>
      <c r="AH17" s="31">
        <f t="shared" si="57"/>
        <v>6.0316414395273933E-6</v>
      </c>
      <c r="AI17" s="30">
        <f t="shared" si="58"/>
        <v>0.56751949538529178</v>
      </c>
      <c r="AJ17" s="30">
        <f t="shared" si="59"/>
        <v>2.3175194953852918</v>
      </c>
      <c r="AK17" s="30">
        <f t="shared" si="60"/>
        <v>1.7999999999992724</v>
      </c>
      <c r="AL17" s="31">
        <f t="shared" si="61"/>
        <v>4.376683016980058E-6</v>
      </c>
      <c r="AM17" s="30">
        <f t="shared" si="62"/>
        <v>0.18130689505553188</v>
      </c>
      <c r="AN17" s="30">
        <f t="shared" si="63"/>
        <v>1.9813068950548043</v>
      </c>
      <c r="AO17" s="30">
        <f t="shared" si="64"/>
        <v>1.9500000000007276</v>
      </c>
      <c r="AP17" s="31">
        <f t="shared" si="65"/>
        <v>5.3842207541573818E-6</v>
      </c>
      <c r="AQ17" s="30">
        <f t="shared" si="66"/>
        <v>0.46911423217992165</v>
      </c>
      <c r="AR17" s="30">
        <f t="shared" si="67"/>
        <v>2.4191142321806494</v>
      </c>
      <c r="AS17" s="92">
        <f t="shared" si="68"/>
        <v>2.4500000000007276</v>
      </c>
      <c r="AT17" s="93">
        <f t="shared" si="69"/>
        <v>5.1721643571982976E-6</v>
      </c>
      <c r="AU17" s="94">
        <f t="shared" si="70"/>
        <v>0.61276436225088804</v>
      </c>
      <c r="AV17" s="94">
        <f t="shared" si="71"/>
        <v>3.0627643622516159</v>
      </c>
      <c r="AW17" s="103">
        <f t="shared" si="72"/>
        <v>2.0499999999992724</v>
      </c>
      <c r="AX17" s="93">
        <f t="shared" si="73"/>
        <v>4.4194430919615452E-6</v>
      </c>
      <c r="AY17" s="103">
        <f t="shared" si="74"/>
        <v>0.45668160510276418</v>
      </c>
      <c r="AZ17" s="103">
        <f t="shared" si="75"/>
        <v>2.5066816051020364</v>
      </c>
      <c r="BA17" s="103">
        <f t="shared" si="76"/>
        <v>2.1000000000003638</v>
      </c>
      <c r="BB17" s="90">
        <f t="shared" si="77"/>
        <v>5.9782223607788404E-6</v>
      </c>
      <c r="BC17" s="103">
        <f t="shared" si="78"/>
        <v>0.51675760064794629</v>
      </c>
      <c r="BD17" s="103">
        <f t="shared" si="79"/>
        <v>2.61675760064831</v>
      </c>
      <c r="BE17" s="103">
        <f t="shared" si="32"/>
        <v>2.2999999999992724</v>
      </c>
      <c r="BF17" s="93">
        <f t="shared" si="33"/>
        <v>5.9656908966469006E-6</v>
      </c>
      <c r="BG17" s="103">
        <f t="shared" si="34"/>
        <v>0.46357051372702457</v>
      </c>
      <c r="BH17" s="103">
        <f t="shared" si="35"/>
        <v>2.7635705137262971</v>
      </c>
      <c r="BI17" s="103">
        <f t="shared" si="36"/>
        <v>2.25</v>
      </c>
      <c r="BJ17" s="90">
        <f t="shared" si="37"/>
        <v>4.6714096215217714E-6</v>
      </c>
      <c r="BK17" s="102">
        <f t="shared" si="38"/>
        <v>0.5266064650689749</v>
      </c>
      <c r="BL17" s="102">
        <f t="shared" si="39"/>
        <v>2.776606465068975</v>
      </c>
      <c r="BM17" s="94">
        <f t="shared" si="40"/>
        <v>1.9500000000007276</v>
      </c>
      <c r="BN17" s="90">
        <f t="shared" si="41"/>
        <v>5.0314487478716703E-6</v>
      </c>
      <c r="BO17" s="94">
        <f t="shared" si="42"/>
        <v>0.49387528581549994</v>
      </c>
      <c r="BP17" s="94">
        <f t="shared" si="43"/>
        <v>2.4438752858162274</v>
      </c>
      <c r="BQ17" s="94">
        <f t="shared" si="44"/>
        <v>2.4499999999989086</v>
      </c>
      <c r="BR17" s="90">
        <f t="shared" si="45"/>
        <v>4.6541043967265538E-6</v>
      </c>
      <c r="BS17" s="94">
        <f t="shared" si="46"/>
        <v>0.52935285419197509</v>
      </c>
      <c r="BT17" s="94">
        <f t="shared" si="47"/>
        <v>2.9793528541908838</v>
      </c>
    </row>
    <row r="18" spans="1:72" ht="13.5">
      <c r="A18" s="11">
        <v>15</v>
      </c>
      <c r="B18" s="16" t="s">
        <v>39</v>
      </c>
      <c r="C18" s="17" t="s">
        <v>40</v>
      </c>
      <c r="D18" s="21" t="s">
        <v>67</v>
      </c>
      <c r="E18" s="21" t="s">
        <v>68</v>
      </c>
      <c r="F18" s="56" t="s">
        <v>75</v>
      </c>
      <c r="G18" s="57" t="s">
        <v>76</v>
      </c>
      <c r="H18" s="53">
        <v>23672.1</v>
      </c>
      <c r="I18" s="53">
        <v>35748.99</v>
      </c>
      <c r="J18" s="53">
        <v>35811.440000000002</v>
      </c>
      <c r="K18" s="53">
        <v>12076.89</v>
      </c>
      <c r="L18" s="53">
        <v>62.45</v>
      </c>
      <c r="M18" s="53">
        <v>35853.269999999997</v>
      </c>
      <c r="N18" s="53">
        <v>35973.99</v>
      </c>
      <c r="O18" s="53">
        <v>35985.96</v>
      </c>
      <c r="P18" s="53">
        <v>38454.92</v>
      </c>
      <c r="Q18" s="53">
        <v>38857.86</v>
      </c>
      <c r="R18" s="53">
        <v>40606.379999999997</v>
      </c>
      <c r="S18" s="53">
        <v>42002.55</v>
      </c>
      <c r="T18" s="71">
        <v>42783.4</v>
      </c>
      <c r="U18" s="34">
        <v>43516.2</v>
      </c>
      <c r="V18" s="34">
        <v>43967.7</v>
      </c>
      <c r="W18" s="72">
        <v>44880.3</v>
      </c>
      <c r="X18" s="72">
        <v>45409.26</v>
      </c>
      <c r="Y18" s="30">
        <f t="shared" si="48"/>
        <v>104.27999999999884</v>
      </c>
      <c r="Z18" s="31">
        <f t="shared" si="49"/>
        <v>2.3607497775703933E-4</v>
      </c>
      <c r="AA18" s="30">
        <f t="shared" si="50"/>
        <v>32.334228878222262</v>
      </c>
      <c r="AB18" s="30">
        <f t="shared" si="51"/>
        <v>136.6142288782211</v>
      </c>
      <c r="AC18" s="30">
        <f t="shared" si="52"/>
        <v>120.72000000000116</v>
      </c>
      <c r="AD18" s="31">
        <f t="shared" si="53"/>
        <v>3.3964834860480465E-4</v>
      </c>
      <c r="AE18" s="30">
        <f t="shared" si="54"/>
        <v>2.3573055881072023</v>
      </c>
      <c r="AF18" s="30">
        <f t="shared" si="55"/>
        <v>123.07730558810837</v>
      </c>
      <c r="AG18" s="30">
        <f t="shared" si="56"/>
        <v>11.970000000001164</v>
      </c>
      <c r="AH18" s="31">
        <f t="shared" si="57"/>
        <v>4.1256427446371382E-5</v>
      </c>
      <c r="AI18" s="30">
        <f t="shared" si="58"/>
        <v>3.8818333484357734</v>
      </c>
      <c r="AJ18" s="30">
        <f t="shared" si="59"/>
        <v>15.851833348436937</v>
      </c>
      <c r="AK18" s="30">
        <f t="shared" si="60"/>
        <v>2468.9599999999991</v>
      </c>
      <c r="AL18" s="31">
        <f t="shared" si="61"/>
        <v>6.0032529453374712E-3</v>
      </c>
      <c r="AM18" s="30">
        <f t="shared" si="62"/>
        <v>248.68859534249265</v>
      </c>
      <c r="AN18" s="30">
        <f t="shared" si="63"/>
        <v>2717.6485953424917</v>
      </c>
      <c r="AO18" s="30">
        <f t="shared" si="64"/>
        <v>402.94000000000233</v>
      </c>
      <c r="AP18" s="31">
        <f t="shared" si="65"/>
        <v>1.1125732875278864E-3</v>
      </c>
      <c r="AQ18" s="30">
        <f t="shared" si="66"/>
        <v>96.935840366414453</v>
      </c>
      <c r="AR18" s="30">
        <f t="shared" si="67"/>
        <v>499.87584036641681</v>
      </c>
      <c r="AS18" s="92">
        <f t="shared" si="68"/>
        <v>1748.5199999999968</v>
      </c>
      <c r="AT18" s="93">
        <f t="shared" si="69"/>
        <v>3.6912787027941489E-3</v>
      </c>
      <c r="AU18" s="94">
        <f t="shared" si="70"/>
        <v>437.31867048269487</v>
      </c>
      <c r="AV18" s="94">
        <f t="shared" si="71"/>
        <v>2185.8386704826917</v>
      </c>
      <c r="AW18" s="103">
        <f t="shared" si="72"/>
        <v>1396.1700000000055</v>
      </c>
      <c r="AX18" s="93">
        <f t="shared" si="73"/>
        <v>3.0098994447347147E-3</v>
      </c>
      <c r="AY18" s="103">
        <f t="shared" si="74"/>
        <v>311.02690565685617</v>
      </c>
      <c r="AZ18" s="103">
        <f t="shared" si="75"/>
        <v>1707.1969056568616</v>
      </c>
      <c r="BA18" s="103">
        <f t="shared" si="76"/>
        <v>780.84999999999854</v>
      </c>
      <c r="BB18" s="90">
        <f t="shared" si="77"/>
        <v>2.2229023478158761E-3</v>
      </c>
      <c r="BC18" s="103">
        <f t="shared" si="78"/>
        <v>192.14770117422771</v>
      </c>
      <c r="BD18" s="103">
        <f t="shared" si="79"/>
        <v>972.99770117422622</v>
      </c>
      <c r="BE18" s="103">
        <f t="shared" si="32"/>
        <v>732.79999999999563</v>
      </c>
      <c r="BF18" s="93">
        <f t="shared" si="33"/>
        <v>1.900720995245307E-3</v>
      </c>
      <c r="BG18" s="103">
        <f t="shared" si="34"/>
        <v>147.69759672142135</v>
      </c>
      <c r="BH18" s="103">
        <f t="shared" si="35"/>
        <v>880.49759672141704</v>
      </c>
      <c r="BI18" s="103">
        <f t="shared" si="36"/>
        <v>451.5</v>
      </c>
      <c r="BJ18" s="90">
        <f t="shared" si="37"/>
        <v>9.3739619738536875E-4</v>
      </c>
      <c r="BK18" s="102">
        <f t="shared" si="38"/>
        <v>105.67236399050763</v>
      </c>
      <c r="BL18" s="102">
        <f t="shared" si="39"/>
        <v>557.17236399050762</v>
      </c>
      <c r="BM18" s="94">
        <f t="shared" si="40"/>
        <v>912.60000000000582</v>
      </c>
      <c r="BN18" s="90">
        <f t="shared" si="41"/>
        <v>2.3547180140030778E-3</v>
      </c>
      <c r="BO18" s="94">
        <f t="shared" si="42"/>
        <v>231.13363376156917</v>
      </c>
      <c r="BP18" s="94">
        <f t="shared" si="43"/>
        <v>1143.733633761575</v>
      </c>
      <c r="BQ18" s="94">
        <f t="shared" si="44"/>
        <v>528.95999999999913</v>
      </c>
      <c r="BR18" s="90">
        <f t="shared" si="45"/>
        <v>1.0048306374259471E-3</v>
      </c>
      <c r="BS18" s="94">
        <f t="shared" si="46"/>
        <v>114.28836153204546</v>
      </c>
      <c r="BT18" s="94">
        <f t="shared" si="47"/>
        <v>643.24836153204456</v>
      </c>
    </row>
    <row r="19" spans="1:72" ht="13.5">
      <c r="A19" s="16">
        <v>16</v>
      </c>
      <c r="B19" s="16" t="s">
        <v>39</v>
      </c>
      <c r="C19" s="17" t="s">
        <v>40</v>
      </c>
      <c r="D19" s="21" t="s">
        <v>67</v>
      </c>
      <c r="E19" s="21" t="s">
        <v>68</v>
      </c>
      <c r="F19" s="56" t="s">
        <v>77</v>
      </c>
      <c r="G19" s="57" t="s">
        <v>78</v>
      </c>
      <c r="H19" s="53">
        <v>25895.8</v>
      </c>
      <c r="I19" s="53">
        <v>41045.25</v>
      </c>
      <c r="J19" s="53">
        <v>41776.019999999997</v>
      </c>
      <c r="K19" s="53">
        <v>15149.45</v>
      </c>
      <c r="L19" s="53">
        <v>730.77</v>
      </c>
      <c r="M19" s="53">
        <v>41992.84</v>
      </c>
      <c r="N19" s="53">
        <v>43423.42</v>
      </c>
      <c r="O19" s="53">
        <v>44800.51</v>
      </c>
      <c r="P19" s="53">
        <v>46849.74</v>
      </c>
      <c r="Q19" s="53">
        <v>48425.83</v>
      </c>
      <c r="R19" s="53">
        <v>49697.74</v>
      </c>
      <c r="S19" s="53">
        <v>50904.73</v>
      </c>
      <c r="T19" s="71">
        <v>52110.21</v>
      </c>
      <c r="U19" s="34">
        <v>54025.54</v>
      </c>
      <c r="V19" s="34">
        <v>55607.67</v>
      </c>
      <c r="W19" s="72">
        <v>57317.37</v>
      </c>
      <c r="X19" s="72">
        <v>58379.35</v>
      </c>
      <c r="Y19" s="30">
        <f t="shared" si="48"/>
        <v>947.58999999999651</v>
      </c>
      <c r="Z19" s="31">
        <f t="shared" si="49"/>
        <v>2.1452079801763959E-3</v>
      </c>
      <c r="AA19" s="30">
        <f t="shared" si="50"/>
        <v>293.82040604828211</v>
      </c>
      <c r="AB19" s="30">
        <f t="shared" si="51"/>
        <v>1241.4104060482787</v>
      </c>
      <c r="AC19" s="30">
        <f t="shared" si="52"/>
        <v>1430.5800000000017</v>
      </c>
      <c r="AD19" s="31">
        <f t="shared" si="53"/>
        <v>4.0249679800120723E-3</v>
      </c>
      <c r="AE19" s="30">
        <f t="shared" si="54"/>
        <v>27.935008517514689</v>
      </c>
      <c r="AF19" s="30">
        <f t="shared" si="55"/>
        <v>1458.5150085175164</v>
      </c>
      <c r="AG19" s="30">
        <f t="shared" si="56"/>
        <v>1377.0900000000038</v>
      </c>
      <c r="AH19" s="31">
        <f t="shared" si="57"/>
        <v>4.7463503485478866E-3</v>
      </c>
      <c r="AI19" s="30">
        <f t="shared" si="58"/>
        <v>446.58595537150501</v>
      </c>
      <c r="AJ19" s="30">
        <f t="shared" si="59"/>
        <v>1823.6759553715087</v>
      </c>
      <c r="AK19" s="30">
        <f t="shared" si="60"/>
        <v>2049.2299999999959</v>
      </c>
      <c r="AL19" s="31">
        <f t="shared" si="61"/>
        <v>4.9826834104942505E-3</v>
      </c>
      <c r="AM19" s="30">
        <f t="shared" si="62"/>
        <v>206.41084919710943</v>
      </c>
      <c r="AN19" s="30">
        <f t="shared" si="63"/>
        <v>2255.6408491971051</v>
      </c>
      <c r="AO19" s="30">
        <f t="shared" si="64"/>
        <v>1576.0900000000038</v>
      </c>
      <c r="AP19" s="31">
        <f t="shared" si="65"/>
        <v>4.3518033273932111E-3</v>
      </c>
      <c r="AQ19" s="30">
        <f t="shared" si="66"/>
        <v>379.1621795877839</v>
      </c>
      <c r="AR19" s="30">
        <f t="shared" si="67"/>
        <v>1955.2521795877876</v>
      </c>
      <c r="AS19" s="92">
        <f t="shared" si="68"/>
        <v>1271.9099999999962</v>
      </c>
      <c r="AT19" s="93">
        <f t="shared" si="69"/>
        <v>2.6851132928824954E-3</v>
      </c>
      <c r="AU19" s="94">
        <f t="shared" si="70"/>
        <v>318.11474285318087</v>
      </c>
      <c r="AV19" s="94">
        <f t="shared" si="71"/>
        <v>1590.024742853177</v>
      </c>
      <c r="AW19" s="103">
        <f t="shared" si="72"/>
        <v>1206.9900000000052</v>
      </c>
      <c r="AX19" s="93">
        <f t="shared" si="73"/>
        <v>2.6020603012529668E-3</v>
      </c>
      <c r="AY19" s="103">
        <f t="shared" si="74"/>
        <v>268.88299050886997</v>
      </c>
      <c r="AZ19" s="103">
        <f t="shared" si="75"/>
        <v>1475.8729905088753</v>
      </c>
      <c r="BA19" s="103">
        <f t="shared" si="76"/>
        <v>1205.4799999999959</v>
      </c>
      <c r="BB19" s="90">
        <f t="shared" si="77"/>
        <v>3.4317273768906683E-3</v>
      </c>
      <c r="BC19" s="103">
        <f t="shared" si="78"/>
        <v>296.63854877570299</v>
      </c>
      <c r="BD19" s="103">
        <f t="shared" si="79"/>
        <v>1502.1185487756989</v>
      </c>
      <c r="BE19" s="103">
        <f t="shared" si="32"/>
        <v>1915.3300000000017</v>
      </c>
      <c r="BF19" s="93">
        <f t="shared" si="33"/>
        <v>4.9679420630775366E-3</v>
      </c>
      <c r="BG19" s="103">
        <f t="shared" si="34"/>
        <v>386.03935306828856</v>
      </c>
      <c r="BH19" s="103">
        <f t="shared" si="35"/>
        <v>2301.3693530682904</v>
      </c>
      <c r="BI19" s="103">
        <f t="shared" si="36"/>
        <v>1582.1299999999974</v>
      </c>
      <c r="BJ19" s="90">
        <f t="shared" si="37"/>
        <v>3.2847899131103232E-3</v>
      </c>
      <c r="BK19" s="102">
        <f t="shared" si="38"/>
        <v>370.29328292425595</v>
      </c>
      <c r="BL19" s="102">
        <f t="shared" si="39"/>
        <v>1952.4232829242533</v>
      </c>
      <c r="BM19" s="94">
        <f t="shared" si="40"/>
        <v>1709.7000000000044</v>
      </c>
      <c r="BN19" s="90">
        <f t="shared" si="41"/>
        <v>4.4114194483246185E-3</v>
      </c>
      <c r="BO19" s="94">
        <f t="shared" si="42"/>
        <v>433.01465444022938</v>
      </c>
      <c r="BP19" s="94">
        <f t="shared" si="43"/>
        <v>2142.714654440234</v>
      </c>
      <c r="BQ19" s="94">
        <f t="shared" si="44"/>
        <v>1061.9799999999959</v>
      </c>
      <c r="BR19" s="90">
        <f t="shared" si="45"/>
        <v>2.017373790709326E-3</v>
      </c>
      <c r="BS19" s="94">
        <f t="shared" si="46"/>
        <v>229.45393636532324</v>
      </c>
      <c r="BT19" s="94">
        <f t="shared" si="47"/>
        <v>1291.4339363653191</v>
      </c>
    </row>
    <row r="20" spans="1:72" ht="13.5">
      <c r="A20" s="11">
        <v>17</v>
      </c>
      <c r="B20" s="16" t="s">
        <v>39</v>
      </c>
      <c r="C20" s="17" t="s">
        <v>40</v>
      </c>
      <c r="D20" s="21" t="s">
        <v>67</v>
      </c>
      <c r="E20" s="21" t="s">
        <v>68</v>
      </c>
      <c r="F20" s="56" t="s">
        <v>79</v>
      </c>
      <c r="G20" s="57" t="s">
        <v>80</v>
      </c>
      <c r="H20" s="53">
        <v>54563.28</v>
      </c>
      <c r="I20" s="53">
        <v>107091.54</v>
      </c>
      <c r="J20" s="53">
        <v>111130.17</v>
      </c>
      <c r="K20" s="53">
        <v>52528.26</v>
      </c>
      <c r="L20" s="53">
        <v>4038.63</v>
      </c>
      <c r="M20" s="53">
        <v>112513.14</v>
      </c>
      <c r="N20" s="53">
        <v>116724.48</v>
      </c>
      <c r="O20" s="53">
        <v>121082.01</v>
      </c>
      <c r="P20" s="53">
        <v>125515.47</v>
      </c>
      <c r="Q20" s="53">
        <v>129395.37</v>
      </c>
      <c r="R20" s="53">
        <v>134313.35999999999</v>
      </c>
      <c r="S20" s="53">
        <v>138862.69</v>
      </c>
      <c r="T20" s="71">
        <v>142275.54</v>
      </c>
      <c r="U20" s="34">
        <v>143697.25</v>
      </c>
      <c r="V20" s="34">
        <v>145348.32</v>
      </c>
      <c r="W20" s="72">
        <v>148091.76</v>
      </c>
      <c r="X20" s="72">
        <v>154662.78</v>
      </c>
      <c r="Y20" s="30">
        <f t="shared" si="48"/>
        <v>5421.6000000000058</v>
      </c>
      <c r="Z20" s="31">
        <f t="shared" si="49"/>
        <v>1.2273725540924244E-2</v>
      </c>
      <c r="AA20" s="30">
        <f t="shared" si="50"/>
        <v>1681.0822332774449</v>
      </c>
      <c r="AB20" s="30">
        <f t="shared" si="51"/>
        <v>7102.6822332774509</v>
      </c>
      <c r="AC20" s="30">
        <f t="shared" si="52"/>
        <v>4211.3399999999965</v>
      </c>
      <c r="AD20" s="31">
        <f t="shared" si="53"/>
        <v>1.1848696789374943E-2</v>
      </c>
      <c r="AE20" s="30">
        <f t="shared" si="54"/>
        <v>82.235050657880066</v>
      </c>
      <c r="AF20" s="30">
        <f t="shared" si="55"/>
        <v>4293.575050657877</v>
      </c>
      <c r="AG20" s="30">
        <f t="shared" si="56"/>
        <v>4357.5299999999988</v>
      </c>
      <c r="AH20" s="31">
        <f t="shared" si="57"/>
        <v>1.5018890583990741E-2</v>
      </c>
      <c r="AI20" s="30">
        <f t="shared" si="58"/>
        <v>1413.1332724150116</v>
      </c>
      <c r="AJ20" s="30">
        <f t="shared" si="59"/>
        <v>5770.6632724150104</v>
      </c>
      <c r="AK20" s="30">
        <f t="shared" si="60"/>
        <v>4433.4600000000064</v>
      </c>
      <c r="AL20" s="31">
        <f t="shared" si="61"/>
        <v>1.0779916160260155E-2</v>
      </c>
      <c r="AM20" s="30">
        <f t="shared" si="62"/>
        <v>446.56492608512463</v>
      </c>
      <c r="AN20" s="30">
        <f t="shared" si="63"/>
        <v>4880.0249260851306</v>
      </c>
      <c r="AO20" s="30">
        <f t="shared" si="64"/>
        <v>3879.8999999999942</v>
      </c>
      <c r="AP20" s="31">
        <f t="shared" si="65"/>
        <v>1.0712942617460206E-2</v>
      </c>
      <c r="AQ20" s="30">
        <f t="shared" si="66"/>
        <v>933.39297919702369</v>
      </c>
      <c r="AR20" s="30">
        <f t="shared" si="67"/>
        <v>4813.2929791970182</v>
      </c>
      <c r="AS20" s="92">
        <f t="shared" si="68"/>
        <v>4917.9899999999907</v>
      </c>
      <c r="AT20" s="93">
        <f t="shared" si="69"/>
        <v>1.0382307178387777E-2</v>
      </c>
      <c r="AU20" s="94">
        <f t="shared" si="70"/>
        <v>1230.0281656756506</v>
      </c>
      <c r="AV20" s="94">
        <f t="shared" si="71"/>
        <v>6148.0181656756413</v>
      </c>
      <c r="AW20" s="103">
        <f t="shared" si="72"/>
        <v>4549.3300000000163</v>
      </c>
      <c r="AX20" s="93">
        <f t="shared" si="73"/>
        <v>9.8075634349076221E-3</v>
      </c>
      <c r="AY20" s="103">
        <f t="shared" si="74"/>
        <v>1013.4611348989771</v>
      </c>
      <c r="AZ20" s="103">
        <f t="shared" si="75"/>
        <v>5562.7911348989937</v>
      </c>
      <c r="BA20" s="103">
        <f t="shared" si="76"/>
        <v>3412.8500000000058</v>
      </c>
      <c r="BB20" s="90">
        <f t="shared" si="77"/>
        <v>9.7156077066574125E-3</v>
      </c>
      <c r="BC20" s="103">
        <f t="shared" si="78"/>
        <v>839.81722731954335</v>
      </c>
      <c r="BD20" s="103">
        <f t="shared" si="79"/>
        <v>4252.6672273195491</v>
      </c>
      <c r="BE20" s="103">
        <f t="shared" si="32"/>
        <v>1421.7099999999919</v>
      </c>
      <c r="BF20" s="93">
        <f t="shared" si="33"/>
        <v>3.6876010455106521E-3</v>
      </c>
      <c r="BG20" s="103">
        <f t="shared" si="34"/>
        <v>286.54905872654473</v>
      </c>
      <c r="BH20" s="103">
        <f t="shared" si="35"/>
        <v>1708.2590587265365</v>
      </c>
      <c r="BI20" s="103">
        <f t="shared" si="36"/>
        <v>1651.070000000007</v>
      </c>
      <c r="BJ20" s="90">
        <f t="shared" si="37"/>
        <v>3.4279219039137702E-3</v>
      </c>
      <c r="BK20" s="102">
        <f t="shared" si="38"/>
        <v>386.42850501397157</v>
      </c>
      <c r="BL20" s="102">
        <f t="shared" si="39"/>
        <v>2037.4985050139785</v>
      </c>
      <c r="BM20" s="94">
        <f t="shared" si="40"/>
        <v>2743.4400000000023</v>
      </c>
      <c r="BN20" s="90">
        <f t="shared" si="41"/>
        <v>7.0787065399261105E-3</v>
      </c>
      <c r="BO20" s="94">
        <f t="shared" si="42"/>
        <v>694.829340572908</v>
      </c>
      <c r="BP20" s="94">
        <f t="shared" si="43"/>
        <v>3438.2693405729106</v>
      </c>
      <c r="BQ20" s="94">
        <f t="shared" si="44"/>
        <v>6571.0199999999895</v>
      </c>
      <c r="BR20" s="90">
        <f t="shared" si="45"/>
        <v>1.2482535948159875E-2</v>
      </c>
      <c r="BS20" s="94">
        <f t="shared" si="46"/>
        <v>1419.7502824302433</v>
      </c>
      <c r="BT20" s="94">
        <f t="shared" si="47"/>
        <v>7990.7702824302323</v>
      </c>
    </row>
    <row r="21" spans="1:72" ht="13.5">
      <c r="A21" s="16">
        <v>18</v>
      </c>
      <c r="B21" s="16" t="s">
        <v>39</v>
      </c>
      <c r="C21" s="17" t="s">
        <v>40</v>
      </c>
      <c r="D21" s="21" t="s">
        <v>67</v>
      </c>
      <c r="E21" s="21" t="s">
        <v>68</v>
      </c>
      <c r="F21" s="56" t="s">
        <v>81</v>
      </c>
      <c r="G21" s="57" t="s">
        <v>82</v>
      </c>
      <c r="H21" s="53">
        <v>10537.15</v>
      </c>
      <c r="I21" s="53">
        <v>42012.35</v>
      </c>
      <c r="J21" s="53">
        <v>43472.5</v>
      </c>
      <c r="K21" s="53">
        <v>31475.200000000001</v>
      </c>
      <c r="L21" s="53">
        <v>1460.15</v>
      </c>
      <c r="M21" s="53">
        <v>43820.7</v>
      </c>
      <c r="N21" s="53">
        <v>45144.95</v>
      </c>
      <c r="O21" s="53">
        <v>47108.15</v>
      </c>
      <c r="P21" s="53">
        <v>50167.05</v>
      </c>
      <c r="Q21" s="53">
        <v>53717.95</v>
      </c>
      <c r="R21" s="53">
        <v>57286.7</v>
      </c>
      <c r="S21" s="53">
        <v>59687.3</v>
      </c>
      <c r="T21" s="71">
        <v>62026.8</v>
      </c>
      <c r="U21" s="34">
        <v>64431.6</v>
      </c>
      <c r="V21" s="34">
        <v>65918.100000000006</v>
      </c>
      <c r="W21" s="72">
        <v>68070.600000000006</v>
      </c>
      <c r="X21" s="72">
        <v>69707.05</v>
      </c>
      <c r="Y21" s="30">
        <f t="shared" si="48"/>
        <v>1808.3499999999985</v>
      </c>
      <c r="Z21" s="31">
        <f t="shared" si="49"/>
        <v>4.093845282191662E-3</v>
      </c>
      <c r="AA21" s="30">
        <f t="shared" si="50"/>
        <v>560.71732635149431</v>
      </c>
      <c r="AB21" s="30">
        <f t="shared" si="51"/>
        <v>2369.0673263514927</v>
      </c>
      <c r="AC21" s="30">
        <f t="shared" si="52"/>
        <v>1324.25</v>
      </c>
      <c r="AD21" s="31">
        <f t="shared" si="53"/>
        <v>3.7258062097407906E-3</v>
      </c>
      <c r="AE21" s="30">
        <f t="shared" si="54"/>
        <v>25.858697192270817</v>
      </c>
      <c r="AF21" s="30">
        <f t="shared" si="55"/>
        <v>1350.1086971922707</v>
      </c>
      <c r="AG21" s="30">
        <f t="shared" si="56"/>
        <v>1963.2000000000044</v>
      </c>
      <c r="AH21" s="31">
        <f t="shared" si="57"/>
        <v>6.7664676994744028E-3</v>
      </c>
      <c r="AI21" s="30">
        <f t="shared" si="58"/>
        <v>636.6595847659471</v>
      </c>
      <c r="AJ21" s="30">
        <f t="shared" si="59"/>
        <v>2599.8595847659517</v>
      </c>
      <c r="AK21" s="30">
        <f t="shared" si="60"/>
        <v>3058.9000000000015</v>
      </c>
      <c r="AL21" s="31">
        <f t="shared" si="61"/>
        <v>7.4376864892476205E-3</v>
      </c>
      <c r="AM21" s="30">
        <f t="shared" si="62"/>
        <v>308.11092293643935</v>
      </c>
      <c r="AN21" s="30">
        <f t="shared" si="63"/>
        <v>3367.0109229364407</v>
      </c>
      <c r="AO21" s="30">
        <f t="shared" si="64"/>
        <v>3550.8999999999942</v>
      </c>
      <c r="AP21" s="31">
        <f t="shared" si="65"/>
        <v>9.8045279363745044E-3</v>
      </c>
      <c r="AQ21" s="30">
        <f t="shared" si="66"/>
        <v>854.24498822926137</v>
      </c>
      <c r="AR21" s="30">
        <f t="shared" si="67"/>
        <v>4405.1449882292554</v>
      </c>
      <c r="AS21" s="92">
        <f t="shared" si="68"/>
        <v>3568.75</v>
      </c>
      <c r="AT21" s="93">
        <f t="shared" si="69"/>
        <v>7.5339434896922221E-3</v>
      </c>
      <c r="AU21" s="94">
        <f t="shared" si="70"/>
        <v>892.5725786866152</v>
      </c>
      <c r="AV21" s="94">
        <f t="shared" si="71"/>
        <v>4461.3225786866151</v>
      </c>
      <c r="AW21" s="103">
        <f t="shared" si="72"/>
        <v>2400.6000000000058</v>
      </c>
      <c r="AX21" s="93">
        <f t="shared" si="73"/>
        <v>5.1752756519837448E-3</v>
      </c>
      <c r="AY21" s="103">
        <f t="shared" si="74"/>
        <v>534.78529815126217</v>
      </c>
      <c r="AZ21" s="103">
        <f t="shared" si="75"/>
        <v>2935.3852981512682</v>
      </c>
      <c r="BA21" s="103">
        <f t="shared" si="76"/>
        <v>2339.5</v>
      </c>
      <c r="BB21" s="90">
        <f t="shared" si="77"/>
        <v>6.6600243871617493E-3</v>
      </c>
      <c r="BC21" s="103">
        <f t="shared" si="78"/>
        <v>575.69257462650512</v>
      </c>
      <c r="BD21" s="103">
        <f t="shared" si="79"/>
        <v>2915.1925746265051</v>
      </c>
      <c r="BE21" s="103">
        <f t="shared" si="32"/>
        <v>2404.7999999999956</v>
      </c>
      <c r="BF21" s="93">
        <f t="shared" si="33"/>
        <v>6.2375188992439042E-3</v>
      </c>
      <c r="BG21" s="103">
        <f t="shared" si="34"/>
        <v>484.69320496134753</v>
      </c>
      <c r="BH21" s="103">
        <f t="shared" si="35"/>
        <v>2889.4932049613431</v>
      </c>
      <c r="BI21" s="103">
        <f t="shared" si="36"/>
        <v>1486.5000000000073</v>
      </c>
      <c r="BJ21" s="90">
        <f t="shared" si="37"/>
        <v>3.0862446232853987E-3</v>
      </c>
      <c r="BK21" s="102">
        <f t="shared" si="38"/>
        <v>347.91133792223781</v>
      </c>
      <c r="BL21" s="102">
        <f t="shared" si="39"/>
        <v>1834.4113379222451</v>
      </c>
      <c r="BM21" s="94">
        <f t="shared" si="40"/>
        <v>2152.5</v>
      </c>
      <c r="BN21" s="90">
        <f t="shared" si="41"/>
        <v>5.5539453486101176E-3</v>
      </c>
      <c r="BO21" s="94">
        <f t="shared" si="42"/>
        <v>545.16233472690612</v>
      </c>
      <c r="BP21" s="94">
        <f t="shared" si="43"/>
        <v>2697.662334726906</v>
      </c>
      <c r="BQ21" s="94">
        <f t="shared" si="44"/>
        <v>1636.4499999999971</v>
      </c>
      <c r="BR21" s="90">
        <f t="shared" si="45"/>
        <v>3.1086567918475706E-3</v>
      </c>
      <c r="BS21" s="94">
        <f t="shared" si="46"/>
        <v>353.57529724197627</v>
      </c>
      <c r="BT21" s="94">
        <f t="shared" si="47"/>
        <v>1990.0252972419735</v>
      </c>
    </row>
    <row r="22" spans="1:72" ht="27">
      <c r="A22" s="11">
        <v>19</v>
      </c>
      <c r="B22" s="16" t="s">
        <v>83</v>
      </c>
      <c r="C22" s="17" t="s">
        <v>84</v>
      </c>
      <c r="D22" s="18" t="s">
        <v>41</v>
      </c>
      <c r="E22" s="18" t="s">
        <v>83</v>
      </c>
      <c r="F22" s="56" t="s">
        <v>85</v>
      </c>
      <c r="G22" s="56" t="s">
        <v>86</v>
      </c>
      <c r="H22" s="53">
        <v>43853.91</v>
      </c>
      <c r="I22" s="53">
        <v>70788.960000000006</v>
      </c>
      <c r="J22" s="53">
        <v>72283.320000000007</v>
      </c>
      <c r="K22" s="53">
        <v>26935.05</v>
      </c>
      <c r="L22" s="53">
        <v>1494.36</v>
      </c>
      <c r="M22" s="53">
        <v>72692.52</v>
      </c>
      <c r="N22" s="53">
        <v>75348.81</v>
      </c>
      <c r="O22" s="53">
        <v>77362.679999999993</v>
      </c>
      <c r="P22" s="53">
        <v>79405.59</v>
      </c>
      <c r="Q22" s="53">
        <v>81359.16</v>
      </c>
      <c r="R22" s="53">
        <v>83242.710000000006</v>
      </c>
      <c r="S22" s="53">
        <v>85401.42</v>
      </c>
      <c r="T22" s="71">
        <v>87724.11</v>
      </c>
      <c r="U22" s="34">
        <v>90171.78</v>
      </c>
      <c r="V22" s="34">
        <v>92361.600000000006</v>
      </c>
      <c r="W22" s="72">
        <v>94358.97</v>
      </c>
      <c r="X22" s="72">
        <v>97165.68</v>
      </c>
      <c r="Y22" s="30">
        <f t="shared" si="48"/>
        <v>1903.5599999999977</v>
      </c>
      <c r="Z22" s="31">
        <f t="shared" si="49"/>
        <v>4.3093870795856762E-3</v>
      </c>
      <c r="AA22" s="30">
        <f t="shared" si="50"/>
        <v>590.2392090854371</v>
      </c>
      <c r="AB22" s="30">
        <f t="shared" si="51"/>
        <v>2493.799209085435</v>
      </c>
      <c r="AC22" s="30">
        <f t="shared" si="52"/>
        <v>2656.2899999999936</v>
      </c>
      <c r="AD22" s="31">
        <f t="shared" si="53"/>
        <v>7.4735297541040895E-3</v>
      </c>
      <c r="AE22" s="30">
        <f t="shared" si="54"/>
        <v>51.869510111275723</v>
      </c>
      <c r="AF22" s="30">
        <f t="shared" si="55"/>
        <v>2708.1595101112694</v>
      </c>
      <c r="AG22" s="30">
        <f t="shared" si="56"/>
        <v>2013.8699999999953</v>
      </c>
      <c r="AH22" s="31">
        <f t="shared" si="57"/>
        <v>6.9411095690405733E-3</v>
      </c>
      <c r="AI22" s="30">
        <f t="shared" si="58"/>
        <v>653.09170638375713</v>
      </c>
      <c r="AJ22" s="30">
        <f t="shared" si="59"/>
        <v>2666.9617063837522</v>
      </c>
      <c r="AK22" s="30">
        <f t="shared" si="60"/>
        <v>2042.9100000000035</v>
      </c>
      <c r="AL22" s="31">
        <f t="shared" si="61"/>
        <v>4.9673163901235327E-3</v>
      </c>
      <c r="AM22" s="30">
        <f t="shared" si="62"/>
        <v>205.77426054335942</v>
      </c>
      <c r="AN22" s="30">
        <f t="shared" si="63"/>
        <v>2248.6842605433631</v>
      </c>
      <c r="AO22" s="30">
        <f t="shared" si="64"/>
        <v>1953.570000000007</v>
      </c>
      <c r="AP22" s="31">
        <f t="shared" si="65"/>
        <v>5.3940780198437691E-3</v>
      </c>
      <c r="AQ22" s="30">
        <f t="shared" si="66"/>
        <v>469.97307208173891</v>
      </c>
      <c r="AR22" s="30">
        <f t="shared" si="67"/>
        <v>2423.5430720817458</v>
      </c>
      <c r="AS22" s="92">
        <f t="shared" si="68"/>
        <v>1883.5500000000029</v>
      </c>
      <c r="AT22" s="93">
        <f t="shared" si="69"/>
        <v>3.9763388469379489E-3</v>
      </c>
      <c r="AU22" s="94">
        <f t="shared" si="70"/>
        <v>471.09074061931386</v>
      </c>
      <c r="AV22" s="94">
        <f t="shared" si="71"/>
        <v>2354.6407406193166</v>
      </c>
      <c r="AW22" s="103">
        <f t="shared" si="72"/>
        <v>2158.7099999999919</v>
      </c>
      <c r="AX22" s="93">
        <f t="shared" si="73"/>
        <v>4.6538029253910523E-3</v>
      </c>
      <c r="AY22" s="103">
        <f t="shared" si="74"/>
        <v>480.89909646426059</v>
      </c>
      <c r="AZ22" s="103">
        <f t="shared" si="75"/>
        <v>2639.6090964642526</v>
      </c>
      <c r="BA22" s="103">
        <f t="shared" si="76"/>
        <v>2322.6900000000023</v>
      </c>
      <c r="BB22" s="90">
        <f t="shared" si="77"/>
        <v>6.6121701405500062E-3</v>
      </c>
      <c r="BC22" s="103">
        <f t="shared" si="78"/>
        <v>571.55605307084363</v>
      </c>
      <c r="BD22" s="103">
        <f t="shared" si="79"/>
        <v>2894.2460530708458</v>
      </c>
      <c r="BE22" s="103">
        <f t="shared" si="32"/>
        <v>2447.6699999999983</v>
      </c>
      <c r="BF22" s="93">
        <f t="shared" si="33"/>
        <v>6.3487141900001433E-3</v>
      </c>
      <c r="BG22" s="103">
        <f t="shared" si="34"/>
        <v>493.33375623242802</v>
      </c>
      <c r="BH22" s="103">
        <f t="shared" si="35"/>
        <v>2941.0037562324264</v>
      </c>
      <c r="BI22" s="103">
        <f t="shared" si="36"/>
        <v>2189.820000000007</v>
      </c>
      <c r="BJ22" s="90">
        <f t="shared" si="37"/>
        <v>4.5464649855114832E-3</v>
      </c>
      <c r="BK22" s="102">
        <f t="shared" si="38"/>
        <v>512.52149748326497</v>
      </c>
      <c r="BL22" s="102">
        <f t="shared" si="39"/>
        <v>2702.3414974832722</v>
      </c>
      <c r="BM22" s="94">
        <f t="shared" si="40"/>
        <v>1997.3699999999953</v>
      </c>
      <c r="BN22" s="90">
        <f t="shared" si="41"/>
        <v>5.1536742489911094E-3</v>
      </c>
      <c r="BO22" s="94">
        <f t="shared" si="42"/>
        <v>505.87265621996647</v>
      </c>
      <c r="BP22" s="94">
        <f t="shared" si="43"/>
        <v>2503.2426562199616</v>
      </c>
      <c r="BQ22" s="94">
        <f t="shared" si="44"/>
        <v>2806.7099999999919</v>
      </c>
      <c r="BR22" s="104">
        <f t="shared" si="45"/>
        <v>5.3317230005478231E-3</v>
      </c>
      <c r="BS22" s="94">
        <f t="shared" si="46"/>
        <v>606.42446913870037</v>
      </c>
      <c r="BT22" s="94">
        <f t="shared" si="47"/>
        <v>3413.1344691386921</v>
      </c>
    </row>
    <row r="23" spans="1:72" ht="13.5" customHeight="1">
      <c r="A23" s="16">
        <v>20</v>
      </c>
      <c r="B23" s="16" t="s">
        <v>49</v>
      </c>
      <c r="C23" s="17" t="s">
        <v>50</v>
      </c>
      <c r="D23" s="21" t="s">
        <v>67</v>
      </c>
      <c r="E23" s="18" t="s">
        <v>49</v>
      </c>
      <c r="F23" s="56" t="s">
        <v>87</v>
      </c>
      <c r="G23" s="56" t="s">
        <v>88</v>
      </c>
      <c r="H23" s="53">
        <v>1159938.8</v>
      </c>
      <c r="I23" s="53">
        <v>2064298.1</v>
      </c>
      <c r="J23" s="53">
        <v>2109107.9</v>
      </c>
      <c r="K23" s="53">
        <v>904359.3</v>
      </c>
      <c r="L23" s="53">
        <v>44809.8</v>
      </c>
      <c r="M23" s="53">
        <v>2122584.4</v>
      </c>
      <c r="N23" s="53">
        <v>2200047.2999999998</v>
      </c>
      <c r="O23" s="53">
        <v>2269943</v>
      </c>
      <c r="P23" s="53">
        <v>2355516.4</v>
      </c>
      <c r="Q23" s="53">
        <v>2425487.7999999998</v>
      </c>
      <c r="R23" s="53">
        <v>2507627.5</v>
      </c>
      <c r="S23" s="53">
        <v>2578393.7999999998</v>
      </c>
      <c r="T23" s="71">
        <v>2645325</v>
      </c>
      <c r="U23" s="34">
        <v>2724471.1</v>
      </c>
      <c r="V23" s="34">
        <v>2800340.7</v>
      </c>
      <c r="W23" s="72">
        <v>2866696.7</v>
      </c>
      <c r="X23" s="72">
        <v>2938675.7</v>
      </c>
      <c r="Y23" s="30">
        <f t="shared" si="48"/>
        <v>58286.299999999814</v>
      </c>
      <c r="Z23" s="31">
        <f t="shared" si="49"/>
        <v>0.13195183137744756</v>
      </c>
      <c r="AA23" s="30">
        <f t="shared" si="50"/>
        <v>18072.905299815317</v>
      </c>
      <c r="AB23" s="30">
        <f t="shared" si="51"/>
        <v>76359.205299815134</v>
      </c>
      <c r="AC23" s="30">
        <f t="shared" si="52"/>
        <v>77462.899999999907</v>
      </c>
      <c r="AD23" s="31">
        <f t="shared" si="53"/>
        <v>0.21794355585767758</v>
      </c>
      <c r="AE23" s="30">
        <f t="shared" si="54"/>
        <v>1512.6219933812743</v>
      </c>
      <c r="AF23" s="30">
        <f t="shared" si="55"/>
        <v>78975.521993381175</v>
      </c>
      <c r="AG23" s="30">
        <f t="shared" si="56"/>
        <v>69895.700000000186</v>
      </c>
      <c r="AH23" s="31">
        <f t="shared" si="57"/>
        <v>0.24090617175130055</v>
      </c>
      <c r="AI23" s="30">
        <f t="shared" si="58"/>
        <v>22666.95565348677</v>
      </c>
      <c r="AJ23" s="30">
        <f t="shared" si="59"/>
        <v>92562.65565348696</v>
      </c>
      <c r="AK23" s="30">
        <f t="shared" si="60"/>
        <v>85573.399999999907</v>
      </c>
      <c r="AL23" s="31">
        <f t="shared" si="61"/>
        <v>0.20807091471410682</v>
      </c>
      <c r="AM23" s="30">
        <f t="shared" si="62"/>
        <v>8619.4708074173923</v>
      </c>
      <c r="AN23" s="30">
        <f t="shared" si="63"/>
        <v>94192.870807417305</v>
      </c>
      <c r="AO23" s="30">
        <f t="shared" si="64"/>
        <v>69971.399999999907</v>
      </c>
      <c r="AP23" s="31">
        <f t="shared" si="65"/>
        <v>0.19320075080887528</v>
      </c>
      <c r="AQ23" s="30">
        <f t="shared" si="66"/>
        <v>16833.117736175322</v>
      </c>
      <c r="AR23" s="30">
        <f t="shared" si="67"/>
        <v>86804.517736175228</v>
      </c>
      <c r="AS23" s="92">
        <f t="shared" si="68"/>
        <v>82139.700000000186</v>
      </c>
      <c r="AT23" s="93">
        <f t="shared" si="69"/>
        <v>0.17340409332687176</v>
      </c>
      <c r="AU23" s="94">
        <f t="shared" si="70"/>
        <v>20543.788116720178</v>
      </c>
      <c r="AV23" s="94">
        <f t="shared" si="71"/>
        <v>102683.48811672037</v>
      </c>
      <c r="AW23" s="103">
        <f t="shared" si="72"/>
        <v>70766.299999999814</v>
      </c>
      <c r="AX23" s="93">
        <f t="shared" si="73"/>
        <v>0.15255982228233583</v>
      </c>
      <c r="AY23" s="103">
        <f t="shared" si="74"/>
        <v>15764.715839607377</v>
      </c>
      <c r="AZ23" s="103">
        <f t="shared" si="75"/>
        <v>86531.015839607193</v>
      </c>
      <c r="BA23" s="103">
        <f t="shared" si="76"/>
        <v>66931.200000000186</v>
      </c>
      <c r="BB23" s="90">
        <f t="shared" si="77"/>
        <v>0.19053790308271071</v>
      </c>
      <c r="BC23" s="103">
        <f t="shared" si="78"/>
        <v>16470.098247848535</v>
      </c>
      <c r="BD23" s="103">
        <f t="shared" si="79"/>
        <v>83401.298247848725</v>
      </c>
      <c r="BE23" s="103">
        <f t="shared" si="32"/>
        <v>79146.100000000093</v>
      </c>
      <c r="BF23" s="93">
        <f t="shared" si="33"/>
        <v>0.20528746446750226</v>
      </c>
      <c r="BG23" s="103">
        <f t="shared" si="34"/>
        <v>15952.086189783526</v>
      </c>
      <c r="BH23" s="103">
        <f t="shared" si="35"/>
        <v>95098.186189783621</v>
      </c>
      <c r="BI23" s="103">
        <f t="shared" si="36"/>
        <v>75869.600000000093</v>
      </c>
      <c r="BJ23" s="90">
        <f t="shared" si="37"/>
        <v>0.15751910196489272</v>
      </c>
      <c r="BK23" s="102">
        <f t="shared" si="38"/>
        <v>17757.076383198731</v>
      </c>
      <c r="BL23" s="102">
        <f t="shared" si="39"/>
        <v>93626.676383198821</v>
      </c>
      <c r="BM23" s="94">
        <f t="shared" si="40"/>
        <v>66356</v>
      </c>
      <c r="BN23" s="90">
        <f t="shared" si="41"/>
        <v>0.17121375031469127</v>
      </c>
      <c r="BO23" s="94">
        <f t="shared" si="42"/>
        <v>16805.942802851838</v>
      </c>
      <c r="BP23" s="94">
        <f t="shared" si="43"/>
        <v>83161.942802851845</v>
      </c>
      <c r="BQ23" s="94">
        <f t="shared" si="44"/>
        <v>71979</v>
      </c>
      <c r="BR23" s="90">
        <f t="shared" si="45"/>
        <v>0.13673378790699176</v>
      </c>
      <c r="BS23" s="94">
        <f t="shared" si="46"/>
        <v>15551.954731388221</v>
      </c>
      <c r="BT23" s="94">
        <f t="shared" si="47"/>
        <v>87530.954731388221</v>
      </c>
    </row>
    <row r="24" spans="1:72" ht="27">
      <c r="A24" s="11">
        <v>21</v>
      </c>
      <c r="B24" s="16" t="s">
        <v>49</v>
      </c>
      <c r="C24" s="17" t="s">
        <v>50</v>
      </c>
      <c r="D24" s="21" t="s">
        <v>67</v>
      </c>
      <c r="E24" s="18" t="s">
        <v>49</v>
      </c>
      <c r="F24" s="56" t="s">
        <v>89</v>
      </c>
      <c r="G24" s="56" t="s">
        <v>90</v>
      </c>
      <c r="H24" s="53">
        <v>546901.04</v>
      </c>
      <c r="I24" s="53">
        <v>809797.04</v>
      </c>
      <c r="J24" s="53">
        <v>824998.24</v>
      </c>
      <c r="K24" s="53">
        <v>262896</v>
      </c>
      <c r="L24" s="53">
        <v>15201.2</v>
      </c>
      <c r="M24" s="53">
        <v>830161.61</v>
      </c>
      <c r="N24" s="53">
        <v>856708.32</v>
      </c>
      <c r="O24" s="53">
        <v>876215.28</v>
      </c>
      <c r="P24" s="53">
        <v>900145.2</v>
      </c>
      <c r="Q24" s="53">
        <v>917684.4</v>
      </c>
      <c r="R24" s="53">
        <v>939442.4</v>
      </c>
      <c r="S24" s="53">
        <v>956001.44</v>
      </c>
      <c r="T24" s="71">
        <v>967472.16</v>
      </c>
      <c r="U24" s="34">
        <v>985035.36</v>
      </c>
      <c r="V24" s="34">
        <v>1004438.2</v>
      </c>
      <c r="W24" s="72">
        <v>1022243</v>
      </c>
      <c r="X24" s="72">
        <v>1048141.5</v>
      </c>
      <c r="Y24" s="30">
        <f t="shared" si="48"/>
        <v>20364.569999999949</v>
      </c>
      <c r="Z24" s="31">
        <f t="shared" si="49"/>
        <v>4.6102468448232757E-2</v>
      </c>
      <c r="AA24" s="30">
        <f t="shared" si="50"/>
        <v>6314.4674663078667</v>
      </c>
      <c r="AB24" s="30">
        <f t="shared" si="51"/>
        <v>26679.037466307815</v>
      </c>
      <c r="AC24" s="30">
        <f t="shared" si="52"/>
        <v>26546.709999999963</v>
      </c>
      <c r="AD24" s="31">
        <f t="shared" si="53"/>
        <v>7.4689746623513548E-2</v>
      </c>
      <c r="AE24" s="30">
        <f t="shared" si="54"/>
        <v>518.37895815822287</v>
      </c>
      <c r="AF24" s="30">
        <f t="shared" si="55"/>
        <v>27065.088958158187</v>
      </c>
      <c r="AG24" s="30">
        <f t="shared" si="56"/>
        <v>19506.960000000079</v>
      </c>
      <c r="AH24" s="31">
        <f t="shared" si="57"/>
        <v>6.7233707597259287E-2</v>
      </c>
      <c r="AI24" s="30">
        <f t="shared" si="58"/>
        <v>6326.045768972067</v>
      </c>
      <c r="AJ24" s="30">
        <f t="shared" si="59"/>
        <v>25833.005768972147</v>
      </c>
      <c r="AK24" s="30">
        <f t="shared" si="60"/>
        <v>23929.919999999925</v>
      </c>
      <c r="AL24" s="31">
        <f t="shared" si="61"/>
        <v>5.8185374700963022E-2</v>
      </c>
      <c r="AM24" s="30">
        <f t="shared" si="62"/>
        <v>2410.3663856272296</v>
      </c>
      <c r="AN24" s="30">
        <f t="shared" si="63"/>
        <v>26340.286385627154</v>
      </c>
      <c r="AO24" s="30">
        <f t="shared" si="64"/>
        <v>17539.20000000007</v>
      </c>
      <c r="AP24" s="31">
        <f t="shared" si="65"/>
        <v>4.8428166487837071E-2</v>
      </c>
      <c r="AQ24" s="30">
        <f t="shared" si="66"/>
        <v>4219.4299184856636</v>
      </c>
      <c r="AR24" s="30">
        <f t="shared" si="67"/>
        <v>21758.629918485734</v>
      </c>
      <c r="AS24" s="92">
        <f t="shared" si="68"/>
        <v>21758</v>
      </c>
      <c r="AT24" s="93">
        <f t="shared" si="69"/>
        <v>4.5933041666892709E-2</v>
      </c>
      <c r="AU24" s="94">
        <f t="shared" si="70"/>
        <v>5441.847752592188</v>
      </c>
      <c r="AV24" s="94">
        <f t="shared" si="71"/>
        <v>27199.847752592188</v>
      </c>
      <c r="AW24" s="103">
        <f t="shared" si="72"/>
        <v>16559.039999999921</v>
      </c>
      <c r="AX24" s="93">
        <f t="shared" si="73"/>
        <v>3.5698407286605137E-2</v>
      </c>
      <c r="AY24" s="103">
        <f t="shared" si="74"/>
        <v>3688.8824225187923</v>
      </c>
      <c r="AZ24" s="103">
        <f t="shared" si="75"/>
        <v>20247.922422518714</v>
      </c>
      <c r="BA24" s="103">
        <f t="shared" si="76"/>
        <v>11470.720000000088</v>
      </c>
      <c r="BB24" s="90">
        <f t="shared" si="77"/>
        <v>3.2654530856296049E-2</v>
      </c>
      <c r="BC24" s="103">
        <f t="shared" si="78"/>
        <v>2822.6579737635375</v>
      </c>
      <c r="BD24" s="103">
        <f t="shared" si="79"/>
        <v>14293.377973763625</v>
      </c>
      <c r="BE24" s="103">
        <f t="shared" si="32"/>
        <v>17563.199999999953</v>
      </c>
      <c r="BF24" s="93">
        <f t="shared" si="33"/>
        <v>4.5555053198270315E-2</v>
      </c>
      <c r="BG24" s="103">
        <f t="shared" si="34"/>
        <v>3539.9050637795795</v>
      </c>
      <c r="BH24" s="103">
        <f t="shared" si="35"/>
        <v>21103.105063779534</v>
      </c>
      <c r="BI24" s="103">
        <f t="shared" si="36"/>
        <v>19402.839999999967</v>
      </c>
      <c r="BJ24" s="90">
        <f t="shared" si="37"/>
        <v>4.0283828204821036E-2</v>
      </c>
      <c r="BK24" s="102">
        <f t="shared" si="38"/>
        <v>4541.1826598661737</v>
      </c>
      <c r="BL24" s="102">
        <f t="shared" si="39"/>
        <v>23944.022659866139</v>
      </c>
      <c r="BM24" s="94">
        <f t="shared" si="40"/>
        <v>17804.800000000047</v>
      </c>
      <c r="BN24" s="90">
        <f t="shared" si="41"/>
        <v>4.5940481367216575E-2</v>
      </c>
      <c r="BO24" s="94">
        <f t="shared" si="42"/>
        <v>4509.4106096843871</v>
      </c>
      <c r="BP24" s="94">
        <f t="shared" si="43"/>
        <v>22314.210609684433</v>
      </c>
      <c r="BQ24" s="94">
        <f t="shared" si="44"/>
        <v>25898.5</v>
      </c>
      <c r="BR24" s="90">
        <f t="shared" si="45"/>
        <v>4.9197682742316874E-2</v>
      </c>
      <c r="BS24" s="94">
        <f t="shared" si="46"/>
        <v>5595.6917935906013</v>
      </c>
      <c r="BT24" s="94">
        <f t="shared" si="47"/>
        <v>31494.191793590602</v>
      </c>
    </row>
    <row r="25" spans="1:72" ht="27">
      <c r="A25" s="16">
        <v>22</v>
      </c>
      <c r="B25" s="16" t="s">
        <v>49</v>
      </c>
      <c r="C25" s="17" t="s">
        <v>50</v>
      </c>
      <c r="D25" s="21" t="s">
        <v>67</v>
      </c>
      <c r="E25" s="18" t="s">
        <v>49</v>
      </c>
      <c r="F25" s="56" t="s">
        <v>91</v>
      </c>
      <c r="G25" s="56" t="s">
        <v>92</v>
      </c>
      <c r="H25" s="53">
        <v>241013.44</v>
      </c>
      <c r="I25" s="53">
        <v>407818.56</v>
      </c>
      <c r="J25" s="53">
        <v>417206.24</v>
      </c>
      <c r="K25" s="53">
        <v>166805.12</v>
      </c>
      <c r="L25" s="53">
        <v>9387.68</v>
      </c>
      <c r="M25" s="53">
        <v>420877.6</v>
      </c>
      <c r="N25" s="53">
        <v>438602.4</v>
      </c>
      <c r="O25" s="53">
        <v>451712.96</v>
      </c>
      <c r="P25" s="53">
        <v>466424.32000000001</v>
      </c>
      <c r="Q25" s="53">
        <v>475678.56</v>
      </c>
      <c r="R25" s="53">
        <v>487489.76</v>
      </c>
      <c r="S25" s="53">
        <v>496885.76000000001</v>
      </c>
      <c r="T25" s="71">
        <v>512104.96000000002</v>
      </c>
      <c r="U25" s="34">
        <v>541816</v>
      </c>
      <c r="V25" s="34">
        <v>580839.04</v>
      </c>
      <c r="W25" s="72">
        <v>620897.28000000003</v>
      </c>
      <c r="X25" s="72">
        <v>659648.52</v>
      </c>
      <c r="Y25" s="30">
        <f t="shared" si="48"/>
        <v>13059.039999999979</v>
      </c>
      <c r="Z25" s="31">
        <f t="shared" si="49"/>
        <v>2.9563795334947417E-2</v>
      </c>
      <c r="AA25" s="30">
        <f t="shared" si="50"/>
        <v>4049.2327223807411</v>
      </c>
      <c r="AB25" s="30">
        <f t="shared" si="51"/>
        <v>17108.27272238072</v>
      </c>
      <c r="AC25" s="30">
        <f t="shared" si="52"/>
        <v>17724.800000000047</v>
      </c>
      <c r="AD25" s="31">
        <f t="shared" si="53"/>
        <v>4.9869110746772694E-2</v>
      </c>
      <c r="AE25" s="30">
        <f t="shared" si="54"/>
        <v>346.11307230021742</v>
      </c>
      <c r="AF25" s="30">
        <f t="shared" si="55"/>
        <v>18070.913072300264</v>
      </c>
      <c r="AG25" s="30">
        <f t="shared" si="56"/>
        <v>13110.559999999998</v>
      </c>
      <c r="AH25" s="31">
        <f t="shared" si="57"/>
        <v>4.5187541137948713E-2</v>
      </c>
      <c r="AI25" s="30">
        <f t="shared" si="58"/>
        <v>4251.7133688106233</v>
      </c>
      <c r="AJ25" s="30">
        <f t="shared" si="59"/>
        <v>17362.27336881062</v>
      </c>
      <c r="AK25" s="30">
        <f t="shared" si="60"/>
        <v>14711.359999999986</v>
      </c>
      <c r="AL25" s="31">
        <f t="shared" si="61"/>
        <v>3.5770533038169836E-2</v>
      </c>
      <c r="AM25" s="30">
        <f t="shared" si="62"/>
        <v>1481.817224247347</v>
      </c>
      <c r="AN25" s="30">
        <f t="shared" si="63"/>
        <v>16193.177224247333</v>
      </c>
      <c r="AO25" s="30">
        <f t="shared" si="64"/>
        <v>9254.2399999999907</v>
      </c>
      <c r="AP25" s="31">
        <f t="shared" si="65"/>
        <v>2.5552241575351162E-2</v>
      </c>
      <c r="AQ25" s="30">
        <f t="shared" si="66"/>
        <v>2226.3054830805609</v>
      </c>
      <c r="AR25" s="30">
        <f t="shared" si="67"/>
        <v>11480.545483080552</v>
      </c>
      <c r="AS25" s="92">
        <f t="shared" si="68"/>
        <v>11811.200000000012</v>
      </c>
      <c r="AT25" s="93">
        <f t="shared" si="69"/>
        <v>2.4934476594172431E-2</v>
      </c>
      <c r="AU25" s="94">
        <f t="shared" si="70"/>
        <v>2954.0744634349171</v>
      </c>
      <c r="AV25" s="94">
        <f t="shared" si="71"/>
        <v>14765.274463434929</v>
      </c>
      <c r="AW25" s="103">
        <f t="shared" si="72"/>
        <v>9396</v>
      </c>
      <c r="AX25" s="93">
        <f t="shared" si="73"/>
        <v>2.0256140142480689E-2</v>
      </c>
      <c r="AY25" s="103">
        <f t="shared" si="74"/>
        <v>2093.1611519741928</v>
      </c>
      <c r="AZ25" s="103">
        <f t="shared" si="75"/>
        <v>11489.161151974193</v>
      </c>
      <c r="BA25" s="103">
        <f t="shared" si="76"/>
        <v>15219.200000000012</v>
      </c>
      <c r="BB25" s="90">
        <f t="shared" si="77"/>
        <v>4.332560083483316E-2</v>
      </c>
      <c r="BC25" s="103">
        <f t="shared" si="78"/>
        <v>3745.0653694189846</v>
      </c>
      <c r="BD25" s="103">
        <f t="shared" si="79"/>
        <v>18964.265369418998</v>
      </c>
      <c r="BE25" s="103">
        <f t="shared" si="32"/>
        <v>29711.039999999979</v>
      </c>
      <c r="BF25" s="93">
        <f t="shared" si="33"/>
        <v>7.7063861242594733E-2</v>
      </c>
      <c r="BG25" s="103">
        <f t="shared" si="34"/>
        <v>5988.3313374645759</v>
      </c>
      <c r="BH25" s="103">
        <f t="shared" si="35"/>
        <v>35699.371337464552</v>
      </c>
      <c r="BI25" s="103">
        <f t="shared" si="36"/>
        <v>39023.040000000037</v>
      </c>
      <c r="BJ25" s="90">
        <f t="shared" si="37"/>
        <v>8.1018935340901821E-2</v>
      </c>
      <c r="BK25" s="102">
        <f t="shared" si="38"/>
        <v>9133.237844731213</v>
      </c>
      <c r="BL25" s="102">
        <f t="shared" si="39"/>
        <v>48156.277844731252</v>
      </c>
      <c r="BM25" s="94">
        <f t="shared" si="40"/>
        <v>40058.239999999991</v>
      </c>
      <c r="BN25" s="90">
        <f t="shared" si="41"/>
        <v>0.10335947768711158</v>
      </c>
      <c r="BO25" s="94">
        <f t="shared" si="42"/>
        <v>10145.525502183847</v>
      </c>
      <c r="BP25" s="94">
        <f t="shared" si="43"/>
        <v>50203.765502183836</v>
      </c>
      <c r="BQ25" s="94">
        <f t="shared" si="44"/>
        <v>38751.239999999991</v>
      </c>
      <c r="BR25" s="90">
        <f t="shared" si="45"/>
        <v>7.3613190392933139E-2</v>
      </c>
      <c r="BS25" s="94">
        <f t="shared" si="46"/>
        <v>8372.6855091785164</v>
      </c>
      <c r="BT25" s="94">
        <f t="shared" si="47"/>
        <v>47123.925509178509</v>
      </c>
    </row>
    <row r="26" spans="1:72" ht="27">
      <c r="A26" s="11">
        <v>23</v>
      </c>
      <c r="B26" s="16" t="s">
        <v>49</v>
      </c>
      <c r="C26" s="17" t="s">
        <v>50</v>
      </c>
      <c r="D26" s="21" t="s">
        <v>67</v>
      </c>
      <c r="E26" s="18" t="s">
        <v>49</v>
      </c>
      <c r="F26" s="56" t="s">
        <v>93</v>
      </c>
      <c r="G26" s="56" t="s">
        <v>94</v>
      </c>
      <c r="H26" s="53">
        <v>39121.089999999997</v>
      </c>
      <c r="I26" s="53">
        <v>71446.850000000006</v>
      </c>
      <c r="J26" s="53">
        <v>72752.850000000006</v>
      </c>
      <c r="K26" s="53">
        <v>32325.759999999998</v>
      </c>
      <c r="L26" s="53">
        <v>1306</v>
      </c>
      <c r="M26" s="53">
        <v>73209.77</v>
      </c>
      <c r="N26" s="53">
        <v>75649.649999999994</v>
      </c>
      <c r="O26" s="53">
        <v>78293.5</v>
      </c>
      <c r="P26" s="53">
        <v>81618.23</v>
      </c>
      <c r="Q26" s="53">
        <v>84822.48</v>
      </c>
      <c r="R26" s="53">
        <v>88353.56</v>
      </c>
      <c r="S26" s="53">
        <v>91920.02</v>
      </c>
      <c r="T26" s="71">
        <v>94880.25</v>
      </c>
      <c r="U26" s="34">
        <v>97894.53</v>
      </c>
      <c r="V26" s="34">
        <v>101404.9</v>
      </c>
      <c r="W26" s="72">
        <v>104430.79</v>
      </c>
      <c r="X26" s="72">
        <v>108258.41</v>
      </c>
      <c r="Y26" s="30">
        <f t="shared" si="48"/>
        <v>1762.9199999999983</v>
      </c>
      <c r="Z26" s="31">
        <f t="shared" si="49"/>
        <v>3.9909982718397009E-3</v>
      </c>
      <c r="AA26" s="30">
        <f t="shared" si="50"/>
        <v>546.63078993091835</v>
      </c>
      <c r="AB26" s="30">
        <f t="shared" si="51"/>
        <v>2309.5507899309168</v>
      </c>
      <c r="AC26" s="30">
        <f t="shared" si="52"/>
        <v>2439.8799999999901</v>
      </c>
      <c r="AD26" s="31">
        <f t="shared" si="53"/>
        <v>6.8646555069075505E-3</v>
      </c>
      <c r="AE26" s="30">
        <f t="shared" si="54"/>
        <v>47.643661019805521</v>
      </c>
      <c r="AF26" s="30">
        <f t="shared" si="55"/>
        <v>2487.5236610197958</v>
      </c>
      <c r="AG26" s="30">
        <f t="shared" si="56"/>
        <v>2643.8500000000058</v>
      </c>
      <c r="AH26" s="31">
        <f t="shared" si="57"/>
        <v>9.1124315542254492E-3</v>
      </c>
      <c r="AI26" s="30">
        <f t="shared" si="58"/>
        <v>857.39223878537564</v>
      </c>
      <c r="AJ26" s="30">
        <f t="shared" si="59"/>
        <v>3501.2422387853812</v>
      </c>
      <c r="AK26" s="30">
        <f t="shared" si="60"/>
        <v>3324.7299999999959</v>
      </c>
      <c r="AL26" s="31">
        <f t="shared" si="61"/>
        <v>8.0840496261388728E-3</v>
      </c>
      <c r="AM26" s="30">
        <f t="shared" si="62"/>
        <v>334.88692955456742</v>
      </c>
      <c r="AN26" s="30">
        <f t="shared" si="63"/>
        <v>3659.6169295545633</v>
      </c>
      <c r="AO26" s="30">
        <f t="shared" si="64"/>
        <v>3204.25</v>
      </c>
      <c r="AP26" s="31">
        <f t="shared" si="65"/>
        <v>8.8473791546165911E-3</v>
      </c>
      <c r="AQ26" s="30">
        <f t="shared" si="66"/>
        <v>770.8509120317708</v>
      </c>
      <c r="AR26" s="30">
        <f t="shared" si="67"/>
        <v>3975.1009120317708</v>
      </c>
      <c r="AS26" s="92">
        <f t="shared" si="68"/>
        <v>3531.0800000000017</v>
      </c>
      <c r="AT26" s="93">
        <f t="shared" si="69"/>
        <v>7.454418823840959E-3</v>
      </c>
      <c r="AU26" s="94">
        <f t="shared" si="70"/>
        <v>883.15101398213221</v>
      </c>
      <c r="AV26" s="94">
        <f t="shared" si="71"/>
        <v>4414.2310139821338</v>
      </c>
      <c r="AW26" s="103">
        <f t="shared" si="72"/>
        <v>3566.4600000000064</v>
      </c>
      <c r="AX26" s="93">
        <f t="shared" si="73"/>
        <v>7.6886668340306313E-3</v>
      </c>
      <c r="AY26" s="103">
        <f t="shared" si="74"/>
        <v>794.50569626116351</v>
      </c>
      <c r="AZ26" s="103">
        <f t="shared" si="75"/>
        <v>4360.9656962611698</v>
      </c>
      <c r="BA26" s="103">
        <f t="shared" si="76"/>
        <v>2960.2299999999959</v>
      </c>
      <c r="BB26" s="90">
        <f t="shared" si="77"/>
        <v>8.4271015138310743E-3</v>
      </c>
      <c r="BC26" s="103">
        <f t="shared" si="78"/>
        <v>728.43873912657284</v>
      </c>
      <c r="BD26" s="103">
        <f t="shared" si="79"/>
        <v>3688.6687391265687</v>
      </c>
      <c r="BE26" s="103">
        <f t="shared" si="32"/>
        <v>3014.2799999999988</v>
      </c>
      <c r="BF26" s="93">
        <f t="shared" si="33"/>
        <v>7.8183751112828274E-3</v>
      </c>
      <c r="BG26" s="103">
        <f t="shared" si="34"/>
        <v>607.53536005110311</v>
      </c>
      <c r="BH26" s="103">
        <f t="shared" si="35"/>
        <v>3621.8153600511018</v>
      </c>
      <c r="BI26" s="103">
        <f t="shared" si="36"/>
        <v>3510.3699999999953</v>
      </c>
      <c r="BJ26" s="90">
        <f t="shared" si="37"/>
        <v>7.2881671969339369E-3</v>
      </c>
      <c r="BK26" s="102">
        <f t="shared" si="38"/>
        <v>821.59268301518887</v>
      </c>
      <c r="BL26" s="102">
        <f t="shared" si="39"/>
        <v>4331.9626830151847</v>
      </c>
      <c r="BM26" s="94">
        <f t="shared" si="40"/>
        <v>3025.8899999999994</v>
      </c>
      <c r="BN26" s="90">
        <f t="shared" si="41"/>
        <v>7.8074925393290893E-3</v>
      </c>
      <c r="BO26" s="94">
        <f t="shared" si="42"/>
        <v>766.36527620292577</v>
      </c>
      <c r="BP26" s="94">
        <f t="shared" si="43"/>
        <v>3792.2552762029254</v>
      </c>
      <c r="BQ26" s="94">
        <f t="shared" si="44"/>
        <v>3827.6200000000099</v>
      </c>
      <c r="BR26" s="90">
        <f t="shared" si="45"/>
        <v>7.2710788044924382E-3</v>
      </c>
      <c r="BS26" s="94">
        <f t="shared" si="46"/>
        <v>827.00472316865114</v>
      </c>
      <c r="BT26" s="94">
        <f t="shared" si="47"/>
        <v>4654.6247231686611</v>
      </c>
    </row>
    <row r="27" spans="1:72" ht="13.5">
      <c r="A27" s="16">
        <v>24</v>
      </c>
      <c r="B27" s="16" t="s">
        <v>49</v>
      </c>
      <c r="C27" s="17" t="s">
        <v>50</v>
      </c>
      <c r="D27" s="21" t="s">
        <v>67</v>
      </c>
      <c r="E27" s="18" t="s">
        <v>49</v>
      </c>
      <c r="F27" s="56" t="s">
        <v>95</v>
      </c>
      <c r="G27" s="56" t="s">
        <v>96</v>
      </c>
      <c r="H27" s="53">
        <v>129557.16</v>
      </c>
      <c r="I27" s="53">
        <v>179860.56</v>
      </c>
      <c r="J27" s="53">
        <v>182334.38</v>
      </c>
      <c r="K27" s="53">
        <v>50303.4</v>
      </c>
      <c r="L27" s="53">
        <v>2473.8200000000002</v>
      </c>
      <c r="M27" s="53">
        <v>183112.92</v>
      </c>
      <c r="N27" s="53">
        <v>187936.98</v>
      </c>
      <c r="O27" s="53">
        <v>191083.04</v>
      </c>
      <c r="P27" s="53">
        <v>195210.88</v>
      </c>
      <c r="Q27" s="53">
        <v>199273.56</v>
      </c>
      <c r="R27" s="53">
        <v>204746.14</v>
      </c>
      <c r="S27" s="53">
        <v>209277.2</v>
      </c>
      <c r="T27" s="71">
        <v>213926.98</v>
      </c>
      <c r="U27" s="34">
        <v>218940.92</v>
      </c>
      <c r="V27" s="34">
        <v>223848.6</v>
      </c>
      <c r="W27" s="72">
        <v>228513.72</v>
      </c>
      <c r="X27" s="72">
        <v>234198</v>
      </c>
      <c r="Y27" s="30">
        <f t="shared" si="48"/>
        <v>3252.3600000000151</v>
      </c>
      <c r="Z27" s="31">
        <f t="shared" si="49"/>
        <v>7.3628770105283528E-3</v>
      </c>
      <c r="AA27" s="30">
        <f t="shared" si="50"/>
        <v>1008.4632972226373</v>
      </c>
      <c r="AB27" s="30">
        <f t="shared" si="51"/>
        <v>4260.8232972226524</v>
      </c>
      <c r="AC27" s="30">
        <f t="shared" si="52"/>
        <v>4824.0599999999977</v>
      </c>
      <c r="AD27" s="31">
        <f t="shared" si="53"/>
        <v>1.3572597850981423E-2</v>
      </c>
      <c r="AE27" s="30">
        <f t="shared" si="54"/>
        <v>94.199665302885322</v>
      </c>
      <c r="AF27" s="30">
        <f t="shared" si="55"/>
        <v>4918.2596653028831</v>
      </c>
      <c r="AG27" s="30">
        <f t="shared" si="56"/>
        <v>3146.0599999999977</v>
      </c>
      <c r="AH27" s="31">
        <f t="shared" si="57"/>
        <v>1.0843374781279736E-2</v>
      </c>
      <c r="AI27" s="30">
        <f t="shared" si="58"/>
        <v>1020.2573620867714</v>
      </c>
      <c r="AJ27" s="30">
        <f t="shared" si="59"/>
        <v>4166.3173620867692</v>
      </c>
      <c r="AK27" s="30">
        <f t="shared" si="60"/>
        <v>4127.8399999999965</v>
      </c>
      <c r="AL27" s="31">
        <f t="shared" si="61"/>
        <v>1.0036804013787917E-2</v>
      </c>
      <c r="AM27" s="30">
        <f t="shared" si="62"/>
        <v>415.78102982573807</v>
      </c>
      <c r="AN27" s="30">
        <f t="shared" si="63"/>
        <v>4543.6210298257347</v>
      </c>
      <c r="AO27" s="30">
        <f t="shared" si="64"/>
        <v>4062.679999999993</v>
      </c>
      <c r="AP27" s="31">
        <f t="shared" si="65"/>
        <v>1.1217623576149699E-2</v>
      </c>
      <c r="AQ27" s="30">
        <f t="shared" si="66"/>
        <v>977.36461989333827</v>
      </c>
      <c r="AR27" s="30">
        <f t="shared" si="67"/>
        <v>5040.0446198933314</v>
      </c>
      <c r="AS27" s="92">
        <f t="shared" si="68"/>
        <v>5472.5800000000163</v>
      </c>
      <c r="AT27" s="93">
        <f t="shared" si="69"/>
        <v>1.1553095190982831E-2</v>
      </c>
      <c r="AU27" s="94">
        <f t="shared" si="70"/>
        <v>1368.7355075779503</v>
      </c>
      <c r="AV27" s="94">
        <f t="shared" si="71"/>
        <v>6841.3155075779669</v>
      </c>
      <c r="AW27" s="103">
        <f t="shared" si="72"/>
        <v>4531.0599999999977</v>
      </c>
      <c r="AX27" s="93">
        <f t="shared" si="73"/>
        <v>9.7681764957416473E-3</v>
      </c>
      <c r="AY27" s="103">
        <f t="shared" si="74"/>
        <v>1009.3910993256899</v>
      </c>
      <c r="AZ27" s="103">
        <f t="shared" si="75"/>
        <v>5540.4510993256872</v>
      </c>
      <c r="BA27" s="103">
        <f t="shared" si="76"/>
        <v>4649.7799999999988</v>
      </c>
      <c r="BB27" s="90">
        <f t="shared" si="77"/>
        <v>1.3236866080332102E-2</v>
      </c>
      <c r="BC27" s="103">
        <f t="shared" si="78"/>
        <v>1144.1948363525671</v>
      </c>
      <c r="BD27" s="103">
        <f t="shared" si="79"/>
        <v>5793.9748363525659</v>
      </c>
      <c r="BE27" s="103">
        <f t="shared" si="32"/>
        <v>5013.9400000000023</v>
      </c>
      <c r="BF27" s="93">
        <f t="shared" si="33"/>
        <v>1.3005050527975322E-2</v>
      </c>
      <c r="BG27" s="103">
        <f t="shared" si="34"/>
        <v>1010.5716267813975</v>
      </c>
      <c r="BH27" s="103">
        <f t="shared" si="35"/>
        <v>6024.5116267814001</v>
      </c>
      <c r="BI27" s="103">
        <f t="shared" si="36"/>
        <v>4907.679999999993</v>
      </c>
      <c r="BJ27" s="90">
        <f t="shared" si="37"/>
        <v>1.0189237142822192E-2</v>
      </c>
      <c r="BK27" s="102">
        <f t="shared" si="38"/>
        <v>1148.6293406620903</v>
      </c>
      <c r="BL27" s="102">
        <f t="shared" si="39"/>
        <v>6056.3093406620828</v>
      </c>
      <c r="BM27" s="94">
        <f t="shared" si="40"/>
        <v>4665.1199999999953</v>
      </c>
      <c r="BN27" s="90">
        <f t="shared" si="41"/>
        <v>1.2037083170596053E-2</v>
      </c>
      <c r="BO27" s="94">
        <f t="shared" si="42"/>
        <v>1181.5320376219195</v>
      </c>
      <c r="BP27" s="94">
        <f t="shared" si="43"/>
        <v>5846.652037621915</v>
      </c>
      <c r="BQ27" s="94">
        <f t="shared" si="44"/>
        <v>5684.2799999999988</v>
      </c>
      <c r="BR27" s="90">
        <f t="shared" si="45"/>
        <v>1.0798054098055752E-2</v>
      </c>
      <c r="BS27" s="94">
        <f t="shared" si="46"/>
        <v>1228.1591191949794</v>
      </c>
      <c r="BT27" s="94">
        <f t="shared" si="47"/>
        <v>6912.439119194978</v>
      </c>
    </row>
    <row r="28" spans="1:72" ht="13.5">
      <c r="A28" s="11">
        <v>25</v>
      </c>
      <c r="B28" s="16" t="s">
        <v>49</v>
      </c>
      <c r="C28" s="17" t="s">
        <v>50</v>
      </c>
      <c r="D28" s="21" t="s">
        <v>67</v>
      </c>
      <c r="E28" s="18" t="s">
        <v>49</v>
      </c>
      <c r="F28" s="56" t="s">
        <v>97</v>
      </c>
      <c r="G28" s="56" t="s">
        <v>98</v>
      </c>
      <c r="H28" s="53">
        <v>25894.32</v>
      </c>
      <c r="I28" s="53">
        <v>40399.58</v>
      </c>
      <c r="J28" s="53">
        <v>40977.24</v>
      </c>
      <c r="K28" s="53">
        <v>14505.26</v>
      </c>
      <c r="L28" s="53">
        <v>577.66</v>
      </c>
      <c r="M28" s="53">
        <v>41191.040000000001</v>
      </c>
      <c r="N28" s="53">
        <v>42269.62</v>
      </c>
      <c r="O28" s="53">
        <v>43104.07</v>
      </c>
      <c r="P28" s="53">
        <v>44152.26</v>
      </c>
      <c r="Q28" s="53">
        <v>45032.09</v>
      </c>
      <c r="R28" s="53">
        <v>46006.38</v>
      </c>
      <c r="S28" s="53">
        <v>46812.38</v>
      </c>
      <c r="T28" s="71">
        <v>47768.76</v>
      </c>
      <c r="U28" s="34">
        <v>48862.8</v>
      </c>
      <c r="V28" s="34">
        <v>49934.38</v>
      </c>
      <c r="W28" s="72">
        <v>50928.22</v>
      </c>
      <c r="X28" s="72">
        <v>52071.57</v>
      </c>
      <c r="Y28" s="30">
        <f t="shared" si="48"/>
        <v>791.45999999999913</v>
      </c>
      <c r="Z28" s="31">
        <f t="shared" si="49"/>
        <v>1.7917520319868454E-3</v>
      </c>
      <c r="AA28" s="30">
        <f t="shared" si="50"/>
        <v>245.40898339046845</v>
      </c>
      <c r="AB28" s="30">
        <f t="shared" si="51"/>
        <v>1036.8689833904675</v>
      </c>
      <c r="AC28" s="30">
        <f t="shared" si="52"/>
        <v>1078.5800000000017</v>
      </c>
      <c r="AD28" s="31">
        <f t="shared" si="53"/>
        <v>3.0346083154255076E-3</v>
      </c>
      <c r="AE28" s="30">
        <f t="shared" si="54"/>
        <v>21.061486590628281</v>
      </c>
      <c r="AF28" s="30">
        <f t="shared" si="55"/>
        <v>1099.6414865906299</v>
      </c>
      <c r="AG28" s="30">
        <f t="shared" si="56"/>
        <v>834.44999999999709</v>
      </c>
      <c r="AH28" s="31">
        <f t="shared" si="57"/>
        <v>2.8760589709792093E-3</v>
      </c>
      <c r="AI28" s="30">
        <f t="shared" si="58"/>
        <v>270.6095102424315</v>
      </c>
      <c r="AJ28" s="30">
        <f t="shared" si="59"/>
        <v>1105.0595102424286</v>
      </c>
      <c r="AK28" s="30">
        <f t="shared" si="60"/>
        <v>1048.1900000000023</v>
      </c>
      <c r="AL28" s="31">
        <f t="shared" si="61"/>
        <v>2.5486640953167731E-3</v>
      </c>
      <c r="AM28" s="30">
        <f t="shared" si="62"/>
        <v>105.58004129351956</v>
      </c>
      <c r="AN28" s="30">
        <f t="shared" si="63"/>
        <v>1153.7700412935219</v>
      </c>
      <c r="AO28" s="30">
        <f t="shared" si="64"/>
        <v>879.82999999999447</v>
      </c>
      <c r="AP28" s="31">
        <f t="shared" si="65"/>
        <v>2.429332792886406E-3</v>
      </c>
      <c r="AQ28" s="30">
        <f t="shared" si="66"/>
        <v>211.66193584548915</v>
      </c>
      <c r="AR28" s="30">
        <f t="shared" si="67"/>
        <v>1091.4919358454836</v>
      </c>
      <c r="AS28" s="92">
        <f t="shared" si="68"/>
        <v>974.29000000000087</v>
      </c>
      <c r="AT28" s="93">
        <f t="shared" si="69"/>
        <v>2.0568114332951992E-3</v>
      </c>
      <c r="AU28" s="94">
        <f t="shared" si="70"/>
        <v>243.67762877438406</v>
      </c>
      <c r="AV28" s="94">
        <f t="shared" si="71"/>
        <v>1217.967628774385</v>
      </c>
      <c r="AW28" s="103">
        <f t="shared" si="72"/>
        <v>806</v>
      </c>
      <c r="AX28" s="93">
        <f t="shared" si="73"/>
        <v>1.7375956742059851E-3</v>
      </c>
      <c r="AY28" s="103">
        <f t="shared" si="74"/>
        <v>179.55384083558954</v>
      </c>
      <c r="AZ28" s="103">
        <f t="shared" si="75"/>
        <v>985.55384083558954</v>
      </c>
      <c r="BA28" s="103">
        <f t="shared" si="76"/>
        <v>956.38000000000466</v>
      </c>
      <c r="BB28" s="90">
        <f t="shared" si="77"/>
        <v>2.7225963340003355E-3</v>
      </c>
      <c r="BC28" s="103">
        <f t="shared" si="78"/>
        <v>235.3412543369522</v>
      </c>
      <c r="BD28" s="103">
        <f t="shared" si="79"/>
        <v>1191.7212543369569</v>
      </c>
      <c r="BE28" s="103">
        <f t="shared" si="32"/>
        <v>1094.0400000000009</v>
      </c>
      <c r="BF28" s="93">
        <f t="shared" si="33"/>
        <v>2.8376975950302808E-3</v>
      </c>
      <c r="BG28" s="103">
        <f t="shared" si="34"/>
        <v>220.50638471220645</v>
      </c>
      <c r="BH28" s="103">
        <f t="shared" si="35"/>
        <v>1314.5463847122073</v>
      </c>
      <c r="BI28" s="103">
        <f t="shared" si="36"/>
        <v>1071.5799999999945</v>
      </c>
      <c r="BJ28" s="90">
        <f t="shared" si="37"/>
        <v>2.2247951654356772E-3</v>
      </c>
      <c r="BK28" s="102">
        <f t="shared" si="38"/>
        <v>250.80042481715964</v>
      </c>
      <c r="BL28" s="102">
        <f t="shared" si="39"/>
        <v>1322.3804248171541</v>
      </c>
      <c r="BM28" s="94">
        <f t="shared" si="40"/>
        <v>993.84000000000378</v>
      </c>
      <c r="BN28" s="90">
        <f t="shared" si="41"/>
        <v>2.5643359095297094E-3</v>
      </c>
      <c r="BO28" s="94">
        <f t="shared" si="42"/>
        <v>251.70923797676673</v>
      </c>
      <c r="BP28" s="94">
        <f t="shared" si="43"/>
        <v>1245.5492379767704</v>
      </c>
      <c r="BQ28" s="94">
        <f t="shared" si="44"/>
        <v>1143.3499999999985</v>
      </c>
      <c r="BR28" s="90">
        <f t="shared" si="45"/>
        <v>2.1719470457141504E-3</v>
      </c>
      <c r="BS28" s="94">
        <f t="shared" si="46"/>
        <v>247.03493299618916</v>
      </c>
      <c r="BT28" s="94">
        <f t="shared" si="47"/>
        <v>1390.3849329961877</v>
      </c>
    </row>
    <row r="29" spans="1:72" ht="13.5">
      <c r="A29" s="16">
        <v>26</v>
      </c>
      <c r="B29" s="16" t="s">
        <v>83</v>
      </c>
      <c r="C29" s="17" t="s">
        <v>84</v>
      </c>
      <c r="D29" s="21" t="s">
        <v>67</v>
      </c>
      <c r="E29" s="18" t="s">
        <v>83</v>
      </c>
      <c r="F29" s="56" t="s">
        <v>99</v>
      </c>
      <c r="G29" s="56" t="s">
        <v>100</v>
      </c>
      <c r="H29" s="53">
        <v>95613.27</v>
      </c>
      <c r="I29" s="53">
        <v>126530.85</v>
      </c>
      <c r="J29" s="53">
        <v>126854.46</v>
      </c>
      <c r="K29" s="53">
        <v>30917.58</v>
      </c>
      <c r="L29" s="53">
        <v>323.61</v>
      </c>
      <c r="M29" s="53">
        <v>126955.86</v>
      </c>
      <c r="N29" s="53">
        <v>127434.93</v>
      </c>
      <c r="O29" s="53">
        <v>127886.13</v>
      </c>
      <c r="P29" s="53">
        <v>128502.33</v>
      </c>
      <c r="Q29" s="53">
        <v>131047.5</v>
      </c>
      <c r="R29" s="53">
        <v>134036.43</v>
      </c>
      <c r="S29" s="53">
        <v>140410.98000000001</v>
      </c>
      <c r="T29" s="71">
        <v>143339.79</v>
      </c>
      <c r="U29" s="34">
        <v>146187.23000000001</v>
      </c>
      <c r="V29" s="34">
        <v>148862.43</v>
      </c>
      <c r="W29" s="72">
        <v>151446.03</v>
      </c>
      <c r="X29" s="72">
        <v>154489.26</v>
      </c>
      <c r="Y29" s="30">
        <f t="shared" si="48"/>
        <v>425.00999999999476</v>
      </c>
      <c r="Z29" s="31">
        <f t="shared" si="49"/>
        <v>9.6216174047294946E-4</v>
      </c>
      <c r="AA29" s="30">
        <f t="shared" si="50"/>
        <v>131.78337759429638</v>
      </c>
      <c r="AB29" s="30">
        <f t="shared" si="51"/>
        <v>556.79337759429109</v>
      </c>
      <c r="AC29" s="30">
        <f t="shared" si="52"/>
        <v>479.06999999999243</v>
      </c>
      <c r="AD29" s="31">
        <f t="shared" si="53"/>
        <v>1.3478738764587444E-3</v>
      </c>
      <c r="AE29" s="30">
        <f t="shared" si="54"/>
        <v>9.3548242883903967</v>
      </c>
      <c r="AF29" s="30">
        <f t="shared" si="55"/>
        <v>488.42482428838281</v>
      </c>
      <c r="AG29" s="30">
        <f t="shared" si="56"/>
        <v>451.20000000001164</v>
      </c>
      <c r="AH29" s="31">
        <f t="shared" si="57"/>
        <v>1.5551294957227601E-3</v>
      </c>
      <c r="AI29" s="30">
        <f t="shared" si="58"/>
        <v>146.3227407530573</v>
      </c>
      <c r="AJ29" s="30">
        <f t="shared" si="59"/>
        <v>597.522740753069</v>
      </c>
      <c r="AK29" s="30">
        <f t="shared" si="60"/>
        <v>616.19999999999709</v>
      </c>
      <c r="AL29" s="31">
        <f t="shared" si="61"/>
        <v>1.4982844861467716E-3</v>
      </c>
      <c r="AM29" s="30">
        <f t="shared" si="62"/>
        <v>62.067393740701867</v>
      </c>
      <c r="AN29" s="30">
        <f t="shared" si="63"/>
        <v>678.26739374069894</v>
      </c>
      <c r="AO29" s="30">
        <f t="shared" si="64"/>
        <v>2545.1699999999983</v>
      </c>
      <c r="AP29" s="31">
        <f t="shared" si="65"/>
        <v>7.0275677624890365E-3</v>
      </c>
      <c r="AQ29" s="30">
        <f t="shared" si="66"/>
        <v>612.29511298303839</v>
      </c>
      <c r="AR29" s="30">
        <f t="shared" si="67"/>
        <v>3157.4651129830368</v>
      </c>
      <c r="AS29" s="92">
        <f t="shared" si="68"/>
        <v>2988.929999999993</v>
      </c>
      <c r="AT29" s="93">
        <f t="shared" si="69"/>
        <v>6.3098927396555435E-3</v>
      </c>
      <c r="AU29" s="94">
        <f t="shared" si="70"/>
        <v>747.55501439265242</v>
      </c>
      <c r="AV29" s="94">
        <f t="shared" si="71"/>
        <v>3736.4850143926456</v>
      </c>
      <c r="AW29" s="103">
        <f t="shared" si="72"/>
        <v>6374.5500000000175</v>
      </c>
      <c r="AX29" s="93">
        <f t="shared" si="73"/>
        <v>1.3742419981401728E-2</v>
      </c>
      <c r="AY29" s="103">
        <f t="shared" si="74"/>
        <v>1420.0681589311544</v>
      </c>
      <c r="AZ29" s="103">
        <f t="shared" si="75"/>
        <v>7794.6181589311718</v>
      </c>
      <c r="BA29" s="103">
        <f t="shared" si="76"/>
        <v>2928.8099999999977</v>
      </c>
      <c r="BB29" s="90">
        <f t="shared" si="77"/>
        <v>8.3376559202236328E-3</v>
      </c>
      <c r="BC29" s="103">
        <f t="shared" si="78"/>
        <v>720.70706112068956</v>
      </c>
      <c r="BD29" s="103">
        <f t="shared" si="79"/>
        <v>3649.5170611206872</v>
      </c>
      <c r="BE29" s="103">
        <f t="shared" si="32"/>
        <v>2847.4400000000023</v>
      </c>
      <c r="BF29" s="93">
        <f t="shared" si="33"/>
        <v>7.3856290811972342E-3</v>
      </c>
      <c r="BG29" s="103">
        <f t="shared" si="34"/>
        <v>573.90835809012935</v>
      </c>
      <c r="BH29" s="103">
        <f t="shared" si="35"/>
        <v>3421.3483580901316</v>
      </c>
      <c r="BI29" s="103">
        <f t="shared" si="36"/>
        <v>2675.1999999999825</v>
      </c>
      <c r="BJ29" s="90">
        <f t="shared" si="37"/>
        <v>5.5542022308866495E-3</v>
      </c>
      <c r="BK29" s="102">
        <f t="shared" si="38"/>
        <v>626.12338460111664</v>
      </c>
      <c r="BL29" s="102">
        <f t="shared" si="39"/>
        <v>3301.323384601099</v>
      </c>
      <c r="BM29" s="94">
        <f t="shared" si="40"/>
        <v>2583.6000000000058</v>
      </c>
      <c r="BN29" s="90">
        <f t="shared" si="41"/>
        <v>6.6662825564084236E-3</v>
      </c>
      <c r="BO29" s="94">
        <f t="shared" si="42"/>
        <v>654.34676329869353</v>
      </c>
      <c r="BP29" s="94">
        <f t="shared" si="43"/>
        <v>3237.9467632986994</v>
      </c>
      <c r="BQ29" s="94">
        <f t="shared" si="44"/>
        <v>3043.2300000000105</v>
      </c>
      <c r="BR29" s="90">
        <f t="shared" si="45"/>
        <v>5.7810245401046971E-3</v>
      </c>
      <c r="BS29" s="94">
        <f t="shared" si="46"/>
        <v>657.52754549525196</v>
      </c>
      <c r="BT29" s="94">
        <f t="shared" si="47"/>
        <v>3700.7575454952625</v>
      </c>
    </row>
    <row r="30" spans="1:72" ht="13.5">
      <c r="A30" s="11">
        <v>27</v>
      </c>
      <c r="B30" s="16" t="s">
        <v>83</v>
      </c>
      <c r="C30" s="17" t="s">
        <v>84</v>
      </c>
      <c r="D30" s="21" t="s">
        <v>67</v>
      </c>
      <c r="E30" s="18" t="s">
        <v>83</v>
      </c>
      <c r="F30" s="56" t="s">
        <v>101</v>
      </c>
      <c r="G30" s="56" t="s">
        <v>102</v>
      </c>
      <c r="H30" s="53">
        <v>45172.08</v>
      </c>
      <c r="I30" s="53">
        <v>102869.23</v>
      </c>
      <c r="J30" s="53">
        <v>107812.2</v>
      </c>
      <c r="K30" s="53">
        <v>57697.15</v>
      </c>
      <c r="L30" s="53">
        <v>4942.97</v>
      </c>
      <c r="M30" s="53">
        <v>109248.66</v>
      </c>
      <c r="N30" s="53">
        <v>117401.7</v>
      </c>
      <c r="O30" s="53">
        <v>120577.11</v>
      </c>
      <c r="P30" s="53">
        <v>124191.93</v>
      </c>
      <c r="Q30" s="53">
        <v>129876.66</v>
      </c>
      <c r="R30" s="53">
        <v>136151.31</v>
      </c>
      <c r="S30" s="53">
        <v>141098.74</v>
      </c>
      <c r="T30" s="71">
        <v>145387.74</v>
      </c>
      <c r="U30" s="34">
        <v>148868.46</v>
      </c>
      <c r="V30" s="34">
        <v>152574.78</v>
      </c>
      <c r="W30" s="72">
        <v>156054.37</v>
      </c>
      <c r="X30" s="72">
        <v>161042.26999999999</v>
      </c>
      <c r="Y30" s="30">
        <f t="shared" si="48"/>
        <v>6379.4300000000076</v>
      </c>
      <c r="Z30" s="31">
        <f t="shared" si="49"/>
        <v>1.4442115413814807E-2</v>
      </c>
      <c r="AA30" s="30">
        <f t="shared" si="50"/>
        <v>1978.0777688204832</v>
      </c>
      <c r="AB30" s="30">
        <f t="shared" si="51"/>
        <v>8357.507768820491</v>
      </c>
      <c r="AC30" s="30">
        <f t="shared" si="52"/>
        <v>8153.0399999999936</v>
      </c>
      <c r="AD30" s="31">
        <f t="shared" si="53"/>
        <v>2.2938755567502384E-2</v>
      </c>
      <c r="AE30" s="30">
        <f t="shared" si="54"/>
        <v>159.20482730335775</v>
      </c>
      <c r="AF30" s="30">
        <f t="shared" si="55"/>
        <v>8312.2448273033515</v>
      </c>
      <c r="AG30" s="30">
        <f t="shared" si="56"/>
        <v>3175.4100000000035</v>
      </c>
      <c r="AH30" s="31">
        <f t="shared" si="57"/>
        <v>1.0944534024851259E-2</v>
      </c>
      <c r="AI30" s="30">
        <f t="shared" si="58"/>
        <v>1029.775474766521</v>
      </c>
      <c r="AJ30" s="30">
        <f t="shared" si="59"/>
        <v>4205.1854747665247</v>
      </c>
      <c r="AK30" s="30">
        <f t="shared" si="60"/>
        <v>3614.8199999999924</v>
      </c>
      <c r="AL30" s="31">
        <f t="shared" si="61"/>
        <v>8.7894007241367863E-3</v>
      </c>
      <c r="AM30" s="30">
        <f t="shared" si="62"/>
        <v>364.10655021383405</v>
      </c>
      <c r="AN30" s="30">
        <f t="shared" si="63"/>
        <v>3978.9265502138264</v>
      </c>
      <c r="AO30" s="30">
        <f t="shared" si="64"/>
        <v>5684.7300000000105</v>
      </c>
      <c r="AP30" s="31">
        <f t="shared" si="65"/>
        <v>1.5696328845010116E-2</v>
      </c>
      <c r="AQ30" s="30">
        <f t="shared" si="66"/>
        <v>1367.5834610765003</v>
      </c>
      <c r="AR30" s="30">
        <f t="shared" si="67"/>
        <v>7052.313461076511</v>
      </c>
      <c r="AS30" s="92">
        <f t="shared" si="68"/>
        <v>6274.6499999999942</v>
      </c>
      <c r="AT30" s="93">
        <f t="shared" si="69"/>
        <v>1.3246335136279441E-2</v>
      </c>
      <c r="AU30" s="94">
        <f t="shared" si="70"/>
        <v>1569.3395533046485</v>
      </c>
      <c r="AV30" s="94">
        <f t="shared" si="71"/>
        <v>7843.9895533046429</v>
      </c>
      <c r="AW30" s="103">
        <f t="shared" si="72"/>
        <v>4947.429999999993</v>
      </c>
      <c r="AX30" s="93">
        <f t="shared" si="73"/>
        <v>1.0665797725107822E-2</v>
      </c>
      <c r="AY30" s="103">
        <f t="shared" si="74"/>
        <v>1102.1464748948133</v>
      </c>
      <c r="AZ30" s="103">
        <f t="shared" si="75"/>
        <v>6049.5764748948059</v>
      </c>
      <c r="BA30" s="103">
        <f t="shared" si="76"/>
        <v>4289</v>
      </c>
      <c r="BB30" s="90">
        <f t="shared" si="77"/>
        <v>1.2209807478750478E-2</v>
      </c>
      <c r="BC30" s="103">
        <f t="shared" si="78"/>
        <v>1055.4158805612656</v>
      </c>
      <c r="BD30" s="103">
        <f t="shared" si="79"/>
        <v>5344.415880561266</v>
      </c>
      <c r="BE30" s="103">
        <f t="shared" si="32"/>
        <v>3480.7200000000012</v>
      </c>
      <c r="BF30" s="93">
        <f t="shared" si="33"/>
        <v>9.0282172251232081E-3</v>
      </c>
      <c r="BG30" s="103">
        <f t="shared" si="34"/>
        <v>701.54746023497398</v>
      </c>
      <c r="BH30" s="103">
        <f t="shared" si="35"/>
        <v>4182.2674602349753</v>
      </c>
      <c r="BI30" s="103">
        <f t="shared" si="36"/>
        <v>3706.320000000007</v>
      </c>
      <c r="BJ30" s="90">
        <f t="shared" si="37"/>
        <v>7.694995070417157E-3</v>
      </c>
      <c r="BK30" s="102">
        <f t="shared" si="38"/>
        <v>867.45425493975404</v>
      </c>
      <c r="BL30" s="102">
        <f t="shared" si="39"/>
        <v>4573.7742549397608</v>
      </c>
      <c r="BM30" s="94">
        <f t="shared" si="40"/>
        <v>3479.5899999999965</v>
      </c>
      <c r="BN30" s="90">
        <f t="shared" si="41"/>
        <v>8.9781429480001191E-3</v>
      </c>
      <c r="BO30" s="94">
        <f t="shared" si="42"/>
        <v>881.27359270262161</v>
      </c>
      <c r="BP30" s="94">
        <f t="shared" si="43"/>
        <v>4360.863592702618</v>
      </c>
      <c r="BQ30" s="94">
        <f t="shared" si="44"/>
        <v>4987.8999999999942</v>
      </c>
      <c r="BR30" s="90">
        <f t="shared" si="45"/>
        <v>9.4751866614051806E-3</v>
      </c>
      <c r="BS30" s="94">
        <f t="shared" si="46"/>
        <v>1077.6975924185003</v>
      </c>
      <c r="BT30" s="94">
        <f t="shared" si="47"/>
        <v>6065.597592418495</v>
      </c>
    </row>
    <row r="31" spans="1:72" ht="13.5">
      <c r="A31" s="16">
        <v>28</v>
      </c>
      <c r="B31" s="16" t="s">
        <v>83</v>
      </c>
      <c r="C31" s="17" t="s">
        <v>84</v>
      </c>
      <c r="D31" s="21" t="s">
        <v>67</v>
      </c>
      <c r="E31" s="18" t="s">
        <v>83</v>
      </c>
      <c r="F31" s="56" t="s">
        <v>103</v>
      </c>
      <c r="G31" s="56" t="s">
        <v>104</v>
      </c>
      <c r="H31" s="53">
        <v>14264.31</v>
      </c>
      <c r="I31" s="53">
        <v>42844.84</v>
      </c>
      <c r="J31" s="53">
        <v>44497.5</v>
      </c>
      <c r="K31" s="53">
        <v>28580.53</v>
      </c>
      <c r="L31" s="53">
        <v>1652.66</v>
      </c>
      <c r="M31" s="53">
        <v>44937.07</v>
      </c>
      <c r="N31" s="53">
        <v>47586.61</v>
      </c>
      <c r="O31" s="53">
        <v>50029.68</v>
      </c>
      <c r="P31" s="53">
        <v>52840.45</v>
      </c>
      <c r="Q31" s="53">
        <v>55385.08</v>
      </c>
      <c r="R31" s="53">
        <v>58214.1</v>
      </c>
      <c r="S31" s="53">
        <v>60674.13</v>
      </c>
      <c r="T31" s="71">
        <v>63021.97</v>
      </c>
      <c r="U31" s="34">
        <v>65656.12</v>
      </c>
      <c r="V31" s="34">
        <v>68355.61</v>
      </c>
      <c r="W31" s="72">
        <v>70672.11</v>
      </c>
      <c r="X31" s="72">
        <v>73442.33</v>
      </c>
      <c r="Y31" s="30">
        <f t="shared" si="48"/>
        <v>2092.2300000000032</v>
      </c>
      <c r="Z31" s="31">
        <f t="shared" si="49"/>
        <v>4.7365089251305784E-3</v>
      </c>
      <c r="AA31" s="30">
        <f t="shared" si="50"/>
        <v>648.74034988381106</v>
      </c>
      <c r="AB31" s="30">
        <f t="shared" si="51"/>
        <v>2740.9703498838144</v>
      </c>
      <c r="AC31" s="30">
        <f t="shared" si="52"/>
        <v>2649.5400000000009</v>
      </c>
      <c r="AD31" s="31">
        <f t="shared" si="53"/>
        <v>7.4545384821269531E-3</v>
      </c>
      <c r="AE31" s="30">
        <f t="shared" si="54"/>
        <v>51.737702517507451</v>
      </c>
      <c r="AF31" s="30">
        <f t="shared" si="55"/>
        <v>2701.2777025175083</v>
      </c>
      <c r="AG31" s="30">
        <f t="shared" si="56"/>
        <v>2443.0699999999997</v>
      </c>
      <c r="AH31" s="31">
        <f t="shared" si="57"/>
        <v>8.4204127152378207E-3</v>
      </c>
      <c r="AI31" s="30">
        <f t="shared" si="58"/>
        <v>792.27991633768272</v>
      </c>
      <c r="AJ31" s="30">
        <f t="shared" si="59"/>
        <v>3235.3499163376823</v>
      </c>
      <c r="AK31" s="30">
        <f t="shared" si="60"/>
        <v>2810.7699999999968</v>
      </c>
      <c r="AL31" s="31">
        <f t="shared" si="61"/>
        <v>6.8343607353566647E-3</v>
      </c>
      <c r="AM31" s="30">
        <f t="shared" si="62"/>
        <v>283.11776745302376</v>
      </c>
      <c r="AN31" s="30">
        <f t="shared" si="63"/>
        <v>3093.8877674530204</v>
      </c>
      <c r="AO31" s="30">
        <f t="shared" si="64"/>
        <v>2544.6300000000047</v>
      </c>
      <c r="AP31" s="31">
        <f t="shared" si="65"/>
        <v>7.0260767475109802E-3</v>
      </c>
      <c r="AQ31" s="30">
        <f t="shared" si="66"/>
        <v>612.16520442643628</v>
      </c>
      <c r="AR31" s="30">
        <f t="shared" si="67"/>
        <v>3156.7952044264412</v>
      </c>
      <c r="AS31" s="92">
        <f t="shared" si="68"/>
        <v>2829.0199999999968</v>
      </c>
      <c r="AT31" s="93">
        <f t="shared" si="69"/>
        <v>5.9723087386925576E-3</v>
      </c>
      <c r="AU31" s="94">
        <f t="shared" si="70"/>
        <v>707.56025963040429</v>
      </c>
      <c r="AV31" s="94">
        <f t="shared" si="71"/>
        <v>3536.5802596304011</v>
      </c>
      <c r="AW31" s="103">
        <f t="shared" si="72"/>
        <v>2460.0299999999988</v>
      </c>
      <c r="AX31" s="93">
        <f t="shared" si="73"/>
        <v>5.3033963851326898E-3</v>
      </c>
      <c r="AY31" s="103">
        <f t="shared" si="74"/>
        <v>548.02460926895185</v>
      </c>
      <c r="AZ31" s="103">
        <f t="shared" si="75"/>
        <v>3008.0546092689506</v>
      </c>
      <c r="BA31" s="103">
        <f t="shared" si="76"/>
        <v>2347.8400000000038</v>
      </c>
      <c r="BB31" s="90">
        <f t="shared" si="77"/>
        <v>6.6837664702517063E-3</v>
      </c>
      <c r="BC31" s="103">
        <f t="shared" si="78"/>
        <v>577.74484052622188</v>
      </c>
      <c r="BD31" s="103">
        <f t="shared" si="79"/>
        <v>2925.5848405262259</v>
      </c>
      <c r="BE31" s="103">
        <f t="shared" si="32"/>
        <v>2634.1499999999942</v>
      </c>
      <c r="BF31" s="93">
        <f t="shared" si="33"/>
        <v>6.8324020327858136E-3</v>
      </c>
      <c r="BG31" s="103">
        <f t="shared" si="34"/>
        <v>530.91924727583717</v>
      </c>
      <c r="BH31" s="103">
        <f t="shared" si="35"/>
        <v>3165.0692472758315</v>
      </c>
      <c r="BI31" s="103">
        <f t="shared" si="36"/>
        <v>2699.4900000000052</v>
      </c>
      <c r="BJ31" s="90">
        <f t="shared" si="37"/>
        <v>5.6046326929785912E-3</v>
      </c>
      <c r="BK31" s="102">
        <f t="shared" si="38"/>
        <v>631.80839395068881</v>
      </c>
      <c r="BL31" s="102">
        <f t="shared" si="39"/>
        <v>3331.2983939506939</v>
      </c>
      <c r="BM31" s="94">
        <f t="shared" si="40"/>
        <v>2316.5</v>
      </c>
      <c r="BN31" s="90">
        <f t="shared" si="41"/>
        <v>5.977103089456602E-3</v>
      </c>
      <c r="BO31" s="94">
        <f t="shared" si="42"/>
        <v>586.6985126108608</v>
      </c>
      <c r="BP31" s="94">
        <f t="shared" si="43"/>
        <v>2903.1985126108607</v>
      </c>
      <c r="BQ31" s="94">
        <f t="shared" si="44"/>
        <v>2770.2200000000012</v>
      </c>
      <c r="BR31" s="90">
        <f t="shared" si="45"/>
        <v>5.2624053395532991E-3</v>
      </c>
      <c r="BS31" s="94">
        <f t="shared" si="46"/>
        <v>598.54035254708037</v>
      </c>
      <c r="BT31" s="94">
        <f t="shared" si="47"/>
        <v>3368.7603525470813</v>
      </c>
    </row>
    <row r="32" spans="1:72" ht="13.5">
      <c r="A32" s="11">
        <v>29</v>
      </c>
      <c r="B32" s="16" t="s">
        <v>105</v>
      </c>
      <c r="C32" s="17" t="s">
        <v>106</v>
      </c>
      <c r="D32" s="20" t="s">
        <v>41</v>
      </c>
      <c r="E32" s="20" t="s">
        <v>105</v>
      </c>
      <c r="F32" s="56" t="s">
        <v>107</v>
      </c>
      <c r="G32" s="56" t="s">
        <v>108</v>
      </c>
      <c r="H32" s="53">
        <v>70928.600000000006</v>
      </c>
      <c r="I32" s="53">
        <v>119805.25</v>
      </c>
      <c r="J32" s="53">
        <v>122179.3</v>
      </c>
      <c r="K32" s="53">
        <v>48876.65</v>
      </c>
      <c r="L32" s="53">
        <v>2374.0500000000002</v>
      </c>
      <c r="M32" s="53">
        <v>122856.7</v>
      </c>
      <c r="N32" s="53">
        <v>127491.05</v>
      </c>
      <c r="O32" s="53">
        <v>131493.75</v>
      </c>
      <c r="P32" s="53">
        <v>136271.46</v>
      </c>
      <c r="Q32" s="53">
        <v>140833.85999999999</v>
      </c>
      <c r="R32" s="53">
        <v>145506.70000000001</v>
      </c>
      <c r="S32" s="53">
        <v>149571.20000000001</v>
      </c>
      <c r="T32" s="71">
        <v>154078.5</v>
      </c>
      <c r="U32" s="34">
        <v>158449.29999999999</v>
      </c>
      <c r="V32" s="34">
        <v>163142.35</v>
      </c>
      <c r="W32" s="72">
        <v>167374.85</v>
      </c>
      <c r="X32" s="72">
        <v>172140.44</v>
      </c>
      <c r="Y32" s="30">
        <f t="shared" si="48"/>
        <v>3051.4499999999971</v>
      </c>
      <c r="Z32" s="31">
        <f t="shared" si="49"/>
        <v>6.9080455588485332E-3</v>
      </c>
      <c r="AA32" s="30">
        <f t="shared" si="50"/>
        <v>946.16688445006059</v>
      </c>
      <c r="AB32" s="30">
        <f t="shared" si="51"/>
        <v>3997.6168844500576</v>
      </c>
      <c r="AC32" s="30">
        <f t="shared" si="52"/>
        <v>4634.3500000000058</v>
      </c>
      <c r="AD32" s="31">
        <f t="shared" si="53"/>
        <v>1.3038844635161227E-2</v>
      </c>
      <c r="AE32" s="30">
        <f t="shared" si="54"/>
        <v>90.495188471210426</v>
      </c>
      <c r="AF32" s="30">
        <f t="shared" si="55"/>
        <v>4724.8451884712158</v>
      </c>
      <c r="AG32" s="30">
        <f t="shared" si="56"/>
        <v>4002.6999999999971</v>
      </c>
      <c r="AH32" s="31">
        <f t="shared" si="57"/>
        <v>1.3795914965712161E-2</v>
      </c>
      <c r="AI32" s="30">
        <f t="shared" si="58"/>
        <v>1298.0630195306892</v>
      </c>
      <c r="AJ32" s="30">
        <f t="shared" si="59"/>
        <v>5300.7630195306865</v>
      </c>
      <c r="AK32" s="30">
        <f t="shared" si="60"/>
        <v>4777.7099999999919</v>
      </c>
      <c r="AL32" s="31">
        <f t="shared" si="61"/>
        <v>1.1616956787257894E-2</v>
      </c>
      <c r="AM32" s="30">
        <f t="shared" si="62"/>
        <v>481.23986976450766</v>
      </c>
      <c r="AN32" s="30">
        <f t="shared" si="63"/>
        <v>5258.9498697644995</v>
      </c>
      <c r="AO32" s="30">
        <f t="shared" si="64"/>
        <v>4562.3999999999942</v>
      </c>
      <c r="AP32" s="31">
        <f t="shared" si="65"/>
        <v>1.2597419881414586E-2</v>
      </c>
      <c r="AQ32" s="30">
        <f t="shared" si="66"/>
        <v>1097.5829604599351</v>
      </c>
      <c r="AR32" s="30">
        <f t="shared" si="67"/>
        <v>5659.982960459929</v>
      </c>
      <c r="AS32" s="92">
        <f t="shared" si="68"/>
        <v>4672.8400000000256</v>
      </c>
      <c r="AT32" s="93">
        <f t="shared" si="69"/>
        <v>9.864774079544265E-3</v>
      </c>
      <c r="AU32" s="94">
        <f t="shared" si="70"/>
        <v>1168.714213265145</v>
      </c>
      <c r="AV32" s="94">
        <f t="shared" si="71"/>
        <v>5841.5542132651708</v>
      </c>
      <c r="AW32" s="103">
        <f t="shared" si="72"/>
        <v>4064.5</v>
      </c>
      <c r="AX32" s="93">
        <f t="shared" si="73"/>
        <v>8.7623543645288168E-3</v>
      </c>
      <c r="AY32" s="103">
        <f t="shared" si="74"/>
        <v>905.45482143455786</v>
      </c>
      <c r="AZ32" s="103">
        <f t="shared" si="75"/>
        <v>4969.9548214345577</v>
      </c>
      <c r="BA32" s="103">
        <f t="shared" si="76"/>
        <v>4507.2999999999884</v>
      </c>
      <c r="BB32" s="90">
        <f t="shared" si="77"/>
        <v>1.2831257927016062E-2</v>
      </c>
      <c r="BC32" s="103">
        <f t="shared" si="78"/>
        <v>1109.1340635238471</v>
      </c>
      <c r="BD32" s="103">
        <f t="shared" si="79"/>
        <v>5616.434063523835</v>
      </c>
      <c r="BE32" s="103">
        <f t="shared" si="32"/>
        <v>4370.7999999999884</v>
      </c>
      <c r="BF32" s="93">
        <f t="shared" si="33"/>
        <v>1.1336887726553242E-2</v>
      </c>
      <c r="BG32" s="103">
        <f t="shared" si="34"/>
        <v>880.94521799944118</v>
      </c>
      <c r="BH32" s="103">
        <f t="shared" si="35"/>
        <v>5251.7452179994298</v>
      </c>
      <c r="BI32" s="103">
        <f t="shared" si="36"/>
        <v>4693.0500000000175</v>
      </c>
      <c r="BJ32" s="90">
        <f t="shared" si="37"/>
        <v>9.7436261885701474E-3</v>
      </c>
      <c r="BK32" s="102">
        <f t="shared" si="38"/>
        <v>1098.3957648408721</v>
      </c>
      <c r="BL32" s="102">
        <f t="shared" si="39"/>
        <v>5791.4457648408898</v>
      </c>
      <c r="BM32" s="94">
        <f t="shared" si="40"/>
        <v>4232.5</v>
      </c>
      <c r="BN32" s="90">
        <f t="shared" si="41"/>
        <v>1.0920824013004562E-2</v>
      </c>
      <c r="BO32" s="94">
        <f t="shared" si="42"/>
        <v>1071.9626395965761</v>
      </c>
      <c r="BP32" s="94">
        <f t="shared" si="43"/>
        <v>5304.4626395965761</v>
      </c>
      <c r="BQ32" s="94">
        <f t="shared" si="44"/>
        <v>4765.5899999999965</v>
      </c>
      <c r="BR32" s="90">
        <f t="shared" si="45"/>
        <v>9.0528789273493712E-3</v>
      </c>
      <c r="BS32" s="94">
        <f t="shared" si="46"/>
        <v>1029.6647626162678</v>
      </c>
      <c r="BT32" s="94">
        <f t="shared" si="47"/>
        <v>5795.2547626162641</v>
      </c>
    </row>
    <row r="33" spans="1:72" ht="13.5">
      <c r="A33" s="16">
        <v>30</v>
      </c>
      <c r="B33" s="16" t="s">
        <v>109</v>
      </c>
      <c r="C33" s="17" t="s">
        <v>110</v>
      </c>
      <c r="D33" s="20" t="s">
        <v>41</v>
      </c>
      <c r="E33" s="20" t="s">
        <v>109</v>
      </c>
      <c r="F33" s="56" t="s">
        <v>111</v>
      </c>
      <c r="G33" s="56" t="s">
        <v>112</v>
      </c>
      <c r="H33" s="53">
        <v>131066.85</v>
      </c>
      <c r="I33" s="53">
        <v>204267.42</v>
      </c>
      <c r="J33" s="53">
        <v>206087.56</v>
      </c>
      <c r="K33" s="53">
        <v>73200.570000000007</v>
      </c>
      <c r="L33" s="53">
        <v>1820.14</v>
      </c>
      <c r="M33" s="53">
        <v>206699.34</v>
      </c>
      <c r="N33" s="53">
        <v>210571.06</v>
      </c>
      <c r="O33" s="53">
        <v>213946.46</v>
      </c>
      <c r="P33" s="53">
        <v>218507.86</v>
      </c>
      <c r="Q33" s="53">
        <v>223299.54</v>
      </c>
      <c r="R33" s="53">
        <v>228213.98</v>
      </c>
      <c r="S33" s="53">
        <v>231412.98</v>
      </c>
      <c r="T33" s="71">
        <v>234299.66</v>
      </c>
      <c r="U33" s="34">
        <v>237393.64</v>
      </c>
      <c r="V33" s="34">
        <v>240306.92</v>
      </c>
      <c r="W33" s="72">
        <v>243258.42</v>
      </c>
      <c r="X33" s="72">
        <v>246845.9</v>
      </c>
      <c r="Y33" s="30">
        <f t="shared" si="48"/>
        <v>2431.9199999999837</v>
      </c>
      <c r="Z33" s="31">
        <f t="shared" si="49"/>
        <v>5.5055184110750065E-3</v>
      </c>
      <c r="AA33" s="30">
        <f t="shared" si="50"/>
        <v>754.06844930501177</v>
      </c>
      <c r="AB33" s="30">
        <f t="shared" si="51"/>
        <v>3185.9884493049954</v>
      </c>
      <c r="AC33" s="30">
        <f t="shared" si="52"/>
        <v>3871.7200000000012</v>
      </c>
      <c r="AD33" s="31">
        <f t="shared" si="53"/>
        <v>1.0893168524355385E-2</v>
      </c>
      <c r="AE33" s="30">
        <f t="shared" si="54"/>
        <v>75.603273621490501</v>
      </c>
      <c r="AF33" s="30">
        <f t="shared" si="55"/>
        <v>3947.3232736214918</v>
      </c>
      <c r="AG33" s="30">
        <f t="shared" si="56"/>
        <v>3375.3999999999942</v>
      </c>
      <c r="AH33" s="31">
        <f t="shared" si="57"/>
        <v>1.1633830008560418E-2</v>
      </c>
      <c r="AI33" s="30">
        <f t="shared" si="58"/>
        <v>1094.6316026991492</v>
      </c>
      <c r="AJ33" s="30">
        <f t="shared" si="59"/>
        <v>4470.0316026991431</v>
      </c>
      <c r="AK33" s="30">
        <f t="shared" si="60"/>
        <v>4561.3999999999942</v>
      </c>
      <c r="AL33" s="31">
        <f t="shared" si="61"/>
        <v>1.1091001063144933E-2</v>
      </c>
      <c r="AM33" s="30">
        <f t="shared" si="62"/>
        <v>459.45181728146457</v>
      </c>
      <c r="AN33" s="30">
        <f t="shared" si="63"/>
        <v>5020.8518172814584</v>
      </c>
      <c r="AO33" s="30">
        <f t="shared" si="64"/>
        <v>4791.6800000000221</v>
      </c>
      <c r="AP33" s="31">
        <f t="shared" si="65"/>
        <v>1.3230493796549404E-2</v>
      </c>
      <c r="AQ33" s="30">
        <f t="shared" si="66"/>
        <v>1152.7411713082352</v>
      </c>
      <c r="AR33" s="30">
        <f t="shared" si="67"/>
        <v>5944.4211713082568</v>
      </c>
      <c r="AS33" s="92">
        <f t="shared" si="68"/>
        <v>4914.4400000000023</v>
      </c>
      <c r="AT33" s="93">
        <f t="shared" si="69"/>
        <v>1.0374812817788598E-2</v>
      </c>
      <c r="AU33" s="94">
        <f t="shared" si="70"/>
        <v>1229.1402826201474</v>
      </c>
      <c r="AV33" s="94">
        <f t="shared" si="71"/>
        <v>6143.5802826201498</v>
      </c>
      <c r="AW33" s="103">
        <f t="shared" si="72"/>
        <v>3199</v>
      </c>
      <c r="AX33" s="93">
        <f t="shared" si="73"/>
        <v>6.896487049360976E-3</v>
      </c>
      <c r="AY33" s="103">
        <f t="shared" si="74"/>
        <v>712.64607547524929</v>
      </c>
      <c r="AZ33" s="103">
        <f t="shared" si="75"/>
        <v>3911.6460754752493</v>
      </c>
      <c r="BA33" s="103">
        <f t="shared" si="76"/>
        <v>2886.679999999993</v>
      </c>
      <c r="BB33" s="90">
        <f t="shared" si="77"/>
        <v>8.2177213925762049E-3</v>
      </c>
      <c r="BC33" s="103">
        <f t="shared" si="78"/>
        <v>710.33991935150073</v>
      </c>
      <c r="BD33" s="103">
        <f t="shared" si="79"/>
        <v>3597.0199193514936</v>
      </c>
      <c r="BE33" s="103">
        <f t="shared" si="32"/>
        <v>3093.9800000000105</v>
      </c>
      <c r="BF33" s="93">
        <f t="shared" si="33"/>
        <v>8.025099269744991E-3</v>
      </c>
      <c r="BG33" s="103">
        <f t="shared" si="34"/>
        <v>623.59908611373828</v>
      </c>
      <c r="BH33" s="103">
        <f t="shared" si="35"/>
        <v>3717.5790861137489</v>
      </c>
      <c r="BI33" s="103">
        <f t="shared" si="36"/>
        <v>2913.2799999999988</v>
      </c>
      <c r="BJ33" s="90">
        <f t="shared" si="37"/>
        <v>6.0484996543053067E-3</v>
      </c>
      <c r="BK33" s="102">
        <f t="shared" si="38"/>
        <v>681.84537002495222</v>
      </c>
      <c r="BL33" s="102">
        <f t="shared" si="39"/>
        <v>3595.1253700249508</v>
      </c>
      <c r="BM33" s="94">
        <f t="shared" si="40"/>
        <v>2951.5</v>
      </c>
      <c r="BN33" s="90">
        <f t="shared" si="41"/>
        <v>7.6155492201731758E-3</v>
      </c>
      <c r="BO33" s="94">
        <f t="shared" si="42"/>
        <v>747.52456722251497</v>
      </c>
      <c r="BP33" s="94">
        <f t="shared" si="43"/>
        <v>3699.0245672225151</v>
      </c>
      <c r="BQ33" s="94">
        <f t="shared" si="44"/>
        <v>3587.4799999999814</v>
      </c>
      <c r="BR33" s="90">
        <f t="shared" si="45"/>
        <v>6.8149005882350722E-3</v>
      </c>
      <c r="BS33" s="94">
        <f t="shared" si="46"/>
        <v>775.11950096222961</v>
      </c>
      <c r="BT33" s="94">
        <f t="shared" si="47"/>
        <v>4362.5995009622111</v>
      </c>
    </row>
    <row r="34" spans="1:72" ht="13.5">
      <c r="A34" s="11">
        <v>31</v>
      </c>
      <c r="B34" s="16" t="s">
        <v>49</v>
      </c>
      <c r="C34" s="17" t="s">
        <v>50</v>
      </c>
      <c r="D34" s="18" t="s">
        <v>41</v>
      </c>
      <c r="E34" s="20" t="s">
        <v>49</v>
      </c>
      <c r="F34" s="56" t="s">
        <v>113</v>
      </c>
      <c r="G34" s="56" t="s">
        <v>114</v>
      </c>
      <c r="H34" s="53">
        <v>66489.69</v>
      </c>
      <c r="I34" s="53">
        <v>108842.21</v>
      </c>
      <c r="J34" s="53">
        <v>110813.58</v>
      </c>
      <c r="K34" s="53">
        <v>42352.52</v>
      </c>
      <c r="L34" s="53">
        <v>1971.37</v>
      </c>
      <c r="M34" s="53">
        <v>111472.86</v>
      </c>
      <c r="N34" s="53">
        <v>114602.49</v>
      </c>
      <c r="O34" s="53">
        <v>117905.82</v>
      </c>
      <c r="P34" s="53">
        <v>121659.45</v>
      </c>
      <c r="Q34" s="53">
        <v>125539.95</v>
      </c>
      <c r="R34" s="53">
        <v>129269.13</v>
      </c>
      <c r="S34" s="53">
        <v>133291.26</v>
      </c>
      <c r="T34" s="71">
        <v>137060.5</v>
      </c>
      <c r="U34" s="34">
        <v>141215.87</v>
      </c>
      <c r="V34" s="34">
        <v>145337.07</v>
      </c>
      <c r="W34" s="72">
        <v>148946.53</v>
      </c>
      <c r="X34" s="72">
        <v>153165.06</v>
      </c>
      <c r="Y34" s="30">
        <f t="shared" si="48"/>
        <v>2630.6499999999942</v>
      </c>
      <c r="Z34" s="31">
        <f t="shared" si="49"/>
        <v>5.9554146551262094E-3</v>
      </c>
      <c r="AA34" s="30">
        <f t="shared" si="50"/>
        <v>815.68890677499189</v>
      </c>
      <c r="AB34" s="30">
        <f t="shared" si="51"/>
        <v>3446.3389067749858</v>
      </c>
      <c r="AC34" s="30">
        <f t="shared" si="52"/>
        <v>3129.6300000000047</v>
      </c>
      <c r="AD34" s="31">
        <f t="shared" si="53"/>
        <v>8.8052821507956115E-3</v>
      </c>
      <c r="AE34" s="30">
        <f t="shared" si="54"/>
        <v>61.112444397845302</v>
      </c>
      <c r="AF34" s="30">
        <f t="shared" si="55"/>
        <v>3190.7424443978498</v>
      </c>
      <c r="AG34" s="30">
        <f t="shared" si="56"/>
        <v>3303.3300000000017</v>
      </c>
      <c r="AH34" s="31">
        <f t="shared" si="57"/>
        <v>1.138542978081945E-2</v>
      </c>
      <c r="AI34" s="30">
        <f t="shared" si="58"/>
        <v>1071.2595283949126</v>
      </c>
      <c r="AJ34" s="30">
        <f t="shared" si="59"/>
        <v>4374.5895283949139</v>
      </c>
      <c r="AK34" s="30">
        <f t="shared" si="60"/>
        <v>3753.6299999999901</v>
      </c>
      <c r="AL34" s="31">
        <f t="shared" si="61"/>
        <v>9.1269159294630284E-3</v>
      </c>
      <c r="AM34" s="30">
        <f t="shared" si="62"/>
        <v>378.08833360420516</v>
      </c>
      <c r="AN34" s="30">
        <f t="shared" si="63"/>
        <v>4131.7183336041953</v>
      </c>
      <c r="AO34" s="30">
        <f t="shared" si="64"/>
        <v>3880.5</v>
      </c>
      <c r="AP34" s="31">
        <f t="shared" si="65"/>
        <v>1.0714599300769193E-2</v>
      </c>
      <c r="AQ34" s="30">
        <f t="shared" si="66"/>
        <v>933.53732203769573</v>
      </c>
      <c r="AR34" s="30">
        <f t="shared" si="67"/>
        <v>4814.037322037696</v>
      </c>
      <c r="AS34" s="92">
        <f t="shared" si="68"/>
        <v>3729.1800000000076</v>
      </c>
      <c r="AT34" s="93">
        <f t="shared" si="69"/>
        <v>7.8726252561514519E-3</v>
      </c>
      <c r="AU34" s="94">
        <f t="shared" si="70"/>
        <v>932.69738955840501</v>
      </c>
      <c r="AV34" s="94">
        <f t="shared" si="71"/>
        <v>4661.8773895584127</v>
      </c>
      <c r="AW34" s="103">
        <f t="shared" si="72"/>
        <v>4022.1300000000047</v>
      </c>
      <c r="AX34" s="93">
        <f t="shared" si="73"/>
        <v>8.6710120212085944E-3</v>
      </c>
      <c r="AY34" s="103">
        <f t="shared" si="74"/>
        <v>896.01599235738286</v>
      </c>
      <c r="AZ34" s="103">
        <f t="shared" si="75"/>
        <v>4918.1459923573875</v>
      </c>
      <c r="BA34" s="103">
        <f t="shared" si="76"/>
        <v>3769.2399999999907</v>
      </c>
      <c r="BB34" s="90">
        <f t="shared" si="77"/>
        <v>1.0730168976732417E-2</v>
      </c>
      <c r="BC34" s="103">
        <f t="shared" si="78"/>
        <v>927.51591365043942</v>
      </c>
      <c r="BD34" s="103">
        <f t="shared" si="79"/>
        <v>4696.7559136504296</v>
      </c>
      <c r="BE34" s="103">
        <f t="shared" si="32"/>
        <v>4155.3699999999953</v>
      </c>
      <c r="BF34" s="93">
        <f t="shared" si="33"/>
        <v>1.0778109991829325E-2</v>
      </c>
      <c r="BG34" s="103">
        <f t="shared" si="34"/>
        <v>837.52478505498846</v>
      </c>
      <c r="BH34" s="103">
        <f t="shared" si="35"/>
        <v>4992.8947850549839</v>
      </c>
      <c r="BI34" s="103">
        <f t="shared" si="36"/>
        <v>4121.2000000000116</v>
      </c>
      <c r="BJ34" s="90">
        <f t="shared" si="37"/>
        <v>8.5563614809847019E-3</v>
      </c>
      <c r="BK34" s="102">
        <f t="shared" si="38"/>
        <v>964.55580615211807</v>
      </c>
      <c r="BL34" s="102">
        <f t="shared" si="39"/>
        <v>5085.7558061521295</v>
      </c>
      <c r="BM34" s="94">
        <f t="shared" si="40"/>
        <v>3609.4599999999919</v>
      </c>
      <c r="BN34" s="90">
        <f t="shared" si="41"/>
        <v>9.3132374346082368E-3</v>
      </c>
      <c r="BO34" s="94">
        <f t="shared" si="42"/>
        <v>914.16568673792062</v>
      </c>
      <c r="BP34" s="94">
        <f t="shared" si="43"/>
        <v>4523.6256867379125</v>
      </c>
      <c r="BQ34" s="94">
        <f t="shared" si="44"/>
        <v>4218.5299999999988</v>
      </c>
      <c r="BR34" s="90">
        <f t="shared" si="45"/>
        <v>8.0136649064210651E-3</v>
      </c>
      <c r="BS34" s="94">
        <f t="shared" si="46"/>
        <v>911.46567183488435</v>
      </c>
      <c r="BT34" s="94">
        <f t="shared" si="47"/>
        <v>5129.9956718348831</v>
      </c>
    </row>
    <row r="35" spans="1:72" ht="13.5">
      <c r="A35" s="16">
        <v>32</v>
      </c>
      <c r="B35" s="16" t="s">
        <v>49</v>
      </c>
      <c r="C35" s="17" t="s">
        <v>50</v>
      </c>
      <c r="D35" s="21" t="s">
        <v>67</v>
      </c>
      <c r="E35" s="20" t="s">
        <v>49</v>
      </c>
      <c r="F35" s="56" t="s">
        <v>115</v>
      </c>
      <c r="G35" s="56" t="s">
        <v>116</v>
      </c>
      <c r="H35" s="53">
        <v>24199.5</v>
      </c>
      <c r="I35" s="53">
        <v>38867.5</v>
      </c>
      <c r="J35" s="53">
        <v>39406.5</v>
      </c>
      <c r="K35" s="53">
        <v>14668</v>
      </c>
      <c r="L35" s="53">
        <v>539</v>
      </c>
      <c r="M35" s="53">
        <v>39572</v>
      </c>
      <c r="N35" s="53">
        <v>40636</v>
      </c>
      <c r="O35" s="53">
        <v>41457.5</v>
      </c>
      <c r="P35" s="53">
        <v>42458.5</v>
      </c>
      <c r="Q35" s="53">
        <v>43027</v>
      </c>
      <c r="R35" s="53">
        <v>43679</v>
      </c>
      <c r="S35" s="53">
        <v>44482.5</v>
      </c>
      <c r="T35" s="71">
        <v>45366</v>
      </c>
      <c r="U35" s="34">
        <v>46327.5</v>
      </c>
      <c r="V35" s="34">
        <v>46997.5</v>
      </c>
      <c r="W35" s="72">
        <v>47569</v>
      </c>
      <c r="X35" s="72">
        <v>48412</v>
      </c>
      <c r="Y35" s="30">
        <f t="shared" si="48"/>
        <v>704.5</v>
      </c>
      <c r="Z35" s="31">
        <f t="shared" si="49"/>
        <v>1.5948870524533571E-3</v>
      </c>
      <c r="AA35" s="30">
        <f t="shared" si="50"/>
        <v>218.44518838423321</v>
      </c>
      <c r="AB35" s="30">
        <f t="shared" si="51"/>
        <v>922.94518838423323</v>
      </c>
      <c r="AC35" s="30">
        <f t="shared" si="52"/>
        <v>1064</v>
      </c>
      <c r="AD35" s="31">
        <f t="shared" si="53"/>
        <v>2.9935871679548434E-3</v>
      </c>
      <c r="AE35" s="30">
        <f t="shared" si="54"/>
        <v>20.776782188088465</v>
      </c>
      <c r="AF35" s="30">
        <f t="shared" si="55"/>
        <v>1084.7767821880884</v>
      </c>
      <c r="AG35" s="30">
        <f t="shared" si="56"/>
        <v>821.5</v>
      </c>
      <c r="AH35" s="31">
        <f t="shared" si="57"/>
        <v>2.8314248243267166E-3</v>
      </c>
      <c r="AI35" s="30">
        <f t="shared" si="58"/>
        <v>266.40986597658133</v>
      </c>
      <c r="AJ35" s="30">
        <f t="shared" si="59"/>
        <v>1087.9098659765814</v>
      </c>
      <c r="AK35" s="30">
        <f t="shared" si="60"/>
        <v>1001</v>
      </c>
      <c r="AL35" s="31">
        <f t="shared" si="61"/>
        <v>2.4339220555548938E-3</v>
      </c>
      <c r="AM35" s="30">
        <f t="shared" si="62"/>
        <v>100.8267788614782</v>
      </c>
      <c r="AN35" s="30">
        <f t="shared" si="63"/>
        <v>1101.8267788614783</v>
      </c>
      <c r="AO35" s="30">
        <f t="shared" si="64"/>
        <v>568.5</v>
      </c>
      <c r="AP35" s="31">
        <f t="shared" si="65"/>
        <v>1.5697074352499125E-3</v>
      </c>
      <c r="AQ35" s="30">
        <f t="shared" si="66"/>
        <v>136.76484153547997</v>
      </c>
      <c r="AR35" s="30">
        <f t="shared" si="67"/>
        <v>705.26484153547995</v>
      </c>
      <c r="AS35" s="92">
        <f t="shared" si="68"/>
        <v>652</v>
      </c>
      <c r="AT35" s="93">
        <f t="shared" si="69"/>
        <v>1.3764290452621586E-3</v>
      </c>
      <c r="AU35" s="94">
        <f t="shared" si="70"/>
        <v>163.07035272957563</v>
      </c>
      <c r="AV35" s="94">
        <f t="shared" si="71"/>
        <v>815.07035272957569</v>
      </c>
      <c r="AW35" s="103">
        <f t="shared" si="72"/>
        <v>803.5</v>
      </c>
      <c r="AX35" s="93">
        <f t="shared" si="73"/>
        <v>1.7322061094596887E-3</v>
      </c>
      <c r="AY35" s="103">
        <f t="shared" si="74"/>
        <v>178.99691204887867</v>
      </c>
      <c r="AZ35" s="103">
        <f t="shared" si="75"/>
        <v>982.4969120488787</v>
      </c>
      <c r="BA35" s="103">
        <f t="shared" si="76"/>
        <v>883.5</v>
      </c>
      <c r="BB35" s="90">
        <f t="shared" si="77"/>
        <v>2.515123550355805E-3</v>
      </c>
      <c r="BC35" s="103">
        <f t="shared" si="78"/>
        <v>217.40730484399117</v>
      </c>
      <c r="BD35" s="103">
        <f t="shared" si="79"/>
        <v>1100.9073048439911</v>
      </c>
      <c r="BE35" s="103">
        <f t="shared" si="32"/>
        <v>961.5</v>
      </c>
      <c r="BF35" s="93">
        <f t="shared" si="33"/>
        <v>2.4939181726642652E-3</v>
      </c>
      <c r="BG35" s="103">
        <f t="shared" si="34"/>
        <v>193.79262997768484</v>
      </c>
      <c r="BH35" s="103">
        <f t="shared" si="35"/>
        <v>1155.2926299776848</v>
      </c>
      <c r="BI35" s="103">
        <f t="shared" si="36"/>
        <v>670</v>
      </c>
      <c r="BJ35" s="90">
        <f t="shared" si="37"/>
        <v>1.391041976186483E-3</v>
      </c>
      <c r="BK35" s="102">
        <f t="shared" si="38"/>
        <v>156.8117029316503</v>
      </c>
      <c r="BL35" s="102">
        <f t="shared" si="39"/>
        <v>826.8117029316503</v>
      </c>
      <c r="BM35" s="94">
        <f t="shared" si="40"/>
        <v>571.5</v>
      </c>
      <c r="BN35" s="90">
        <f t="shared" si="41"/>
        <v>1.4746015176449162E-3</v>
      </c>
      <c r="BO35" s="94">
        <f t="shared" si="42"/>
        <v>144.74344915048866</v>
      </c>
      <c r="BP35" s="94">
        <f t="shared" si="43"/>
        <v>716.24344915048869</v>
      </c>
      <c r="BQ35" s="94">
        <f t="shared" si="44"/>
        <v>843</v>
      </c>
      <c r="BR35" s="90">
        <f t="shared" si="45"/>
        <v>1.6013918393641764E-3</v>
      </c>
      <c r="BS35" s="94">
        <f t="shared" si="46"/>
        <v>182.14059432001378</v>
      </c>
      <c r="BT35" s="94">
        <f t="shared" si="47"/>
        <v>1025.1405943200139</v>
      </c>
    </row>
    <row r="36" spans="1:72" ht="13.5">
      <c r="A36" s="11">
        <v>33</v>
      </c>
      <c r="B36" s="16" t="s">
        <v>49</v>
      </c>
      <c r="C36" s="17" t="s">
        <v>50</v>
      </c>
      <c r="D36" s="21" t="s">
        <v>67</v>
      </c>
      <c r="E36" s="20" t="s">
        <v>49</v>
      </c>
      <c r="F36" s="56" t="s">
        <v>117</v>
      </c>
      <c r="G36" s="56" t="s">
        <v>118</v>
      </c>
      <c r="H36" s="53">
        <v>80681.16</v>
      </c>
      <c r="I36" s="53">
        <v>163194.88</v>
      </c>
      <c r="J36" s="53">
        <v>168568.39</v>
      </c>
      <c r="K36" s="53">
        <v>82513.72</v>
      </c>
      <c r="L36" s="53">
        <v>5373.51</v>
      </c>
      <c r="M36" s="53">
        <v>170288.56</v>
      </c>
      <c r="N36" s="53">
        <v>177311.79</v>
      </c>
      <c r="O36" s="53">
        <v>182469.5</v>
      </c>
      <c r="P36" s="53">
        <v>189576.12</v>
      </c>
      <c r="Q36" s="53">
        <v>195509.91</v>
      </c>
      <c r="R36" s="53">
        <v>203359.4</v>
      </c>
      <c r="S36" s="53">
        <v>210211.75</v>
      </c>
      <c r="T36" s="71">
        <v>216191</v>
      </c>
      <c r="U36" s="34">
        <v>221898.85</v>
      </c>
      <c r="V36" s="34">
        <v>229486.25</v>
      </c>
      <c r="W36" s="72">
        <v>237044.34</v>
      </c>
      <c r="X36" s="72">
        <v>246518.18</v>
      </c>
      <c r="Y36" s="30">
        <f t="shared" si="48"/>
        <v>7093.679999999993</v>
      </c>
      <c r="Z36" s="31">
        <f t="shared" si="49"/>
        <v>1.6059075069194208E-2</v>
      </c>
      <c r="AA36" s="30">
        <f t="shared" si="50"/>
        <v>2199.5461517920025</v>
      </c>
      <c r="AB36" s="30">
        <f t="shared" si="51"/>
        <v>9293.226151791996</v>
      </c>
      <c r="AC36" s="30">
        <f t="shared" si="52"/>
        <v>7023.2300000000105</v>
      </c>
      <c r="AD36" s="31">
        <f t="shared" si="53"/>
        <v>1.9760010531574741E-2</v>
      </c>
      <c r="AE36" s="30">
        <f t="shared" si="54"/>
        <v>137.14296989365485</v>
      </c>
      <c r="AF36" s="30">
        <f t="shared" si="55"/>
        <v>7160.372969893665</v>
      </c>
      <c r="AG36" s="30">
        <f t="shared" si="56"/>
        <v>5157.7099999999919</v>
      </c>
      <c r="AH36" s="31">
        <f t="shared" si="57"/>
        <v>1.7776832782322734E-2</v>
      </c>
      <c r="AI36" s="30">
        <f t="shared" si="58"/>
        <v>1672.6291294535251</v>
      </c>
      <c r="AJ36" s="30">
        <f t="shared" si="59"/>
        <v>6830.3391294535168</v>
      </c>
      <c r="AK36" s="30">
        <f t="shared" si="60"/>
        <v>7106.6199999999953</v>
      </c>
      <c r="AL36" s="31">
        <f t="shared" si="61"/>
        <v>1.7279679478968541E-2</v>
      </c>
      <c r="AM36" s="30">
        <f t="shared" si="62"/>
        <v>715.82178141114662</v>
      </c>
      <c r="AN36" s="30">
        <f t="shared" si="63"/>
        <v>7822.4417814111421</v>
      </c>
      <c r="AO36" s="30">
        <f t="shared" si="64"/>
        <v>5933.7900000000081</v>
      </c>
      <c r="AP36" s="31">
        <f t="shared" si="65"/>
        <v>1.6384018086563926E-2</v>
      </c>
      <c r="AQ36" s="30">
        <f t="shared" si="66"/>
        <v>1427.5001742389038</v>
      </c>
      <c r="AR36" s="30">
        <f t="shared" si="67"/>
        <v>7361.2901742389122</v>
      </c>
      <c r="AS36" s="92">
        <f t="shared" si="68"/>
        <v>7849.4899999999907</v>
      </c>
      <c r="AT36" s="93">
        <f t="shared" si="69"/>
        <v>1.6570960163335657E-2</v>
      </c>
      <c r="AU36" s="94">
        <f t="shared" si="70"/>
        <v>1963.2194832013422</v>
      </c>
      <c r="AV36" s="94">
        <f t="shared" si="71"/>
        <v>9812.7094832013336</v>
      </c>
      <c r="AW36" s="103">
        <f t="shared" si="72"/>
        <v>6852.3500000000058</v>
      </c>
      <c r="AX36" s="93">
        <f t="shared" si="73"/>
        <v>1.4772473595713886E-2</v>
      </c>
      <c r="AY36" s="103">
        <f t="shared" si="74"/>
        <v>1526.5083886473362</v>
      </c>
      <c r="AZ36" s="103">
        <f t="shared" si="75"/>
        <v>8378.8583886473425</v>
      </c>
      <c r="BA36" s="103">
        <f t="shared" si="76"/>
        <v>5979.25</v>
      </c>
      <c r="BB36" s="90">
        <f t="shared" si="77"/>
        <v>1.7021564786038421E-2</v>
      </c>
      <c r="BC36" s="103">
        <f t="shared" si="78"/>
        <v>1471.3442303208083</v>
      </c>
      <c r="BD36" s="103">
        <f t="shared" si="79"/>
        <v>7450.5942303208085</v>
      </c>
      <c r="BE36" s="103">
        <f t="shared" si="32"/>
        <v>5707.8500000000058</v>
      </c>
      <c r="BF36" s="93">
        <f t="shared" si="33"/>
        <v>1.4804899471494271E-2</v>
      </c>
      <c r="BG36" s="103">
        <f t="shared" si="34"/>
        <v>1150.4308507728858</v>
      </c>
      <c r="BH36" s="103">
        <f t="shared" si="35"/>
        <v>6858.2808507728914</v>
      </c>
      <c r="BI36" s="103">
        <f t="shared" si="36"/>
        <v>7587.3999999999942</v>
      </c>
      <c r="BJ36" s="90">
        <f t="shared" si="37"/>
        <v>1.5752823716593003E-2</v>
      </c>
      <c r="BK36" s="102">
        <f t="shared" si="38"/>
        <v>1775.8106191397053</v>
      </c>
      <c r="BL36" s="102">
        <f t="shared" si="39"/>
        <v>9363.2106191396997</v>
      </c>
      <c r="BM36" s="94">
        <f t="shared" si="40"/>
        <v>7558.0899999999965</v>
      </c>
      <c r="BN36" s="90">
        <f t="shared" si="41"/>
        <v>1.9501611521429325E-2</v>
      </c>
      <c r="BO36" s="94">
        <f t="shared" si="42"/>
        <v>1914.232748188655</v>
      </c>
      <c r="BP36" s="94">
        <f t="shared" si="43"/>
        <v>9472.3227481886515</v>
      </c>
      <c r="BQ36" s="94">
        <f t="shared" si="44"/>
        <v>9473.8399999999965</v>
      </c>
      <c r="BR36" s="90">
        <f t="shared" si="45"/>
        <v>1.7996832815470824E-2</v>
      </c>
      <c r="BS36" s="94">
        <f t="shared" si="46"/>
        <v>2046.9405078205441</v>
      </c>
      <c r="BT36" s="94">
        <f t="shared" si="47"/>
        <v>11520.78050782054</v>
      </c>
    </row>
    <row r="37" spans="1:72" ht="13.5">
      <c r="A37" s="16">
        <v>34</v>
      </c>
      <c r="B37" s="16" t="s">
        <v>49</v>
      </c>
      <c r="C37" s="17" t="s">
        <v>50</v>
      </c>
      <c r="D37" s="21" t="s">
        <v>67</v>
      </c>
      <c r="E37" s="20" t="s">
        <v>49</v>
      </c>
      <c r="F37" s="56" t="s">
        <v>119</v>
      </c>
      <c r="G37" s="56" t="s">
        <v>120</v>
      </c>
      <c r="H37" s="53">
        <v>74325.33</v>
      </c>
      <c r="I37" s="53">
        <v>120810.66</v>
      </c>
      <c r="J37" s="53">
        <v>123329.19</v>
      </c>
      <c r="K37" s="53">
        <v>46485.33</v>
      </c>
      <c r="L37" s="53">
        <v>2518.5300000000002</v>
      </c>
      <c r="M37" s="53">
        <v>124017.39</v>
      </c>
      <c r="N37" s="53">
        <v>128684.31</v>
      </c>
      <c r="O37" s="53">
        <v>132381.42000000001</v>
      </c>
      <c r="P37" s="53">
        <v>137306.1</v>
      </c>
      <c r="Q37" s="53">
        <v>141925.23000000001</v>
      </c>
      <c r="R37" s="53">
        <v>146620.10999999999</v>
      </c>
      <c r="S37" s="53">
        <v>150684.24</v>
      </c>
      <c r="T37" s="71">
        <v>154532.03</v>
      </c>
      <c r="U37" s="34">
        <v>158253.70000000001</v>
      </c>
      <c r="V37" s="34">
        <v>162891.18</v>
      </c>
      <c r="W37" s="72">
        <v>166650.1</v>
      </c>
      <c r="X37" s="72">
        <v>170657.08</v>
      </c>
      <c r="Y37" s="30">
        <f t="shared" si="48"/>
        <v>3206.7299999999959</v>
      </c>
      <c r="Z37" s="31">
        <f t="shared" si="49"/>
        <v>7.2595772288342759E-3</v>
      </c>
      <c r="AA37" s="30">
        <f t="shared" si="50"/>
        <v>994.31474655411103</v>
      </c>
      <c r="AB37" s="30">
        <f t="shared" si="51"/>
        <v>4201.0447465541074</v>
      </c>
      <c r="AC37" s="30">
        <f t="shared" si="52"/>
        <v>4666.9199999999983</v>
      </c>
      <c r="AD37" s="31">
        <f t="shared" si="53"/>
        <v>1.3130481039353208E-2</v>
      </c>
      <c r="AE37" s="30">
        <f t="shared" si="54"/>
        <v>91.131184519956562</v>
      </c>
      <c r="AF37" s="30">
        <f t="shared" si="55"/>
        <v>4758.0511845199544</v>
      </c>
      <c r="AG37" s="30">
        <f t="shared" si="56"/>
        <v>3697.1100000000151</v>
      </c>
      <c r="AH37" s="31">
        <f t="shared" si="57"/>
        <v>1.2742652504280694E-2</v>
      </c>
      <c r="AI37" s="30">
        <f t="shared" si="58"/>
        <v>1198.961143762243</v>
      </c>
      <c r="AJ37" s="30">
        <f t="shared" si="59"/>
        <v>4896.0711437622576</v>
      </c>
      <c r="AK37" s="30">
        <f t="shared" si="60"/>
        <v>4924.679999999993</v>
      </c>
      <c r="AL37" s="31">
        <f t="shared" si="61"/>
        <v>1.1974312955594462E-2</v>
      </c>
      <c r="AM37" s="30">
        <f t="shared" si="62"/>
        <v>496.0435777457979</v>
      </c>
      <c r="AN37" s="30">
        <f t="shared" si="63"/>
        <v>5420.7235777457909</v>
      </c>
      <c r="AO37" s="30">
        <f t="shared" si="64"/>
        <v>4619.1300000000047</v>
      </c>
      <c r="AP37" s="31">
        <f t="shared" si="65"/>
        <v>1.2754059288277811E-2</v>
      </c>
      <c r="AQ37" s="30">
        <f t="shared" si="66"/>
        <v>1111.2305760453512</v>
      </c>
      <c r="AR37" s="30">
        <f t="shared" si="67"/>
        <v>5730.3605760453556</v>
      </c>
      <c r="AS37" s="92">
        <f t="shared" si="68"/>
        <v>4694.8799999999756</v>
      </c>
      <c r="AT37" s="93">
        <f t="shared" si="69"/>
        <v>9.9113024478840028E-3</v>
      </c>
      <c r="AU37" s="94">
        <f t="shared" si="70"/>
        <v>1174.2265914463592</v>
      </c>
      <c r="AV37" s="94">
        <f t="shared" si="71"/>
        <v>5869.1065914463343</v>
      </c>
      <c r="AW37" s="103">
        <f t="shared" si="72"/>
        <v>4064.1300000000047</v>
      </c>
      <c r="AX37" s="93">
        <f t="shared" si="73"/>
        <v>8.7615567089463758E-3</v>
      </c>
      <c r="AY37" s="103">
        <f t="shared" si="74"/>
        <v>905.37239597412577</v>
      </c>
      <c r="AZ37" s="103">
        <f t="shared" si="75"/>
        <v>4969.5023959741302</v>
      </c>
      <c r="BA37" s="103">
        <f t="shared" si="76"/>
        <v>3847.7900000000081</v>
      </c>
      <c r="BB37" s="90">
        <f t="shared" si="77"/>
        <v>1.0953782960751085E-2</v>
      </c>
      <c r="BC37" s="103">
        <f t="shared" si="78"/>
        <v>946.84510866515291</v>
      </c>
      <c r="BD37" s="103">
        <f t="shared" si="79"/>
        <v>4794.6351086651612</v>
      </c>
      <c r="BE37" s="103">
        <f t="shared" ref="BE37:BE64" si="80">U37-T37</f>
        <v>3721.6700000000128</v>
      </c>
      <c r="BF37" s="93">
        <f t="shared" ref="BF37:BF64" si="81">BE37/$BE$65</f>
        <v>9.6531881910134655E-3</v>
      </c>
      <c r="BG37" s="103">
        <f t="shared" ref="BG37:BG64" si="82">BF37*$BE$67</f>
        <v>750.11151035782927</v>
      </c>
      <c r="BH37" s="103">
        <f t="shared" ref="BH37:BH64" si="83">BG37+BE37</f>
        <v>4471.7815103578423</v>
      </c>
      <c r="BI37" s="103">
        <f t="shared" ref="BI37:BI64" si="84">V37-U37</f>
        <v>4637.4799999999814</v>
      </c>
      <c r="BJ37" s="90">
        <f t="shared" ref="BJ37:BJ64" si="85">BI37/$BI$65</f>
        <v>9.6282527518287541E-3</v>
      </c>
      <c r="BK37" s="102">
        <f t="shared" ref="BK37:BK64" si="86">BJ37*$BI$67</f>
        <v>1085.3897553902489</v>
      </c>
      <c r="BL37" s="102">
        <f t="shared" ref="BL37:BL64" si="87">BK37+BI37</f>
        <v>5722.8697553902302</v>
      </c>
      <c r="BM37" s="94">
        <f t="shared" ref="BM37:BM64" si="88">W37-V37</f>
        <v>3758.9200000000128</v>
      </c>
      <c r="BN37" s="90">
        <f t="shared" ref="BN37:BN64" si="89">BM37/$BM$65</f>
        <v>9.6988786294065557E-3</v>
      </c>
      <c r="BO37" s="94">
        <f t="shared" ref="BO37:BO64" si="90">BN37*$BM$67</f>
        <v>952.01932787533974</v>
      </c>
      <c r="BP37" s="94">
        <f t="shared" ref="BP37:BP64" si="91">BO37+BM37</f>
        <v>4710.9393278753523</v>
      </c>
      <c r="BQ37" s="94">
        <f t="shared" ref="BQ37:BQ64" si="92">X37-W37</f>
        <v>4006.9799999999814</v>
      </c>
      <c r="BR37" s="90">
        <f t="shared" ref="BR37:BR64" si="93">BQ37/$BQ$65</f>
        <v>7.6117972390218717E-3</v>
      </c>
      <c r="BS37" s="94">
        <f t="shared" ref="BS37:BS64" si="94">BR37*$BQ$67</f>
        <v>865.75767334330408</v>
      </c>
      <c r="BT37" s="94">
        <f t="shared" ref="BT37:BT64" si="95">BS37+BQ37</f>
        <v>4872.7376733432857</v>
      </c>
    </row>
    <row r="38" spans="1:72" ht="24" customHeight="1">
      <c r="A38" s="11">
        <v>35</v>
      </c>
      <c r="B38" s="16" t="s">
        <v>49</v>
      </c>
      <c r="C38" s="17" t="s">
        <v>50</v>
      </c>
      <c r="D38" s="18" t="s">
        <v>121</v>
      </c>
      <c r="E38" s="20" t="s">
        <v>49</v>
      </c>
      <c r="F38" s="58" t="s">
        <v>122</v>
      </c>
      <c r="G38" s="57" t="s">
        <v>123</v>
      </c>
      <c r="H38" s="59">
        <v>162.5</v>
      </c>
      <c r="I38" s="59">
        <v>17220.599999999999</v>
      </c>
      <c r="J38" s="59">
        <v>18842.3</v>
      </c>
      <c r="K38" s="59">
        <v>17058.099999999999</v>
      </c>
      <c r="L38" s="59">
        <v>1621.7</v>
      </c>
      <c r="M38" s="59">
        <v>19345</v>
      </c>
      <c r="N38" s="59">
        <v>21476.2</v>
      </c>
      <c r="O38" s="59">
        <v>23496.400000000001</v>
      </c>
      <c r="P38" s="59">
        <v>26446.799999999999</v>
      </c>
      <c r="Q38" s="59">
        <v>29026</v>
      </c>
      <c r="R38" s="59">
        <v>32143.7</v>
      </c>
      <c r="S38" s="59">
        <v>34876.9</v>
      </c>
      <c r="T38" s="75">
        <v>36950.699999999997</v>
      </c>
      <c r="U38" s="65">
        <v>39101.300000000003</v>
      </c>
      <c r="V38" s="65">
        <v>41707.300000000003</v>
      </c>
      <c r="W38" s="76">
        <v>43606.9</v>
      </c>
      <c r="X38" s="76">
        <v>46084.9</v>
      </c>
      <c r="Y38" s="30">
        <f t="shared" ref="Y38:Y64" si="96">M38-I38</f>
        <v>2124.4000000000015</v>
      </c>
      <c r="Z38" s="31">
        <f t="shared" ref="Z38:Z64" si="97">Y38/$Y$65</f>
        <v>4.8093371955030715E-3</v>
      </c>
      <c r="AA38" s="30">
        <f t="shared" ref="AA38:AA64" si="98">Z38*$Y$67</f>
        <v>658.71534166567108</v>
      </c>
      <c r="AB38" s="30">
        <f t="shared" ref="AB38:AB64" si="99">Y38+AA38</f>
        <v>2783.1153416656725</v>
      </c>
      <c r="AC38" s="30">
        <f t="shared" ref="AC38:AC64" si="100">N38-M38</f>
        <v>2131.2000000000007</v>
      </c>
      <c r="AD38" s="31">
        <f t="shared" ref="AD38:AD64" si="101">AC38/$AC$65</f>
        <v>5.9961776055877485E-3</v>
      </c>
      <c r="AE38" s="30">
        <f t="shared" ref="AE38:AE64" si="102">AD38*$AC$67</f>
        <v>41.616050939148636</v>
      </c>
      <c r="AF38" s="30">
        <f t="shared" ref="AF38:AF64" si="103">AC38+AE38</f>
        <v>2172.8160509391491</v>
      </c>
      <c r="AG38" s="30">
        <f t="shared" ref="AG38:AG64" si="104">O38-N38</f>
        <v>2020.2000000000007</v>
      </c>
      <c r="AH38" s="31">
        <f t="shared" ref="AH38:AH64" si="105">AG38/$AG$65</f>
        <v>6.9629268777904258E-3</v>
      </c>
      <c r="AI38" s="30">
        <f t="shared" ref="AI38:AI64" si="106">AH38*$AG$67</f>
        <v>655.14450547278113</v>
      </c>
      <c r="AJ38" s="30">
        <f t="shared" ref="AJ38:AJ64" si="107">AG38+AI38</f>
        <v>2675.3445054727817</v>
      </c>
      <c r="AK38" s="30">
        <f t="shared" ref="AK38:AK64" si="108">P38-O38</f>
        <v>2950.3999999999978</v>
      </c>
      <c r="AL38" s="31">
        <f t="shared" ref="AL38:AL64" si="109">AK38/$AK$65</f>
        <v>7.1738697629462073E-3</v>
      </c>
      <c r="AM38" s="30">
        <f t="shared" ref="AM38:AM64" si="110">AL38*$AK$67</f>
        <v>297.18214620669835</v>
      </c>
      <c r="AN38" s="30">
        <f t="shared" ref="AN38:AN64" si="111">AK38+AM38</f>
        <v>3247.5821462066961</v>
      </c>
      <c r="AO38" s="30">
        <f t="shared" ref="AO38:AO64" si="112">Q38-P38</f>
        <v>2579.2000000000007</v>
      </c>
      <c r="AP38" s="31">
        <f t="shared" ref="AP38:AP64" si="113">AO38/$AO$65</f>
        <v>7.1215293174961749E-3</v>
      </c>
      <c r="AQ38" s="30">
        <f t="shared" ref="AQ38:AQ64" si="114">AP38*$AO$67</f>
        <v>620.48175776307835</v>
      </c>
      <c r="AR38" s="30">
        <f t="shared" ref="AR38:AR64" si="115">AO38+AQ38</f>
        <v>3199.6817577630791</v>
      </c>
      <c r="AS38" s="92">
        <f t="shared" ref="AS38:AS64" si="116">R38-Q38</f>
        <v>3117.7000000000007</v>
      </c>
      <c r="AT38" s="93">
        <f t="shared" si="69"/>
        <v>6.5817374760948361E-3</v>
      </c>
      <c r="AU38" s="94">
        <f t="shared" si="70"/>
        <v>779.76140905674561</v>
      </c>
      <c r="AV38" s="94">
        <f t="shared" si="71"/>
        <v>3897.4614090567466</v>
      </c>
      <c r="AW38" s="103">
        <f t="shared" ref="AW38:AW64" si="117">S38-R38</f>
        <v>2733.2000000000007</v>
      </c>
      <c r="AX38" s="93">
        <f t="shared" ref="AX38:AX64" si="118">AW38/$AW$65</f>
        <v>5.8923033458310172E-3</v>
      </c>
      <c r="AY38" s="103">
        <f t="shared" si="74"/>
        <v>608.87910393527727</v>
      </c>
      <c r="AZ38" s="103">
        <f t="shared" ref="AZ38:AZ64" si="119">AW38+AY38</f>
        <v>3342.079103935278</v>
      </c>
      <c r="BA38" s="103">
        <f t="shared" ref="BA38:BA64" si="120">T38-S38</f>
        <v>2073.7999999999956</v>
      </c>
      <c r="BB38" s="90">
        <f t="shared" ref="BB38:BB64" si="121">BA38/$BA$65</f>
        <v>5.9036369198957068E-3</v>
      </c>
      <c r="BC38" s="103">
        <f t="shared" ref="BC38:BC64" si="122">BB38*$BA$67</f>
        <v>510.31043439215381</v>
      </c>
      <c r="BD38" s="103">
        <f t="shared" ref="BD38:BD64" si="123">BA38+BC38</f>
        <v>2584.1104343921493</v>
      </c>
      <c r="BE38" s="103">
        <f t="shared" si="80"/>
        <v>2150.6000000000058</v>
      </c>
      <c r="BF38" s="93">
        <f t="shared" si="81"/>
        <v>5.5781803662317041E-3</v>
      </c>
      <c r="BG38" s="103">
        <f t="shared" si="82"/>
        <v>433.45858557463356</v>
      </c>
      <c r="BH38" s="103">
        <f t="shared" si="83"/>
        <v>2584.0585855746394</v>
      </c>
      <c r="BI38" s="103">
        <f t="shared" si="84"/>
        <v>2606</v>
      </c>
      <c r="BJ38" s="90">
        <f t="shared" si="85"/>
        <v>5.410530432749216E-3</v>
      </c>
      <c r="BK38" s="102">
        <f t="shared" si="86"/>
        <v>609.92731020877716</v>
      </c>
      <c r="BL38" s="102">
        <f t="shared" si="87"/>
        <v>3215.9273102087773</v>
      </c>
      <c r="BM38" s="94">
        <f t="shared" si="88"/>
        <v>1899.5999999999985</v>
      </c>
      <c r="BN38" s="90">
        <f t="shared" si="89"/>
        <v>4.9014051494633082E-3</v>
      </c>
      <c r="BO38" s="94">
        <f t="shared" si="90"/>
        <v>481.11050919731946</v>
      </c>
      <c r="BP38" s="94">
        <f t="shared" si="91"/>
        <v>2380.7105091973181</v>
      </c>
      <c r="BQ38" s="94">
        <f t="shared" si="92"/>
        <v>2478</v>
      </c>
      <c r="BR38" s="90">
        <f t="shared" si="93"/>
        <v>4.707294161262668E-3</v>
      </c>
      <c r="BS38" s="94">
        <f t="shared" si="94"/>
        <v>535.40260109726466</v>
      </c>
      <c r="BT38" s="94">
        <f t="shared" si="95"/>
        <v>3013.4026010972648</v>
      </c>
    </row>
    <row r="39" spans="1:72" ht="27">
      <c r="A39" s="16">
        <v>36</v>
      </c>
      <c r="B39" s="16" t="s">
        <v>39</v>
      </c>
      <c r="C39" s="17" t="s">
        <v>40</v>
      </c>
      <c r="D39" s="18" t="s">
        <v>121</v>
      </c>
      <c r="E39" s="18" t="s">
        <v>124</v>
      </c>
      <c r="F39" s="58" t="s">
        <v>125</v>
      </c>
      <c r="G39" s="57" t="s">
        <v>126</v>
      </c>
      <c r="H39" s="59" t="s">
        <v>127</v>
      </c>
      <c r="I39" s="59">
        <v>1866.9</v>
      </c>
      <c r="J39" s="59">
        <v>2076.5</v>
      </c>
      <c r="K39" s="59">
        <v>1866.9</v>
      </c>
      <c r="L39" s="59">
        <v>209.6</v>
      </c>
      <c r="M39" s="59">
        <v>2140.4</v>
      </c>
      <c r="N39" s="59">
        <v>2557.9</v>
      </c>
      <c r="O39" s="59">
        <v>2856</v>
      </c>
      <c r="P39" s="59">
        <v>3249.4</v>
      </c>
      <c r="Q39" s="59">
        <v>3623.1</v>
      </c>
      <c r="R39" s="59">
        <v>4060.9</v>
      </c>
      <c r="S39" s="59">
        <v>4421.7</v>
      </c>
      <c r="T39" s="75">
        <v>4762.6000000000004</v>
      </c>
      <c r="U39" s="65">
        <v>5108.3</v>
      </c>
      <c r="V39" s="65">
        <v>5486.9</v>
      </c>
      <c r="W39" s="76">
        <v>5826.9</v>
      </c>
      <c r="X39" s="76">
        <v>6233.3</v>
      </c>
      <c r="Y39" s="30">
        <f t="shared" si="96"/>
        <v>273.5</v>
      </c>
      <c r="Z39" s="31">
        <f t="shared" si="97"/>
        <v>6.1916481028529899E-4</v>
      </c>
      <c r="AA39" s="30">
        <f t="shared" si="98"/>
        <v>84.804484063999681</v>
      </c>
      <c r="AB39" s="30">
        <f t="shared" si="99"/>
        <v>358.30448406399967</v>
      </c>
      <c r="AC39" s="30">
        <f t="shared" si="100"/>
        <v>417.5</v>
      </c>
      <c r="AD39" s="31">
        <f t="shared" si="101"/>
        <v>1.1746453408093488E-3</v>
      </c>
      <c r="AE39" s="30">
        <f t="shared" si="102"/>
        <v>8.1525437627132842</v>
      </c>
      <c r="AF39" s="30">
        <f t="shared" si="103"/>
        <v>425.65254376271326</v>
      </c>
      <c r="AG39" s="30">
        <f t="shared" si="104"/>
        <v>298.09999999999991</v>
      </c>
      <c r="AH39" s="31">
        <f t="shared" si="105"/>
        <v>1.0274470360703517E-3</v>
      </c>
      <c r="AI39" s="30">
        <f t="shared" si="106"/>
        <v>96.672892328203119</v>
      </c>
      <c r="AJ39" s="30">
        <f t="shared" si="107"/>
        <v>394.77289232820306</v>
      </c>
      <c r="AK39" s="30">
        <f t="shared" si="108"/>
        <v>393.40000000000009</v>
      </c>
      <c r="AL39" s="31">
        <f t="shared" si="109"/>
        <v>9.5654838826702844E-4</v>
      </c>
      <c r="AM39" s="30">
        <f t="shared" si="110"/>
        <v>39.625629174930602</v>
      </c>
      <c r="AN39" s="30">
        <f t="shared" si="111"/>
        <v>433.02562917493071</v>
      </c>
      <c r="AO39" s="30">
        <f t="shared" si="112"/>
        <v>373.69999999999982</v>
      </c>
      <c r="AP39" s="31">
        <f t="shared" si="113"/>
        <v>1.0318375876040317E-3</v>
      </c>
      <c r="AQ39" s="30">
        <f t="shared" si="114"/>
        <v>89.901532597728831</v>
      </c>
      <c r="AR39" s="30">
        <f t="shared" si="115"/>
        <v>463.60153259772864</v>
      </c>
      <c r="AS39" s="92">
        <f t="shared" si="116"/>
        <v>437.80000000000018</v>
      </c>
      <c r="AT39" s="93">
        <f t="shared" si="69"/>
        <v>9.2423410431867069E-4</v>
      </c>
      <c r="AU39" s="94">
        <f t="shared" si="70"/>
        <v>109.49723991565682</v>
      </c>
      <c r="AV39" s="94">
        <f t="shared" si="71"/>
        <v>547.29723991565697</v>
      </c>
      <c r="AW39" s="103">
        <f t="shared" si="117"/>
        <v>360.79999999999973</v>
      </c>
      <c r="AX39" s="93">
        <f t="shared" si="118"/>
        <v>7.7782198418550744E-4</v>
      </c>
      <c r="AY39" s="103">
        <f t="shared" si="74"/>
        <v>80.375962498114959</v>
      </c>
      <c r="AZ39" s="103">
        <f t="shared" si="119"/>
        <v>441.1759624981147</v>
      </c>
      <c r="BA39" s="103">
        <f t="shared" si="120"/>
        <v>340.90000000000055</v>
      </c>
      <c r="BB39" s="90">
        <f t="shared" si="121"/>
        <v>9.7046476323293181E-4</v>
      </c>
      <c r="BC39" s="103">
        <f t="shared" si="122"/>
        <v>83.886983838502204</v>
      </c>
      <c r="BD39" s="103">
        <f t="shared" si="123"/>
        <v>424.78698383850275</v>
      </c>
      <c r="BE39" s="103">
        <f t="shared" si="80"/>
        <v>345.69999999999982</v>
      </c>
      <c r="BF39" s="93">
        <f t="shared" si="81"/>
        <v>8.9666927955281959E-4</v>
      </c>
      <c r="BG39" s="103">
        <f t="shared" si="82"/>
        <v>69.676663737166535</v>
      </c>
      <c r="BH39" s="103">
        <f t="shared" si="83"/>
        <v>415.37666373716638</v>
      </c>
      <c r="BI39" s="103">
        <f t="shared" si="84"/>
        <v>378.59999999999945</v>
      </c>
      <c r="BJ39" s="90">
        <f t="shared" si="85"/>
        <v>7.8604252564806222E-4</v>
      </c>
      <c r="BK39" s="102">
        <f t="shared" si="86"/>
        <v>88.610314522272716</v>
      </c>
      <c r="BL39" s="102">
        <f t="shared" si="87"/>
        <v>467.21031452227214</v>
      </c>
      <c r="BM39" s="94">
        <f t="shared" si="88"/>
        <v>340</v>
      </c>
      <c r="BN39" s="90">
        <f t="shared" si="89"/>
        <v>8.7727824321832276E-4</v>
      </c>
      <c r="BO39" s="94">
        <f t="shared" si="90"/>
        <v>86.111588296003745</v>
      </c>
      <c r="BP39" s="94">
        <f t="shared" si="91"/>
        <v>426.11158829600373</v>
      </c>
      <c r="BQ39" s="94">
        <f t="shared" si="92"/>
        <v>406.40000000000055</v>
      </c>
      <c r="BR39" s="90">
        <f t="shared" si="93"/>
        <v>7.7201143952265977E-4</v>
      </c>
      <c r="BS39" s="94">
        <f t="shared" si="94"/>
        <v>87.807755079067249</v>
      </c>
      <c r="BT39" s="94">
        <f t="shared" si="95"/>
        <v>494.20775507906779</v>
      </c>
    </row>
    <row r="40" spans="1:72" ht="13.5">
      <c r="A40" s="11">
        <v>37</v>
      </c>
      <c r="B40" s="16" t="s">
        <v>49</v>
      </c>
      <c r="C40" s="17" t="s">
        <v>50</v>
      </c>
      <c r="D40" s="18" t="s">
        <v>121</v>
      </c>
      <c r="E40" s="20" t="s">
        <v>49</v>
      </c>
      <c r="F40" s="58" t="s">
        <v>128</v>
      </c>
      <c r="G40" s="57" t="s">
        <v>129</v>
      </c>
      <c r="H40" s="59" t="s">
        <v>127</v>
      </c>
      <c r="I40" s="59">
        <v>4329.3</v>
      </c>
      <c r="J40" s="59">
        <v>7166</v>
      </c>
      <c r="K40" s="59">
        <v>4329.3</v>
      </c>
      <c r="L40" s="59">
        <v>2836.7</v>
      </c>
      <c r="M40" s="59">
        <v>7985.4</v>
      </c>
      <c r="N40" s="59">
        <v>9440.9</v>
      </c>
      <c r="O40" s="59">
        <v>10004</v>
      </c>
      <c r="P40" s="59">
        <v>11630.3</v>
      </c>
      <c r="Q40" s="59">
        <v>12986.2</v>
      </c>
      <c r="R40" s="59">
        <v>16133.3</v>
      </c>
      <c r="S40" s="59">
        <v>19136.599999999999</v>
      </c>
      <c r="T40" s="75">
        <v>20115.8</v>
      </c>
      <c r="U40" s="65">
        <v>21363.3</v>
      </c>
      <c r="V40" s="65">
        <v>24183.200000000001</v>
      </c>
      <c r="W40" s="76">
        <v>26337</v>
      </c>
      <c r="X40" s="76">
        <v>29939.7</v>
      </c>
      <c r="Y40" s="30">
        <f t="shared" si="96"/>
        <v>3656.0999999999995</v>
      </c>
      <c r="Z40" s="31">
        <f t="shared" si="97"/>
        <v>8.2768865187717779E-3</v>
      </c>
      <c r="AA40" s="30">
        <f t="shared" si="98"/>
        <v>1133.651459548041</v>
      </c>
      <c r="AB40" s="30">
        <f t="shared" si="99"/>
        <v>4789.7514595480407</v>
      </c>
      <c r="AC40" s="30">
        <f t="shared" si="100"/>
        <v>1455.5</v>
      </c>
      <c r="AD40" s="31">
        <f t="shared" si="101"/>
        <v>4.0950809426299568E-3</v>
      </c>
      <c r="AE40" s="30">
        <f t="shared" si="102"/>
        <v>28.421622626656724</v>
      </c>
      <c r="AF40" s="30">
        <f t="shared" si="103"/>
        <v>1483.9216226266567</v>
      </c>
      <c r="AG40" s="30">
        <f t="shared" si="104"/>
        <v>563.10000000000036</v>
      </c>
      <c r="AH40" s="31">
        <f t="shared" si="105"/>
        <v>1.9408098826273585E-3</v>
      </c>
      <c r="AI40" s="30">
        <f t="shared" si="106"/>
        <v>182.61155877226173</v>
      </c>
      <c r="AJ40" s="30">
        <f t="shared" si="107"/>
        <v>745.71155877226215</v>
      </c>
      <c r="AK40" s="30">
        <f t="shared" si="108"/>
        <v>1626.2999999999993</v>
      </c>
      <c r="AL40" s="31">
        <f t="shared" si="109"/>
        <v>3.9543331058430791E-3</v>
      </c>
      <c r="AM40" s="30">
        <f t="shared" si="110"/>
        <v>163.8107796827392</v>
      </c>
      <c r="AN40" s="30">
        <f t="shared" si="111"/>
        <v>1790.1107796827384</v>
      </c>
      <c r="AO40" s="30">
        <f t="shared" si="112"/>
        <v>1355.9000000000015</v>
      </c>
      <c r="AP40" s="31">
        <f t="shared" si="113"/>
        <v>3.7438281643893735E-3</v>
      </c>
      <c r="AQ40" s="30">
        <f t="shared" si="114"/>
        <v>326.19076277565085</v>
      </c>
      <c r="AR40" s="30">
        <f t="shared" si="115"/>
        <v>1682.0907627756524</v>
      </c>
      <c r="AS40" s="92">
        <f t="shared" si="116"/>
        <v>3147.0999999999985</v>
      </c>
      <c r="AT40" s="93">
        <f t="shared" si="69"/>
        <v>6.6438034483811926E-3</v>
      </c>
      <c r="AU40" s="94">
        <f t="shared" si="70"/>
        <v>787.1145814037535</v>
      </c>
      <c r="AV40" s="94">
        <f t="shared" si="71"/>
        <v>3934.2145814037522</v>
      </c>
      <c r="AW40" s="103">
        <f t="shared" si="117"/>
        <v>3003.2999999999993</v>
      </c>
      <c r="AX40" s="93">
        <f t="shared" si="118"/>
        <v>6.4745919210208855E-3</v>
      </c>
      <c r="AY40" s="103">
        <f t="shared" si="74"/>
        <v>669.049690051521</v>
      </c>
      <c r="AZ40" s="103">
        <f t="shared" si="119"/>
        <v>3672.3496900515202</v>
      </c>
      <c r="BA40" s="103">
        <f t="shared" si="120"/>
        <v>979.20000000000073</v>
      </c>
      <c r="BB40" s="90">
        <f t="shared" si="121"/>
        <v>2.7875596836541097E-3</v>
      </c>
      <c r="BC40" s="103">
        <f t="shared" si="122"/>
        <v>240.95668693065795</v>
      </c>
      <c r="BD40" s="103">
        <f t="shared" si="123"/>
        <v>1220.1566869306587</v>
      </c>
      <c r="BE40" s="103">
        <f t="shared" si="80"/>
        <v>1247.5</v>
      </c>
      <c r="BF40" s="93">
        <f t="shared" si="81"/>
        <v>3.2357388667692884E-3</v>
      </c>
      <c r="BG40" s="103">
        <f t="shared" si="82"/>
        <v>251.43661559767224</v>
      </c>
      <c r="BH40" s="103">
        <f t="shared" si="83"/>
        <v>1498.9366155976722</v>
      </c>
      <c r="BI40" s="103">
        <f t="shared" si="84"/>
        <v>2819.9000000000015</v>
      </c>
      <c r="BJ40" s="90">
        <f t="shared" si="85"/>
        <v>5.8546257741018889E-3</v>
      </c>
      <c r="BK40" s="102">
        <f t="shared" si="86"/>
        <v>659.99003148800136</v>
      </c>
      <c r="BL40" s="102">
        <f t="shared" si="87"/>
        <v>3479.8900314880029</v>
      </c>
      <c r="BM40" s="94">
        <f t="shared" si="88"/>
        <v>2153.7999999999993</v>
      </c>
      <c r="BN40" s="90">
        <f t="shared" si="89"/>
        <v>5.5572996477753619E-3</v>
      </c>
      <c r="BO40" s="94">
        <f t="shared" si="90"/>
        <v>545.49158491744947</v>
      </c>
      <c r="BP40" s="94">
        <f t="shared" si="91"/>
        <v>2699.2915849174487</v>
      </c>
      <c r="BQ40" s="94">
        <f t="shared" si="92"/>
        <v>3602.7000000000007</v>
      </c>
      <c r="BR40" s="90">
        <f t="shared" si="93"/>
        <v>6.843813024528256E-3</v>
      </c>
      <c r="BS40" s="94">
        <f t="shared" si="94"/>
        <v>778.40797052990956</v>
      </c>
      <c r="BT40" s="94">
        <f t="shared" si="95"/>
        <v>4381.1079705299107</v>
      </c>
    </row>
    <row r="41" spans="1:72" ht="13.5">
      <c r="A41" s="16">
        <v>38</v>
      </c>
      <c r="B41" s="16" t="s">
        <v>49</v>
      </c>
      <c r="C41" s="17" t="s">
        <v>50</v>
      </c>
      <c r="D41" s="18" t="s">
        <v>121</v>
      </c>
      <c r="E41" s="20" t="s">
        <v>49</v>
      </c>
      <c r="F41" s="58" t="s">
        <v>130</v>
      </c>
      <c r="G41" s="57" t="s">
        <v>131</v>
      </c>
      <c r="H41" s="59">
        <v>610.5</v>
      </c>
      <c r="I41" s="59">
        <v>6649.5</v>
      </c>
      <c r="J41" s="59">
        <v>6902.8</v>
      </c>
      <c r="K41" s="59">
        <v>6039</v>
      </c>
      <c r="L41" s="59">
        <v>253.3</v>
      </c>
      <c r="M41" s="59">
        <v>6965.6</v>
      </c>
      <c r="N41" s="59">
        <v>7124.2</v>
      </c>
      <c r="O41" s="59">
        <v>7249.3</v>
      </c>
      <c r="P41" s="59">
        <v>7718.2</v>
      </c>
      <c r="Q41" s="59">
        <v>8064.8</v>
      </c>
      <c r="R41" s="59">
        <v>8508.4</v>
      </c>
      <c r="S41" s="59">
        <v>9002.5</v>
      </c>
      <c r="T41" s="75">
        <v>9332.4</v>
      </c>
      <c r="U41" s="65">
        <v>9832.7999999999993</v>
      </c>
      <c r="V41" s="65">
        <v>10625.6</v>
      </c>
      <c r="W41" s="76">
        <v>11284.1</v>
      </c>
      <c r="X41" s="76">
        <v>12291.1</v>
      </c>
      <c r="Y41" s="30">
        <f t="shared" si="96"/>
        <v>316.10000000000036</v>
      </c>
      <c r="Z41" s="31">
        <f t="shared" si="97"/>
        <v>7.1560510614692232E-4</v>
      </c>
      <c r="AA41" s="30">
        <f t="shared" si="98"/>
        <v>98.013518876162095</v>
      </c>
      <c r="AB41" s="30">
        <f t="shared" si="99"/>
        <v>414.11351887616246</v>
      </c>
      <c r="AC41" s="30">
        <f t="shared" si="100"/>
        <v>158.59999999999945</v>
      </c>
      <c r="AD41" s="31">
        <f t="shared" si="101"/>
        <v>4.4622455341883133E-4</v>
      </c>
      <c r="AE41" s="30">
        <f t="shared" si="102"/>
        <v>3.0969902772846045</v>
      </c>
      <c r="AF41" s="30">
        <f t="shared" si="103"/>
        <v>161.69699027728407</v>
      </c>
      <c r="AG41" s="30">
        <f t="shared" si="104"/>
        <v>125.10000000000036</v>
      </c>
      <c r="AH41" s="31">
        <f t="shared" si="105"/>
        <v>4.3117619661993091E-4</v>
      </c>
      <c r="AI41" s="30">
        <f t="shared" si="106"/>
        <v>40.569536498685835</v>
      </c>
      <c r="AJ41" s="30">
        <f t="shared" si="107"/>
        <v>165.6695364986862</v>
      </c>
      <c r="AK41" s="30">
        <f t="shared" si="108"/>
        <v>468.89999999999964</v>
      </c>
      <c r="AL41" s="31">
        <f t="shared" si="109"/>
        <v>1.140125925923765E-3</v>
      </c>
      <c r="AM41" s="30">
        <f t="shared" si="110"/>
        <v>47.230446161985107</v>
      </c>
      <c r="AN41" s="30">
        <f t="shared" si="111"/>
        <v>516.13044616198476</v>
      </c>
      <c r="AO41" s="30">
        <f t="shared" si="112"/>
        <v>346.60000000000036</v>
      </c>
      <c r="AP41" s="31">
        <f t="shared" si="113"/>
        <v>9.5701072481551501E-4</v>
      </c>
      <c r="AQ41" s="30">
        <f t="shared" si="114"/>
        <v>83.38204762743608</v>
      </c>
      <c r="AR41" s="30">
        <f t="shared" si="115"/>
        <v>429.98204762743643</v>
      </c>
      <c r="AS41" s="92">
        <f t="shared" si="116"/>
        <v>443.59999999999945</v>
      </c>
      <c r="AT41" s="93">
        <f t="shared" si="69"/>
        <v>9.3647841177652274E-4</v>
      </c>
      <c r="AU41" s="94">
        <f t="shared" si="70"/>
        <v>110.94786575282157</v>
      </c>
      <c r="AV41" s="94">
        <f t="shared" si="71"/>
        <v>554.54786575282105</v>
      </c>
      <c r="AW41" s="103">
        <f t="shared" si="117"/>
        <v>494.10000000000036</v>
      </c>
      <c r="AX41" s="93">
        <f t="shared" si="118"/>
        <v>1.065193576458037E-3</v>
      </c>
      <c r="AY41" s="103">
        <f t="shared" si="74"/>
        <v>110.07140540553952</v>
      </c>
      <c r="AZ41" s="103">
        <f t="shared" si="119"/>
        <v>604.17140540553987</v>
      </c>
      <c r="BA41" s="103">
        <f t="shared" si="120"/>
        <v>329.89999999999964</v>
      </c>
      <c r="BB41" s="90">
        <f t="shared" si="121"/>
        <v>9.3915026515266451E-4</v>
      </c>
      <c r="BC41" s="103">
        <f t="shared" si="122"/>
        <v>81.180158311298925</v>
      </c>
      <c r="BD41" s="103">
        <f t="shared" si="123"/>
        <v>411.08015831129853</v>
      </c>
      <c r="BE41" s="103">
        <f t="shared" si="80"/>
        <v>500.39999999999964</v>
      </c>
      <c r="BF41" s="93">
        <f t="shared" si="81"/>
        <v>1.2979268368187181E-3</v>
      </c>
      <c r="BG41" s="103">
        <f t="shared" si="82"/>
        <v>100.85681959525058</v>
      </c>
      <c r="BH41" s="103">
        <f t="shared" si="83"/>
        <v>601.25681959525025</v>
      </c>
      <c r="BI41" s="103">
        <f t="shared" si="84"/>
        <v>792.80000000000109</v>
      </c>
      <c r="BJ41" s="90">
        <f t="shared" si="85"/>
        <v>1.6459971324188733E-3</v>
      </c>
      <c r="BK41" s="102">
        <f t="shared" si="86"/>
        <v>185.55271355852616</v>
      </c>
      <c r="BL41" s="102">
        <f t="shared" si="87"/>
        <v>978.35271355852728</v>
      </c>
      <c r="BM41" s="94">
        <f t="shared" si="88"/>
        <v>658.5</v>
      </c>
      <c r="BN41" s="90">
        <f t="shared" si="89"/>
        <v>1.6990815387037223E-3</v>
      </c>
      <c r="BO41" s="94">
        <f t="shared" si="90"/>
        <v>166.77788497917197</v>
      </c>
      <c r="BP41" s="94">
        <f t="shared" si="91"/>
        <v>825.27788497917197</v>
      </c>
      <c r="BQ41" s="94">
        <f t="shared" si="92"/>
        <v>1007</v>
      </c>
      <c r="BR41" s="90">
        <f t="shared" si="93"/>
        <v>1.9129318887778479E-3</v>
      </c>
      <c r="BS41" s="94">
        <f t="shared" si="94"/>
        <v>217.57482619247196</v>
      </c>
      <c r="BT41" s="94">
        <f t="shared" si="95"/>
        <v>1224.5748261924718</v>
      </c>
    </row>
    <row r="42" spans="1:72" ht="13.5">
      <c r="A42" s="11">
        <v>39</v>
      </c>
      <c r="B42" s="16" t="s">
        <v>49</v>
      </c>
      <c r="C42" s="17" t="s">
        <v>50</v>
      </c>
      <c r="D42" s="18" t="s">
        <v>121</v>
      </c>
      <c r="E42" s="20" t="s">
        <v>49</v>
      </c>
      <c r="F42" s="58" t="s">
        <v>132</v>
      </c>
      <c r="G42" s="57" t="s">
        <v>133</v>
      </c>
      <c r="H42" s="59">
        <v>216.6</v>
      </c>
      <c r="I42" s="59">
        <v>8296.6</v>
      </c>
      <c r="J42" s="59">
        <v>8863.6</v>
      </c>
      <c r="K42" s="59">
        <v>8080</v>
      </c>
      <c r="L42" s="59">
        <v>567</v>
      </c>
      <c r="M42" s="59">
        <v>9017.9</v>
      </c>
      <c r="N42" s="59">
        <v>9460.1</v>
      </c>
      <c r="O42" s="59">
        <v>9582.7000000000007</v>
      </c>
      <c r="P42" s="59">
        <v>9870.7000000000007</v>
      </c>
      <c r="Q42" s="59">
        <v>10097.9</v>
      </c>
      <c r="R42" s="59">
        <v>10288.200000000001</v>
      </c>
      <c r="S42" s="59">
        <v>10578.9</v>
      </c>
      <c r="T42" s="75">
        <v>10666.2</v>
      </c>
      <c r="U42" s="65">
        <v>10897.8</v>
      </c>
      <c r="V42" s="65">
        <v>11419.6</v>
      </c>
      <c r="W42" s="76">
        <v>11693</v>
      </c>
      <c r="X42" s="76">
        <v>12209.8</v>
      </c>
      <c r="Y42" s="30">
        <f t="shared" si="96"/>
        <v>721.29999999999927</v>
      </c>
      <c r="Z42" s="31">
        <f t="shared" si="97"/>
        <v>1.6329198451875164E-3</v>
      </c>
      <c r="AA42" s="30">
        <f t="shared" si="98"/>
        <v>223.65438521156457</v>
      </c>
      <c r="AB42" s="30">
        <f t="shared" si="99"/>
        <v>944.95438521156382</v>
      </c>
      <c r="AC42" s="30">
        <f t="shared" si="100"/>
        <v>442.20000000000073</v>
      </c>
      <c r="AD42" s="31">
        <f t="shared" si="101"/>
        <v>1.244139328636874E-3</v>
      </c>
      <c r="AE42" s="30">
        <f t="shared" si="102"/>
        <v>8.6348619206510655</v>
      </c>
      <c r="AF42" s="30">
        <f t="shared" si="103"/>
        <v>450.8348619206518</v>
      </c>
      <c r="AG42" s="30">
        <f t="shared" si="104"/>
        <v>122.60000000000036</v>
      </c>
      <c r="AH42" s="31">
        <f t="shared" si="105"/>
        <v>4.2255956599203463E-4</v>
      </c>
      <c r="AI42" s="30">
        <f t="shared" si="106"/>
        <v>39.758794362421135</v>
      </c>
      <c r="AJ42" s="30">
        <f t="shared" si="107"/>
        <v>162.35879436242149</v>
      </c>
      <c r="AK42" s="30">
        <f t="shared" si="108"/>
        <v>288</v>
      </c>
      <c r="AL42" s="31">
        <f t="shared" si="109"/>
        <v>7.0026928271709236E-4</v>
      </c>
      <c r="AM42" s="30">
        <f t="shared" si="110"/>
        <v>29.009103208896825</v>
      </c>
      <c r="AN42" s="30">
        <f t="shared" si="111"/>
        <v>317.00910320889682</v>
      </c>
      <c r="AO42" s="30">
        <f t="shared" si="112"/>
        <v>227.19999999999891</v>
      </c>
      <c r="AP42" s="31">
        <f t="shared" si="113"/>
        <v>6.2733074633030501E-4</v>
      </c>
      <c r="AQ42" s="30">
        <f t="shared" si="114"/>
        <v>54.657822333968156</v>
      </c>
      <c r="AR42" s="30">
        <f t="shared" si="115"/>
        <v>281.85782233396708</v>
      </c>
      <c r="AS42" s="92">
        <f t="shared" si="116"/>
        <v>190.30000000000109</v>
      </c>
      <c r="AT42" s="93">
        <f t="shared" si="69"/>
        <v>4.0173994986716303E-4</v>
      </c>
      <c r="AU42" s="94">
        <f t="shared" si="70"/>
        <v>47.595533933187767</v>
      </c>
      <c r="AV42" s="94">
        <f t="shared" si="71"/>
        <v>237.89553393318886</v>
      </c>
      <c r="AW42" s="103">
        <f t="shared" si="117"/>
        <v>290.69999999999891</v>
      </c>
      <c r="AX42" s="93">
        <f t="shared" si="118"/>
        <v>6.2669858869935236E-4</v>
      </c>
      <c r="AY42" s="103">
        <f t="shared" si="74"/>
        <v>64.759679318741547</v>
      </c>
      <c r="AZ42" s="103">
        <f t="shared" si="119"/>
        <v>355.45967931874043</v>
      </c>
      <c r="BA42" s="103">
        <f t="shared" si="120"/>
        <v>87.300000000001091</v>
      </c>
      <c r="BB42" s="90">
        <f t="shared" si="121"/>
        <v>2.4852324385519472E-4</v>
      </c>
      <c r="BC42" s="103">
        <f t="shared" si="122"/>
        <v>21.482351684075457</v>
      </c>
      <c r="BD42" s="103">
        <f t="shared" si="123"/>
        <v>108.78235168407654</v>
      </c>
      <c r="BE42" s="103">
        <f t="shared" si="80"/>
        <v>231.59999999999854</v>
      </c>
      <c r="BF42" s="93">
        <f t="shared" si="81"/>
        <v>6.0071913550602198E-4</v>
      </c>
      <c r="BG42" s="103">
        <f t="shared" si="82"/>
        <v>46.679535208353123</v>
      </c>
      <c r="BH42" s="103">
        <f t="shared" si="83"/>
        <v>278.27953520835166</v>
      </c>
      <c r="BI42" s="103">
        <f t="shared" si="84"/>
        <v>521.80000000000109</v>
      </c>
      <c r="BJ42" s="90">
        <f t="shared" si="85"/>
        <v>1.0833517957822513E-3</v>
      </c>
      <c r="BK42" s="102">
        <f t="shared" si="86"/>
        <v>122.12589043244076</v>
      </c>
      <c r="BL42" s="102">
        <f t="shared" si="87"/>
        <v>643.92589043244186</v>
      </c>
      <c r="BM42" s="94">
        <f t="shared" si="88"/>
        <v>273.39999999999964</v>
      </c>
      <c r="BN42" s="90">
        <f t="shared" si="89"/>
        <v>7.0543491675261513E-4</v>
      </c>
      <c r="BO42" s="94">
        <f t="shared" si="90"/>
        <v>69.243847765080574</v>
      </c>
      <c r="BP42" s="94">
        <f t="shared" si="91"/>
        <v>342.64384776508018</v>
      </c>
      <c r="BQ42" s="94">
        <f t="shared" si="92"/>
        <v>516.79999999999927</v>
      </c>
      <c r="BR42" s="90">
        <f t="shared" si="93"/>
        <v>9.8173108254259213E-4</v>
      </c>
      <c r="BS42" s="94">
        <f t="shared" si="94"/>
        <v>111.66104287613639</v>
      </c>
      <c r="BT42" s="94">
        <f t="shared" si="95"/>
        <v>628.46104287613571</v>
      </c>
    </row>
    <row r="43" spans="1:72" ht="13.5">
      <c r="A43" s="16">
        <v>40</v>
      </c>
      <c r="B43" s="16" t="s">
        <v>49</v>
      </c>
      <c r="C43" s="17" t="s">
        <v>50</v>
      </c>
      <c r="D43" s="18" t="s">
        <v>121</v>
      </c>
      <c r="E43" s="20" t="s">
        <v>49</v>
      </c>
      <c r="F43" s="58" t="s">
        <v>134</v>
      </c>
      <c r="G43" s="57" t="s">
        <v>135</v>
      </c>
      <c r="H43" s="59" t="s">
        <v>127</v>
      </c>
      <c r="I43" s="59">
        <v>20577.599999999999</v>
      </c>
      <c r="J43" s="59">
        <v>21866.1</v>
      </c>
      <c r="K43" s="59">
        <v>20577.599999999999</v>
      </c>
      <c r="L43" s="59">
        <v>1288.5</v>
      </c>
      <c r="M43" s="59">
        <v>22254.9</v>
      </c>
      <c r="N43" s="59">
        <v>23514.6</v>
      </c>
      <c r="O43" s="59">
        <v>24469.5</v>
      </c>
      <c r="P43" s="59">
        <v>25323.5</v>
      </c>
      <c r="Q43" s="59">
        <v>26004.400000000001</v>
      </c>
      <c r="R43" s="59">
        <v>26973.9</v>
      </c>
      <c r="S43" s="59">
        <v>28054.1</v>
      </c>
      <c r="T43" s="75">
        <v>28822.5</v>
      </c>
      <c r="U43" s="65">
        <v>29975.8</v>
      </c>
      <c r="V43" s="65">
        <v>31720.1</v>
      </c>
      <c r="W43" s="76">
        <v>33140.300000000003</v>
      </c>
      <c r="X43" s="76">
        <v>35121.800000000003</v>
      </c>
      <c r="Y43" s="30">
        <f t="shared" si="96"/>
        <v>1677.3000000000029</v>
      </c>
      <c r="Z43" s="31">
        <f t="shared" si="97"/>
        <v>3.7971668602981125E-3</v>
      </c>
      <c r="AA43" s="30">
        <f t="shared" si="98"/>
        <v>520.08249038591191</v>
      </c>
      <c r="AB43" s="30">
        <f t="shared" si="99"/>
        <v>2197.3824903859149</v>
      </c>
      <c r="AC43" s="30">
        <f t="shared" si="100"/>
        <v>1259.6999999999971</v>
      </c>
      <c r="AD43" s="31">
        <f t="shared" si="101"/>
        <v>3.5441933792036725E-3</v>
      </c>
      <c r="AE43" s="30">
        <f t="shared" si="102"/>
        <v>24.598226054826107</v>
      </c>
      <c r="AF43" s="30">
        <f t="shared" si="103"/>
        <v>1284.2982260548231</v>
      </c>
      <c r="AG43" s="30">
        <f t="shared" si="104"/>
        <v>954.90000000000146</v>
      </c>
      <c r="AH43" s="31">
        <f t="shared" si="105"/>
        <v>3.291208234631267E-3</v>
      </c>
      <c r="AI43" s="30">
        <f t="shared" si="106"/>
        <v>309.6710663676663</v>
      </c>
      <c r="AJ43" s="30">
        <f t="shared" si="107"/>
        <v>1264.5710663676678</v>
      </c>
      <c r="AK43" s="30">
        <f t="shared" si="108"/>
        <v>854</v>
      </c>
      <c r="AL43" s="31">
        <f t="shared" si="109"/>
        <v>2.0764929425013778E-3</v>
      </c>
      <c r="AM43" s="30">
        <f t="shared" si="110"/>
        <v>86.020049098603778</v>
      </c>
      <c r="AN43" s="30">
        <f t="shared" si="111"/>
        <v>940.02004909860375</v>
      </c>
      <c r="AO43" s="30">
        <f t="shared" si="112"/>
        <v>680.90000000000146</v>
      </c>
      <c r="AP43" s="31">
        <f t="shared" si="113"/>
        <v>1.8800594417971289E-3</v>
      </c>
      <c r="AQ43" s="30">
        <f t="shared" si="114"/>
        <v>163.80506702112316</v>
      </c>
      <c r="AR43" s="30">
        <f t="shared" si="115"/>
        <v>844.70506702112459</v>
      </c>
      <c r="AS43" s="92">
        <f t="shared" si="116"/>
        <v>969.5</v>
      </c>
      <c r="AT43" s="93">
        <f t="shared" si="69"/>
        <v>2.0466993242050043E-3</v>
      </c>
      <c r="AU43" s="94">
        <f t="shared" si="70"/>
        <v>242.47961191920797</v>
      </c>
      <c r="AV43" s="94">
        <f t="shared" si="71"/>
        <v>1211.9796119192079</v>
      </c>
      <c r="AW43" s="103">
        <f t="shared" si="117"/>
        <v>1080.1999999999971</v>
      </c>
      <c r="AX43" s="93">
        <f t="shared" si="118"/>
        <v>2.328723135579777E-3</v>
      </c>
      <c r="AY43" s="103">
        <f t="shared" si="74"/>
        <v>240.63779016203887</v>
      </c>
      <c r="AZ43" s="103">
        <f t="shared" si="119"/>
        <v>1320.8377901620361</v>
      </c>
      <c r="BA43" s="103">
        <f t="shared" si="120"/>
        <v>768.40000000000146</v>
      </c>
      <c r="BB43" s="90">
        <f t="shared" si="121"/>
        <v>2.1874600295341304E-3</v>
      </c>
      <c r="BC43" s="103">
        <f t="shared" si="122"/>
        <v>189.08406682753042</v>
      </c>
      <c r="BD43" s="103">
        <f t="shared" si="123"/>
        <v>957.48406682753193</v>
      </c>
      <c r="BE43" s="103">
        <f t="shared" si="80"/>
        <v>1153.2999999999993</v>
      </c>
      <c r="BF43" s="93">
        <f t="shared" si="81"/>
        <v>2.9914049178717578E-3</v>
      </c>
      <c r="BG43" s="103">
        <f t="shared" si="82"/>
        <v>232.45037977458531</v>
      </c>
      <c r="BH43" s="103">
        <f t="shared" si="83"/>
        <v>1385.7503797745846</v>
      </c>
      <c r="BI43" s="103">
        <f t="shared" si="84"/>
        <v>1744.2999999999993</v>
      </c>
      <c r="BJ43" s="90">
        <f t="shared" si="85"/>
        <v>3.6214843568090765E-3</v>
      </c>
      <c r="BK43" s="102">
        <f t="shared" si="86"/>
        <v>408.24873645325005</v>
      </c>
      <c r="BL43" s="102">
        <f t="shared" si="87"/>
        <v>2152.5487364532491</v>
      </c>
      <c r="BM43" s="94">
        <f t="shared" si="88"/>
        <v>1420.2000000000044</v>
      </c>
      <c r="BN43" s="90">
        <f t="shared" si="89"/>
        <v>3.6644428265254878E-3</v>
      </c>
      <c r="BO43" s="94">
        <f t="shared" si="90"/>
        <v>359.6931696999556</v>
      </c>
      <c r="BP43" s="94">
        <f t="shared" si="91"/>
        <v>1779.89316969996</v>
      </c>
      <c r="BQ43" s="94">
        <f t="shared" si="92"/>
        <v>1981.5</v>
      </c>
      <c r="BR43" s="90">
        <f t="shared" si="93"/>
        <v>3.7641256580072547E-3</v>
      </c>
      <c r="BS43" s="94">
        <f t="shared" si="94"/>
        <v>428.12762472729213</v>
      </c>
      <c r="BT43" s="94">
        <f t="shared" si="95"/>
        <v>2409.6276247272922</v>
      </c>
    </row>
    <row r="44" spans="1:72" ht="13.5">
      <c r="A44" s="11">
        <v>41</v>
      </c>
      <c r="B44" s="16" t="s">
        <v>49</v>
      </c>
      <c r="C44" s="17" t="s">
        <v>50</v>
      </c>
      <c r="D44" s="18" t="s">
        <v>121</v>
      </c>
      <c r="E44" s="20" t="s">
        <v>49</v>
      </c>
      <c r="F44" s="58" t="s">
        <v>136</v>
      </c>
      <c r="G44" s="58" t="s">
        <v>137</v>
      </c>
      <c r="H44" s="59">
        <v>442.4</v>
      </c>
      <c r="I44" s="59">
        <v>498.1</v>
      </c>
      <c r="J44" s="59">
        <v>532.6</v>
      </c>
      <c r="K44" s="59">
        <v>55.7</v>
      </c>
      <c r="L44" s="59">
        <v>34.5</v>
      </c>
      <c r="M44" s="59">
        <v>544.20000000000005</v>
      </c>
      <c r="N44" s="59">
        <v>605.6</v>
      </c>
      <c r="O44" s="59">
        <v>652</v>
      </c>
      <c r="P44" s="59">
        <v>711.3</v>
      </c>
      <c r="Q44" s="59">
        <v>759.7</v>
      </c>
      <c r="R44" s="59">
        <v>818.8</v>
      </c>
      <c r="S44" s="59">
        <v>873.8</v>
      </c>
      <c r="T44" s="75">
        <v>926.7</v>
      </c>
      <c r="U44" s="65">
        <v>986.2</v>
      </c>
      <c r="V44" s="65">
        <v>1044.0999999999999</v>
      </c>
      <c r="W44" s="76">
        <v>1096.7</v>
      </c>
      <c r="X44" s="76">
        <v>1157.5999999999999</v>
      </c>
      <c r="Y44" s="30">
        <f t="shared" si="96"/>
        <v>46.100000000000023</v>
      </c>
      <c r="Z44" s="31">
        <f t="shared" si="97"/>
        <v>1.0436379434790603E-4</v>
      </c>
      <c r="AA44" s="30">
        <f t="shared" si="98"/>
        <v>14.294284151189716</v>
      </c>
      <c r="AB44" s="30">
        <f t="shared" si="99"/>
        <v>60.394284151189737</v>
      </c>
      <c r="AC44" s="30">
        <f t="shared" si="100"/>
        <v>61.399999999999977</v>
      </c>
      <c r="AD44" s="31">
        <f t="shared" si="101"/>
        <v>1.7275023694777002E-4</v>
      </c>
      <c r="AE44" s="30">
        <f t="shared" si="102"/>
        <v>1.1989609270193902</v>
      </c>
      <c r="AF44" s="30">
        <f t="shared" si="103"/>
        <v>62.59896092701937</v>
      </c>
      <c r="AG44" s="30">
        <f t="shared" si="104"/>
        <v>46.399999999999977</v>
      </c>
      <c r="AH44" s="31">
        <f t="shared" si="105"/>
        <v>1.599246644537548E-4</v>
      </c>
      <c r="AI44" s="30">
        <f t="shared" si="106"/>
        <v>15.047374049072873</v>
      </c>
      <c r="AJ44" s="30">
        <f t="shared" si="107"/>
        <v>61.447374049072849</v>
      </c>
      <c r="AK44" s="30">
        <f t="shared" si="108"/>
        <v>59.299999999999955</v>
      </c>
      <c r="AL44" s="31">
        <f t="shared" si="109"/>
        <v>1.4418739050390118E-4</v>
      </c>
      <c r="AM44" s="30">
        <f t="shared" si="110"/>
        <v>5.9730549315540982</v>
      </c>
      <c r="AN44" s="30">
        <f t="shared" si="111"/>
        <v>65.273054931554057</v>
      </c>
      <c r="AO44" s="30">
        <f t="shared" si="112"/>
        <v>48.400000000000091</v>
      </c>
      <c r="AP44" s="31">
        <f t="shared" si="113"/>
        <v>1.3363912025698488E-4</v>
      </c>
      <c r="AQ44" s="30">
        <f t="shared" si="114"/>
        <v>11.64365581410245</v>
      </c>
      <c r="AR44" s="30">
        <f t="shared" si="115"/>
        <v>60.043655814102543</v>
      </c>
      <c r="AS44" s="92">
        <f t="shared" si="116"/>
        <v>59.099999999999909</v>
      </c>
      <c r="AT44" s="93">
        <f t="shared" si="69"/>
        <v>1.2476527082054211E-4</v>
      </c>
      <c r="AU44" s="94">
        <f t="shared" si="70"/>
        <v>14.781377064904765</v>
      </c>
      <c r="AV44" s="94">
        <f t="shared" si="71"/>
        <v>73.881377064904669</v>
      </c>
      <c r="AW44" s="103">
        <f t="shared" si="117"/>
        <v>55</v>
      </c>
      <c r="AX44" s="93">
        <f t="shared" si="118"/>
        <v>1.1857042441852256E-4</v>
      </c>
      <c r="AY44" s="103">
        <f t="shared" si="74"/>
        <v>12.252433307639485</v>
      </c>
      <c r="AZ44" s="103">
        <f t="shared" si="119"/>
        <v>67.252433307639478</v>
      </c>
      <c r="BA44" s="103">
        <f t="shared" si="120"/>
        <v>52.900000000000091</v>
      </c>
      <c r="BB44" s="90">
        <f t="shared" si="121"/>
        <v>1.5059426804054591E-4</v>
      </c>
      <c r="BC44" s="103">
        <f t="shared" si="122"/>
        <v>13.017370035367462</v>
      </c>
      <c r="BD44" s="103">
        <f t="shared" si="123"/>
        <v>65.917370035367554</v>
      </c>
      <c r="BE44" s="103">
        <f t="shared" si="80"/>
        <v>59.5</v>
      </c>
      <c r="BF44" s="93">
        <f t="shared" si="81"/>
        <v>1.5432982971765342E-4</v>
      </c>
      <c r="BG44" s="103">
        <f t="shared" si="82"/>
        <v>11.992367637724646</v>
      </c>
      <c r="BH44" s="103">
        <f t="shared" si="83"/>
        <v>71.492367637724641</v>
      </c>
      <c r="BI44" s="103">
        <f t="shared" si="84"/>
        <v>57.899999999999864</v>
      </c>
      <c r="BJ44" s="90">
        <f t="shared" si="85"/>
        <v>1.2021094092715996E-4</v>
      </c>
      <c r="BK44" s="102">
        <f t="shared" si="86"/>
        <v>13.551339701108255</v>
      </c>
      <c r="BL44" s="102">
        <f t="shared" si="87"/>
        <v>71.451339701108111</v>
      </c>
      <c r="BM44" s="94">
        <f t="shared" si="88"/>
        <v>52.600000000000136</v>
      </c>
      <c r="BN44" s="90">
        <f t="shared" si="89"/>
        <v>1.357201046861291E-4</v>
      </c>
      <c r="BO44" s="94">
        <f t="shared" si="90"/>
        <v>13.321969248146496</v>
      </c>
      <c r="BP44" s="94">
        <f t="shared" si="91"/>
        <v>65.921969248146638</v>
      </c>
      <c r="BQ44" s="94">
        <f t="shared" si="92"/>
        <v>60.899999999999864</v>
      </c>
      <c r="BR44" s="90">
        <f t="shared" si="93"/>
        <v>1.156877378615399E-4</v>
      </c>
      <c r="BS44" s="94">
        <f t="shared" si="94"/>
        <v>13.158199518492069</v>
      </c>
      <c r="BT44" s="94">
        <f t="shared" si="95"/>
        <v>74.058199518491932</v>
      </c>
    </row>
    <row r="45" spans="1:72" ht="13.5">
      <c r="A45" s="16">
        <v>42</v>
      </c>
      <c r="B45" s="16" t="s">
        <v>49</v>
      </c>
      <c r="C45" s="17" t="s">
        <v>50</v>
      </c>
      <c r="D45" s="119" t="s">
        <v>138</v>
      </c>
      <c r="E45" s="20" t="s">
        <v>49</v>
      </c>
      <c r="F45" s="58" t="s">
        <v>139</v>
      </c>
      <c r="G45" s="58" t="s">
        <v>140</v>
      </c>
      <c r="H45" s="59">
        <v>79.5</v>
      </c>
      <c r="I45" s="59">
        <v>474.8</v>
      </c>
      <c r="J45" s="59">
        <v>496.1</v>
      </c>
      <c r="K45" s="59">
        <v>395.3</v>
      </c>
      <c r="L45" s="59">
        <v>21.3</v>
      </c>
      <c r="M45" s="59">
        <v>503.2</v>
      </c>
      <c r="N45" s="59">
        <v>553.1</v>
      </c>
      <c r="O45" s="59">
        <v>590.9</v>
      </c>
      <c r="P45" s="59">
        <v>638.5</v>
      </c>
      <c r="Q45" s="59">
        <v>678.9</v>
      </c>
      <c r="R45" s="59">
        <v>725</v>
      </c>
      <c r="S45" s="59">
        <v>768.6</v>
      </c>
      <c r="T45" s="75">
        <v>809.9</v>
      </c>
      <c r="U45" s="65">
        <v>854.5</v>
      </c>
      <c r="V45" s="65">
        <v>899.6</v>
      </c>
      <c r="W45" s="76">
        <v>940.3</v>
      </c>
      <c r="X45" s="76">
        <v>988.3</v>
      </c>
      <c r="Y45" s="30">
        <f t="shared" si="96"/>
        <v>28.399999999999977</v>
      </c>
      <c r="Z45" s="31">
        <f t="shared" si="97"/>
        <v>6.4293530574414904E-5</v>
      </c>
      <c r="AA45" s="30">
        <f t="shared" si="98"/>
        <v>8.8060232081081864</v>
      </c>
      <c r="AB45" s="30">
        <f t="shared" si="99"/>
        <v>37.206023208108164</v>
      </c>
      <c r="AC45" s="30">
        <f t="shared" si="100"/>
        <v>49.900000000000034</v>
      </c>
      <c r="AD45" s="31">
        <f t="shared" si="101"/>
        <v>1.4039473654224322E-4</v>
      </c>
      <c r="AE45" s="30">
        <f t="shared" si="102"/>
        <v>0.97439984133986379</v>
      </c>
      <c r="AF45" s="30">
        <f t="shared" si="103"/>
        <v>50.874399841339901</v>
      </c>
      <c r="AG45" s="30">
        <f t="shared" si="104"/>
        <v>37.799999999999955</v>
      </c>
      <c r="AH45" s="31">
        <f t="shared" si="105"/>
        <v>1.3028345509379154E-4</v>
      </c>
      <c r="AI45" s="30">
        <f t="shared" si="106"/>
        <v>12.258421100322288</v>
      </c>
      <c r="AJ45" s="30">
        <f t="shared" si="107"/>
        <v>50.058421100322242</v>
      </c>
      <c r="AK45" s="30">
        <f t="shared" si="108"/>
        <v>47.600000000000023</v>
      </c>
      <c r="AL45" s="31">
        <f t="shared" si="109"/>
        <v>1.1573895089351948E-4</v>
      </c>
      <c r="AM45" s="30">
        <f t="shared" si="110"/>
        <v>4.7945601136926719</v>
      </c>
      <c r="AN45" s="30">
        <f t="shared" si="111"/>
        <v>52.394560113692691</v>
      </c>
      <c r="AO45" s="30">
        <f t="shared" si="112"/>
        <v>40.399999999999977</v>
      </c>
      <c r="AP45" s="31">
        <f t="shared" si="113"/>
        <v>1.1155000947070612E-4</v>
      </c>
      <c r="AQ45" s="30">
        <f t="shared" si="114"/>
        <v>9.7190846051598729</v>
      </c>
      <c r="AR45" s="30">
        <f t="shared" si="115"/>
        <v>50.119084605159848</v>
      </c>
      <c r="AS45" s="92">
        <f t="shared" si="116"/>
        <v>46.100000000000023</v>
      </c>
      <c r="AT45" s="93">
        <f t="shared" si="69"/>
        <v>9.7321133415008505E-5</v>
      </c>
      <c r="AU45" s="94">
        <f t="shared" si="70"/>
        <v>11.529974326431658</v>
      </c>
      <c r="AV45" s="94">
        <f t="shared" si="71"/>
        <v>57.629974326431679</v>
      </c>
      <c r="AW45" s="103">
        <f t="shared" si="117"/>
        <v>43.600000000000023</v>
      </c>
      <c r="AX45" s="93">
        <f t="shared" si="118"/>
        <v>9.3994009175410657E-5</v>
      </c>
      <c r="AY45" s="103">
        <f t="shared" ref="AY45:AY64" si="124">AX45*$AW$67</f>
        <v>9.7128380402378518</v>
      </c>
      <c r="AZ45" s="103">
        <f t="shared" si="119"/>
        <v>53.312838040237878</v>
      </c>
      <c r="BA45" s="103">
        <f t="shared" si="120"/>
        <v>41.299999999999955</v>
      </c>
      <c r="BB45" s="90">
        <f t="shared" si="121"/>
        <v>1.1757170642863003E-4</v>
      </c>
      <c r="BC45" s="103">
        <f t="shared" si="122"/>
        <v>10.162899479407839</v>
      </c>
      <c r="BD45" s="103">
        <f t="shared" si="123"/>
        <v>51.462899479407795</v>
      </c>
      <c r="BE45" s="103">
        <f t="shared" si="80"/>
        <v>44.600000000000023</v>
      </c>
      <c r="BF45" s="93">
        <f t="shared" si="81"/>
        <v>1.1568252782197221E-4</v>
      </c>
      <c r="BG45" s="103">
        <f t="shared" si="82"/>
        <v>8.9892369183616729</v>
      </c>
      <c r="BH45" s="103">
        <f t="shared" si="83"/>
        <v>53.589236918361692</v>
      </c>
      <c r="BI45" s="103">
        <f t="shared" si="84"/>
        <v>45.100000000000023</v>
      </c>
      <c r="BJ45" s="90">
        <f t="shared" si="85"/>
        <v>9.3635810635836432E-5</v>
      </c>
      <c r="BK45" s="102">
        <f t="shared" si="86"/>
        <v>10.555534033160345</v>
      </c>
      <c r="BL45" s="102">
        <f t="shared" si="87"/>
        <v>55.655534033160365</v>
      </c>
      <c r="BM45" s="94">
        <f t="shared" si="88"/>
        <v>40.699999999999932</v>
      </c>
      <c r="BN45" s="90">
        <f t="shared" si="89"/>
        <v>1.0501536617348729E-4</v>
      </c>
      <c r="BO45" s="94">
        <f t="shared" si="90"/>
        <v>10.308063657786315</v>
      </c>
      <c r="BP45" s="94">
        <f t="shared" si="91"/>
        <v>51.008063657786245</v>
      </c>
      <c r="BQ45" s="94">
        <f t="shared" si="92"/>
        <v>48</v>
      </c>
      <c r="BR45" s="90">
        <f t="shared" si="93"/>
        <v>9.1182453486928194E-5</v>
      </c>
      <c r="BS45" s="94">
        <f t="shared" si="94"/>
        <v>10.370994694378007</v>
      </c>
      <c r="BT45" s="94">
        <f t="shared" si="95"/>
        <v>58.370994694378005</v>
      </c>
    </row>
    <row r="46" spans="1:72" ht="13.5">
      <c r="A46" s="11">
        <v>43</v>
      </c>
      <c r="B46" s="16" t="s">
        <v>39</v>
      </c>
      <c r="C46" s="17" t="s">
        <v>40</v>
      </c>
      <c r="D46" s="18" t="s">
        <v>121</v>
      </c>
      <c r="E46" s="18" t="s">
        <v>124</v>
      </c>
      <c r="F46" s="60" t="s">
        <v>141</v>
      </c>
      <c r="G46" s="55" t="s">
        <v>142</v>
      </c>
      <c r="H46" s="59" t="s">
        <v>127</v>
      </c>
      <c r="I46" s="59">
        <v>290.89999999999998</v>
      </c>
      <c r="J46" s="59">
        <v>599</v>
      </c>
      <c r="K46" s="59">
        <v>290.89999999999998</v>
      </c>
      <c r="L46" s="59">
        <v>308.10000000000002</v>
      </c>
      <c r="M46" s="59">
        <v>704.7</v>
      </c>
      <c r="N46" s="59">
        <v>782.8</v>
      </c>
      <c r="O46" s="59">
        <v>810.4</v>
      </c>
      <c r="P46" s="59">
        <v>973.3</v>
      </c>
      <c r="Q46" s="59">
        <v>1056.7</v>
      </c>
      <c r="R46" s="59">
        <v>1430.4</v>
      </c>
      <c r="S46" s="59">
        <v>1800.7</v>
      </c>
      <c r="T46" s="75">
        <v>1940.9</v>
      </c>
      <c r="U46" s="65">
        <v>2094.9</v>
      </c>
      <c r="V46" s="65">
        <v>2495.3000000000002</v>
      </c>
      <c r="W46" s="76">
        <v>2751.1</v>
      </c>
      <c r="X46" s="76">
        <v>3143.4</v>
      </c>
      <c r="Y46" s="30">
        <f t="shared" si="96"/>
        <v>413.80000000000007</v>
      </c>
      <c r="Z46" s="31">
        <f t="shared" si="97"/>
        <v>9.3678390674975054E-4</v>
      </c>
      <c r="AA46" s="30">
        <f t="shared" si="98"/>
        <v>128.30747899701308</v>
      </c>
      <c r="AB46" s="30">
        <f t="shared" si="99"/>
        <v>542.10747899701312</v>
      </c>
      <c r="AC46" s="30">
        <f t="shared" si="100"/>
        <v>78.099999999999909</v>
      </c>
      <c r="AD46" s="31">
        <f t="shared" si="101"/>
        <v>2.1973605058014378E-4</v>
      </c>
      <c r="AE46" s="30">
        <f t="shared" si="102"/>
        <v>1.5250626775279201</v>
      </c>
      <c r="AF46" s="30">
        <f t="shared" si="103"/>
        <v>79.625062677527836</v>
      </c>
      <c r="AG46" s="30">
        <f t="shared" si="104"/>
        <v>27.600000000000023</v>
      </c>
      <c r="AH46" s="31">
        <f t="shared" si="105"/>
        <v>9.5127602131974976E-5</v>
      </c>
      <c r="AI46" s="30">
        <f t="shared" si="106"/>
        <v>8.9505931843623259</v>
      </c>
      <c r="AJ46" s="30">
        <f t="shared" si="107"/>
        <v>36.550593184362349</v>
      </c>
      <c r="AK46" s="30">
        <f t="shared" si="108"/>
        <v>162.89999999999998</v>
      </c>
      <c r="AL46" s="31">
        <f t="shared" si="109"/>
        <v>3.9608981303685531E-4</v>
      </c>
      <c r="AM46" s="30">
        <f t="shared" si="110"/>
        <v>16.408274002532266</v>
      </c>
      <c r="AN46" s="30">
        <f t="shared" si="111"/>
        <v>179.30827400253224</v>
      </c>
      <c r="AO46" s="30">
        <f t="shared" si="112"/>
        <v>83.400000000000091</v>
      </c>
      <c r="AP46" s="31">
        <f t="shared" si="113"/>
        <v>2.3027897994695311E-4</v>
      </c>
      <c r="AQ46" s="30">
        <f t="shared" si="114"/>
        <v>20.063654853226108</v>
      </c>
      <c r="AR46" s="30">
        <f t="shared" si="115"/>
        <v>103.4636548532262</v>
      </c>
      <c r="AS46" s="92">
        <f t="shared" si="116"/>
        <v>373.70000000000005</v>
      </c>
      <c r="AT46" s="93">
        <f t="shared" si="69"/>
        <v>7.8891339603446122E-4</v>
      </c>
      <c r="AU46" s="94">
        <f t="shared" si="70"/>
        <v>93.465323335954636</v>
      </c>
      <c r="AV46" s="94">
        <f t="shared" si="71"/>
        <v>467.16532333595467</v>
      </c>
      <c r="AW46" s="103">
        <f t="shared" si="117"/>
        <v>370.29999999999995</v>
      </c>
      <c r="AX46" s="93">
        <f t="shared" si="118"/>
        <v>7.9830233022143448E-4</v>
      </c>
      <c r="AY46" s="103">
        <f t="shared" si="124"/>
        <v>82.492291887616375</v>
      </c>
      <c r="AZ46" s="103">
        <f t="shared" si="119"/>
        <v>452.79229188761633</v>
      </c>
      <c r="BA46" s="103">
        <f t="shared" si="120"/>
        <v>140.20000000000005</v>
      </c>
      <c r="BB46" s="90">
        <f t="shared" si="121"/>
        <v>3.9911751189573738E-4</v>
      </c>
      <c r="BC46" s="103">
        <f t="shared" si="122"/>
        <v>34.49972171944264</v>
      </c>
      <c r="BD46" s="103">
        <f t="shared" si="123"/>
        <v>174.69972171944269</v>
      </c>
      <c r="BE46" s="103">
        <f t="shared" si="80"/>
        <v>154</v>
      </c>
      <c r="BF46" s="93">
        <f t="shared" si="81"/>
        <v>3.9944191221039712E-4</v>
      </c>
      <c r="BG46" s="103">
        <f t="shared" si="82"/>
        <v>31.039069179993206</v>
      </c>
      <c r="BH46" s="103">
        <f t="shared" si="83"/>
        <v>185.03906917999319</v>
      </c>
      <c r="BI46" s="103">
        <f t="shared" si="84"/>
        <v>400.40000000000009</v>
      </c>
      <c r="BJ46" s="90">
        <f t="shared" si="85"/>
        <v>8.3130329442547449E-4</v>
      </c>
      <c r="BK46" s="102">
        <f t="shared" si="86"/>
        <v>93.712546050496712</v>
      </c>
      <c r="BL46" s="102">
        <f t="shared" si="87"/>
        <v>494.1125460504968</v>
      </c>
      <c r="BM46" s="94">
        <f t="shared" si="88"/>
        <v>255.79999999999973</v>
      </c>
      <c r="BN46" s="90">
        <f t="shared" si="89"/>
        <v>6.6002286651543158E-4</v>
      </c>
      <c r="BO46" s="94">
        <f t="shared" si="90"/>
        <v>64.786306723875697</v>
      </c>
      <c r="BP46" s="94">
        <f t="shared" si="91"/>
        <v>320.5863067238754</v>
      </c>
      <c r="BQ46" s="94">
        <f t="shared" si="92"/>
        <v>392.30000000000018</v>
      </c>
      <c r="BR46" s="90">
        <f t="shared" si="93"/>
        <v>7.4522659381087394E-4</v>
      </c>
      <c r="BS46" s="94">
        <f t="shared" si="94"/>
        <v>84.761275387593642</v>
      </c>
      <c r="BT46" s="94">
        <f t="shared" si="95"/>
        <v>477.06127538759381</v>
      </c>
    </row>
    <row r="47" spans="1:72" ht="13.5">
      <c r="A47" s="16">
        <v>44</v>
      </c>
      <c r="B47" s="16" t="s">
        <v>39</v>
      </c>
      <c r="C47" s="17" t="s">
        <v>40</v>
      </c>
      <c r="D47" s="18" t="s">
        <v>121</v>
      </c>
      <c r="E47" s="18" t="s">
        <v>124</v>
      </c>
      <c r="F47" s="60" t="s">
        <v>43</v>
      </c>
      <c r="G47" s="55" t="s">
        <v>44</v>
      </c>
      <c r="H47" s="59">
        <v>478.3</v>
      </c>
      <c r="I47" s="59">
        <v>1280.2</v>
      </c>
      <c r="J47" s="59">
        <v>1391.8</v>
      </c>
      <c r="K47" s="59">
        <v>801.9</v>
      </c>
      <c r="L47" s="59">
        <v>111.6</v>
      </c>
      <c r="M47" s="59">
        <v>1427</v>
      </c>
      <c r="N47" s="59">
        <v>1549.4</v>
      </c>
      <c r="O47" s="59">
        <v>1626.7</v>
      </c>
      <c r="P47" s="59">
        <v>1726.2</v>
      </c>
      <c r="Q47" s="59">
        <v>1836.5</v>
      </c>
      <c r="R47" s="59">
        <v>1969.1</v>
      </c>
      <c r="S47" s="59">
        <v>2074.1</v>
      </c>
      <c r="T47" s="75">
        <v>2198.4</v>
      </c>
      <c r="U47" s="65">
        <v>2299.4</v>
      </c>
      <c r="V47" s="65">
        <v>2418</v>
      </c>
      <c r="W47" s="76">
        <v>2504.1999999999998</v>
      </c>
      <c r="X47" s="76">
        <v>2584.4</v>
      </c>
      <c r="Y47" s="30">
        <f t="shared" si="96"/>
        <v>146.79999999999995</v>
      </c>
      <c r="Z47" s="31">
        <f t="shared" si="97"/>
        <v>3.3233416508183497E-4</v>
      </c>
      <c r="AA47" s="30">
        <f t="shared" si="98"/>
        <v>45.518457991207129</v>
      </c>
      <c r="AB47" s="30">
        <f t="shared" si="99"/>
        <v>192.31845799120708</v>
      </c>
      <c r="AC47" s="30">
        <f t="shared" si="100"/>
        <v>122.40000000000009</v>
      </c>
      <c r="AD47" s="31">
        <f t="shared" si="101"/>
        <v>3.44375065185783E-4</v>
      </c>
      <c r="AE47" s="30">
        <f t="shared" si="102"/>
        <v>2.3901110336673215</v>
      </c>
      <c r="AF47" s="30">
        <f t="shared" si="103"/>
        <v>124.79011103366742</v>
      </c>
      <c r="AG47" s="30">
        <f t="shared" si="104"/>
        <v>77.299999999999955</v>
      </c>
      <c r="AH47" s="31">
        <f t="shared" si="105"/>
        <v>2.664262190145527E-4</v>
      </c>
      <c r="AI47" s="30">
        <f t="shared" si="106"/>
        <v>25.06814685330459</v>
      </c>
      <c r="AJ47" s="30">
        <f t="shared" si="107"/>
        <v>102.36814685330455</v>
      </c>
      <c r="AK47" s="30">
        <f t="shared" si="108"/>
        <v>99.5</v>
      </c>
      <c r="AL47" s="31">
        <f t="shared" si="109"/>
        <v>2.4193331121649545E-4</v>
      </c>
      <c r="AM47" s="30">
        <f t="shared" si="110"/>
        <v>10.022242254462618</v>
      </c>
      <c r="AN47" s="30">
        <f t="shared" si="111"/>
        <v>109.52224225446261</v>
      </c>
      <c r="AO47" s="30">
        <f t="shared" si="112"/>
        <v>110.29999999999995</v>
      </c>
      <c r="AP47" s="31">
        <f t="shared" si="113"/>
        <v>3.0455361496581405E-4</v>
      </c>
      <c r="AQ47" s="30">
        <f t="shared" si="114"/>
        <v>26.535025543295401</v>
      </c>
      <c r="AR47" s="30">
        <f t="shared" si="115"/>
        <v>136.83502554329536</v>
      </c>
      <c r="AS47" s="92">
        <f t="shared" si="116"/>
        <v>132.59999999999991</v>
      </c>
      <c r="AT47" s="93">
        <f t="shared" si="69"/>
        <v>2.7993020153644493E-4</v>
      </c>
      <c r="AU47" s="94">
        <f t="shared" si="70"/>
        <v>33.164307932425942</v>
      </c>
      <c r="AV47" s="94">
        <f t="shared" si="71"/>
        <v>165.76430793242585</v>
      </c>
      <c r="AW47" s="103">
        <f t="shared" si="117"/>
        <v>105</v>
      </c>
      <c r="AX47" s="93">
        <f t="shared" si="118"/>
        <v>2.2636171934445215E-4</v>
      </c>
      <c r="AY47" s="103">
        <f t="shared" si="124"/>
        <v>23.391009041857199</v>
      </c>
      <c r="AZ47" s="103">
        <f t="shared" si="119"/>
        <v>128.39100904185719</v>
      </c>
      <c r="BA47" s="103">
        <f t="shared" si="120"/>
        <v>124.30000000000018</v>
      </c>
      <c r="BB47" s="90">
        <f t="shared" si="121"/>
        <v>3.5385382830699152E-4</v>
      </c>
      <c r="BC47" s="103">
        <f t="shared" si="122"/>
        <v>30.587128457394613</v>
      </c>
      <c r="BD47" s="103">
        <f t="shared" si="123"/>
        <v>154.88712845739479</v>
      </c>
      <c r="BE47" s="103">
        <f t="shared" si="80"/>
        <v>101</v>
      </c>
      <c r="BF47" s="93">
        <f t="shared" si="81"/>
        <v>2.6197164372240329E-4</v>
      </c>
      <c r="BG47" s="103">
        <f t="shared" si="82"/>
        <v>20.356792124540998</v>
      </c>
      <c r="BH47" s="103">
        <f t="shared" si="83"/>
        <v>121.356792124541</v>
      </c>
      <c r="BI47" s="103">
        <f t="shared" si="84"/>
        <v>118.59999999999991</v>
      </c>
      <c r="BJ47" s="90">
        <f t="shared" si="85"/>
        <v>2.4623519160554738E-4</v>
      </c>
      <c r="BK47" s="102">
        <f t="shared" si="86"/>
        <v>27.758011892080166</v>
      </c>
      <c r="BL47" s="102">
        <f t="shared" si="87"/>
        <v>146.35801189208007</v>
      </c>
      <c r="BM47" s="94">
        <f t="shared" si="88"/>
        <v>86.199999999999818</v>
      </c>
      <c r="BN47" s="90">
        <f t="shared" si="89"/>
        <v>2.2241583695711549E-4</v>
      </c>
      <c r="BO47" s="94">
        <f t="shared" si="90"/>
        <v>21.831820326810316</v>
      </c>
      <c r="BP47" s="94">
        <f t="shared" si="91"/>
        <v>108.03182032681013</v>
      </c>
      <c r="BQ47" s="94">
        <f t="shared" si="92"/>
        <v>80.200000000000273</v>
      </c>
      <c r="BR47" s="90">
        <f t="shared" si="93"/>
        <v>1.5235068270107638E-4</v>
      </c>
      <c r="BS47" s="94">
        <f t="shared" si="94"/>
        <v>17.328203635189979</v>
      </c>
      <c r="BT47" s="94">
        <f t="shared" si="95"/>
        <v>97.528203635190252</v>
      </c>
    </row>
    <row r="48" spans="1:72" ht="13.5">
      <c r="A48" s="11">
        <v>45</v>
      </c>
      <c r="B48" s="16" t="s">
        <v>39</v>
      </c>
      <c r="C48" s="17" t="s">
        <v>40</v>
      </c>
      <c r="D48" s="18" t="s">
        <v>121</v>
      </c>
      <c r="E48" s="18" t="s">
        <v>124</v>
      </c>
      <c r="F48" s="60" t="s">
        <v>143</v>
      </c>
      <c r="G48" s="55" t="s">
        <v>46</v>
      </c>
      <c r="H48" s="59">
        <v>409.7</v>
      </c>
      <c r="I48" s="59">
        <v>9044.1</v>
      </c>
      <c r="J48" s="59">
        <v>11826</v>
      </c>
      <c r="K48" s="59">
        <v>8634.4</v>
      </c>
      <c r="L48" s="59">
        <v>2781.9</v>
      </c>
      <c r="M48" s="59">
        <v>12673.1</v>
      </c>
      <c r="N48" s="59">
        <v>15350.5</v>
      </c>
      <c r="O48" s="59">
        <v>15842.6</v>
      </c>
      <c r="P48" s="59">
        <v>18110.5</v>
      </c>
      <c r="Q48" s="59">
        <v>20319.5</v>
      </c>
      <c r="R48" s="59">
        <v>24446.7</v>
      </c>
      <c r="S48" s="59">
        <v>28914.2</v>
      </c>
      <c r="T48" s="75">
        <v>30800.799999999999</v>
      </c>
      <c r="U48" s="65">
        <v>32302.3</v>
      </c>
      <c r="V48" s="65">
        <v>36776.400000000001</v>
      </c>
      <c r="W48" s="76">
        <v>40857.599999999999</v>
      </c>
      <c r="X48" s="76">
        <v>43858.400000000001</v>
      </c>
      <c r="Y48" s="30">
        <f t="shared" si="96"/>
        <v>3629</v>
      </c>
      <c r="Z48" s="31">
        <f t="shared" si="97"/>
        <v>8.2155360019208409E-3</v>
      </c>
      <c r="AA48" s="30">
        <f t="shared" si="98"/>
        <v>1125.2485289515716</v>
      </c>
      <c r="AB48" s="30">
        <f t="shared" si="99"/>
        <v>4754.2485289515716</v>
      </c>
      <c r="AC48" s="30">
        <f t="shared" si="100"/>
        <v>2677.3999999999996</v>
      </c>
      <c r="AD48" s="31">
        <f t="shared" si="101"/>
        <v>7.5329231987615571E-3</v>
      </c>
      <c r="AE48" s="30">
        <f t="shared" si="102"/>
        <v>52.281726156379747</v>
      </c>
      <c r="AF48" s="30">
        <f t="shared" si="103"/>
        <v>2729.6817261563792</v>
      </c>
      <c r="AG48" s="30">
        <f t="shared" si="104"/>
        <v>492.10000000000036</v>
      </c>
      <c r="AH48" s="31">
        <f t="shared" si="105"/>
        <v>1.6960975727951042E-3</v>
      </c>
      <c r="AI48" s="30">
        <f t="shared" si="106"/>
        <v>159.58648210234418</v>
      </c>
      <c r="AJ48" s="30">
        <f t="shared" si="107"/>
        <v>651.6864821023446</v>
      </c>
      <c r="AK48" s="30">
        <f t="shared" si="108"/>
        <v>2267.8999999999996</v>
      </c>
      <c r="AL48" s="31">
        <f t="shared" si="109"/>
        <v>5.5143774523406025E-3</v>
      </c>
      <c r="AM48" s="30">
        <f t="shared" si="110"/>
        <v>228.43661516478161</v>
      </c>
      <c r="AN48" s="30">
        <f t="shared" si="111"/>
        <v>2496.3366151647811</v>
      </c>
      <c r="AO48" s="30">
        <f t="shared" si="112"/>
        <v>2209</v>
      </c>
      <c r="AP48" s="31">
        <f t="shared" si="113"/>
        <v>6.0993557158611376E-3</v>
      </c>
      <c r="AQ48" s="30">
        <f t="shared" si="114"/>
        <v>531.42222506926169</v>
      </c>
      <c r="AR48" s="30">
        <f t="shared" si="115"/>
        <v>2740.4222250692619</v>
      </c>
      <c r="AS48" s="92">
        <f t="shared" si="116"/>
        <v>4127.2000000000007</v>
      </c>
      <c r="AT48" s="93">
        <f t="shared" si="69"/>
        <v>8.7128803000091747E-3</v>
      </c>
      <c r="AU48" s="94">
        <f t="shared" si="70"/>
        <v>1032.2453370943324</v>
      </c>
      <c r="AV48" s="94">
        <f t="shared" si="71"/>
        <v>5159.4453370943329</v>
      </c>
      <c r="AW48" s="103">
        <f t="shared" si="117"/>
        <v>4467.5</v>
      </c>
      <c r="AX48" s="93">
        <f t="shared" si="118"/>
        <v>9.6311522016318089E-3</v>
      </c>
      <c r="AY48" s="103">
        <f t="shared" si="124"/>
        <v>995.23174185235268</v>
      </c>
      <c r="AZ48" s="103">
        <f t="shared" si="119"/>
        <v>5462.7317418523526</v>
      </c>
      <c r="BA48" s="103">
        <f t="shared" si="120"/>
        <v>1886.5999999999985</v>
      </c>
      <c r="BB48" s="90">
        <f t="shared" si="121"/>
        <v>5.3707210980206655E-3</v>
      </c>
      <c r="BC48" s="103">
        <f t="shared" si="122"/>
        <v>464.24518542011702</v>
      </c>
      <c r="BD48" s="103">
        <f t="shared" si="123"/>
        <v>2350.8451854201157</v>
      </c>
      <c r="BE48" s="103">
        <f t="shared" si="80"/>
        <v>1501.5</v>
      </c>
      <c r="BF48" s="93">
        <f t="shared" si="81"/>
        <v>3.8945586440513719E-3</v>
      </c>
      <c r="BG48" s="103">
        <f t="shared" si="82"/>
        <v>302.63092450493372</v>
      </c>
      <c r="BH48" s="103">
        <f t="shared" si="83"/>
        <v>1804.1309245049338</v>
      </c>
      <c r="BI48" s="103">
        <f t="shared" si="84"/>
        <v>4474.1000000000022</v>
      </c>
      <c r="BJ48" s="90">
        <f t="shared" si="85"/>
        <v>9.2890461278446954E-3</v>
      </c>
      <c r="BK48" s="102">
        <f t="shared" si="86"/>
        <v>1047.1511046067119</v>
      </c>
      <c r="BL48" s="102">
        <f t="shared" si="87"/>
        <v>5521.2511046067139</v>
      </c>
      <c r="BM48" s="94">
        <f t="shared" si="88"/>
        <v>4081.1999999999971</v>
      </c>
      <c r="BN48" s="90">
        <f t="shared" si="89"/>
        <v>1.0530435194772401E-2</v>
      </c>
      <c r="BO48" s="94">
        <f t="shared" si="90"/>
        <v>1033.6429828048535</v>
      </c>
      <c r="BP48" s="94">
        <f t="shared" si="91"/>
        <v>5114.8429828048502</v>
      </c>
      <c r="BQ48" s="94">
        <f t="shared" si="92"/>
        <v>3000.8000000000029</v>
      </c>
      <c r="BR48" s="90">
        <f t="shared" si="93"/>
        <v>5.7004230504911334E-3</v>
      </c>
      <c r="BS48" s="94">
        <f t="shared" si="94"/>
        <v>648.36001831019917</v>
      </c>
      <c r="BT48" s="94">
        <f t="shared" si="95"/>
        <v>3649.1600183102018</v>
      </c>
    </row>
    <row r="49" spans="1:72" ht="13.5">
      <c r="A49" s="16">
        <v>46</v>
      </c>
      <c r="B49" s="16" t="s">
        <v>39</v>
      </c>
      <c r="C49" s="17" t="s">
        <v>40</v>
      </c>
      <c r="D49" s="18" t="s">
        <v>121</v>
      </c>
      <c r="E49" s="18" t="s">
        <v>124</v>
      </c>
      <c r="F49" s="60" t="s">
        <v>144</v>
      </c>
      <c r="G49" s="55" t="s">
        <v>145</v>
      </c>
      <c r="H49" s="59">
        <v>5515</v>
      </c>
      <c r="I49" s="59">
        <v>104997.3</v>
      </c>
      <c r="J49" s="59">
        <v>113287.7</v>
      </c>
      <c r="K49" s="59">
        <v>99482.3</v>
      </c>
      <c r="L49" s="59">
        <v>8290.4</v>
      </c>
      <c r="M49" s="59">
        <v>115759.8</v>
      </c>
      <c r="N49" s="59">
        <v>129491.8</v>
      </c>
      <c r="O49" s="59">
        <v>139776.9</v>
      </c>
      <c r="P49" s="59">
        <v>154252.1</v>
      </c>
      <c r="Q49" s="59">
        <v>165998.20000000001</v>
      </c>
      <c r="R49" s="59">
        <v>181111.9</v>
      </c>
      <c r="S49" s="59">
        <v>196265.5</v>
      </c>
      <c r="T49" s="75">
        <v>208812.5</v>
      </c>
      <c r="U49" s="65">
        <v>222403.20000000001</v>
      </c>
      <c r="V49" s="65">
        <v>235842.1</v>
      </c>
      <c r="W49" s="76">
        <v>248994</v>
      </c>
      <c r="X49" s="76">
        <v>265353.59999999998</v>
      </c>
      <c r="Y49" s="30">
        <f t="shared" si="96"/>
        <v>10762.5</v>
      </c>
      <c r="Z49" s="31">
        <f t="shared" si="97"/>
        <v>2.4364757845321865E-2</v>
      </c>
      <c r="AA49" s="30">
        <f t="shared" si="98"/>
        <v>3337.1417175093111</v>
      </c>
      <c r="AB49" s="30">
        <f t="shared" si="99"/>
        <v>14099.641717509312</v>
      </c>
      <c r="AC49" s="30">
        <f t="shared" si="100"/>
        <v>13732</v>
      </c>
      <c r="AD49" s="31">
        <f t="shared" si="101"/>
        <v>3.8635281005973597E-2</v>
      </c>
      <c r="AE49" s="30">
        <f t="shared" si="102"/>
        <v>268.14546335228454</v>
      </c>
      <c r="AF49" s="30">
        <f t="shared" si="103"/>
        <v>14000.145463352284</v>
      </c>
      <c r="AG49" s="30">
        <f t="shared" si="104"/>
        <v>10285.099999999991</v>
      </c>
      <c r="AH49" s="31">
        <f t="shared" si="105"/>
        <v>3.5449163068390369E-2</v>
      </c>
      <c r="AI49" s="30">
        <f t="shared" si="106"/>
        <v>3335.4255782784344</v>
      </c>
      <c r="AJ49" s="30">
        <f t="shared" si="107"/>
        <v>13620.525578278426</v>
      </c>
      <c r="AK49" s="30">
        <f t="shared" si="108"/>
        <v>14475.200000000012</v>
      </c>
      <c r="AL49" s="31">
        <f t="shared" si="109"/>
        <v>3.5196312226341883E-2</v>
      </c>
      <c r="AM49" s="30">
        <f t="shared" si="110"/>
        <v>1458.0297596160542</v>
      </c>
      <c r="AN49" s="30">
        <f t="shared" si="111"/>
        <v>15933.229759616066</v>
      </c>
      <c r="AO49" s="30">
        <f t="shared" si="112"/>
        <v>11746.100000000006</v>
      </c>
      <c r="AP49" s="31">
        <f t="shared" si="113"/>
        <v>3.2432613025838185E-2</v>
      </c>
      <c r="AQ49" s="30">
        <f t="shared" si="114"/>
        <v>2825.7757346700128</v>
      </c>
      <c r="AR49" s="30">
        <f t="shared" si="115"/>
        <v>14571.875734670019</v>
      </c>
      <c r="AS49" s="92">
        <f t="shared" si="116"/>
        <v>15113.699999999983</v>
      </c>
      <c r="AT49" s="93">
        <f t="shared" si="69"/>
        <v>3.1906343038924333E-2</v>
      </c>
      <c r="AU49" s="94">
        <f t="shared" si="70"/>
        <v>3780.0558129585656</v>
      </c>
      <c r="AV49" s="94">
        <f t="shared" si="71"/>
        <v>18893.755812958549</v>
      </c>
      <c r="AW49" s="103">
        <f t="shared" si="117"/>
        <v>15153.600000000006</v>
      </c>
      <c r="AX49" s="93">
        <f t="shared" si="118"/>
        <v>3.2668523335791351E-2</v>
      </c>
      <c r="AY49" s="103">
        <f t="shared" si="124"/>
        <v>3375.7904249208323</v>
      </c>
      <c r="AZ49" s="103">
        <f t="shared" si="119"/>
        <v>18529.390424920839</v>
      </c>
      <c r="BA49" s="103">
        <f t="shared" si="120"/>
        <v>12547</v>
      </c>
      <c r="BB49" s="90">
        <f t="shared" si="121"/>
        <v>3.5718455219371004E-2</v>
      </c>
      <c r="BC49" s="103">
        <f t="shared" si="122"/>
        <v>3087.5036263469801</v>
      </c>
      <c r="BD49" s="103">
        <f t="shared" si="123"/>
        <v>15634.503626346981</v>
      </c>
      <c r="BE49" s="103">
        <f t="shared" si="80"/>
        <v>13590.700000000012</v>
      </c>
      <c r="BF49" s="93">
        <f t="shared" si="81"/>
        <v>3.5251267508297719E-2</v>
      </c>
      <c r="BG49" s="103">
        <f t="shared" si="82"/>
        <v>2739.2381656138573</v>
      </c>
      <c r="BH49" s="103">
        <f t="shared" si="83"/>
        <v>16329.938165613868</v>
      </c>
      <c r="BI49" s="103">
        <f t="shared" si="84"/>
        <v>13438.899999999994</v>
      </c>
      <c r="BJ49" s="90">
        <f t="shared" si="85"/>
        <v>2.7901603005630625E-2</v>
      </c>
      <c r="BK49" s="102">
        <f t="shared" si="86"/>
        <v>3145.3384992957531</v>
      </c>
      <c r="BL49" s="102">
        <f t="shared" si="87"/>
        <v>16584.238499295749</v>
      </c>
      <c r="BM49" s="94">
        <f t="shared" si="88"/>
        <v>13151.899999999994</v>
      </c>
      <c r="BN49" s="90">
        <f t="shared" si="89"/>
        <v>3.3934928608773687E-2</v>
      </c>
      <c r="BO49" s="94">
        <f t="shared" si="90"/>
        <v>3330.9735238535623</v>
      </c>
      <c r="BP49" s="94">
        <f t="shared" si="91"/>
        <v>16482.873523853556</v>
      </c>
      <c r="BQ49" s="94">
        <f t="shared" si="92"/>
        <v>16359.599999999977</v>
      </c>
      <c r="BR49" s="90">
        <f t="shared" si="93"/>
        <v>3.107725970968226E-2</v>
      </c>
      <c r="BS49" s="94">
        <f t="shared" si="94"/>
        <v>3534.6942667113799</v>
      </c>
      <c r="BT49" s="94">
        <f t="shared" si="95"/>
        <v>19894.294266711357</v>
      </c>
    </row>
    <row r="50" spans="1:72" ht="13.5">
      <c r="A50" s="11">
        <v>47</v>
      </c>
      <c r="B50" s="16" t="s">
        <v>49</v>
      </c>
      <c r="C50" s="17" t="s">
        <v>50</v>
      </c>
      <c r="D50" s="119" t="s">
        <v>138</v>
      </c>
      <c r="E50" s="20" t="s">
        <v>49</v>
      </c>
      <c r="F50" s="58" t="s">
        <v>61</v>
      </c>
      <c r="G50" s="57" t="s">
        <v>62</v>
      </c>
      <c r="H50" s="59">
        <v>400.5</v>
      </c>
      <c r="I50" s="59">
        <v>9257.7000000000007</v>
      </c>
      <c r="J50" s="59">
        <v>13823.3</v>
      </c>
      <c r="K50" s="59">
        <v>8857.2000000000007</v>
      </c>
      <c r="L50" s="59">
        <v>4565.6000000000004</v>
      </c>
      <c r="M50" s="59">
        <v>15252.3</v>
      </c>
      <c r="N50" s="59">
        <v>16655.8</v>
      </c>
      <c r="O50" s="59">
        <v>17301.8</v>
      </c>
      <c r="P50" s="59">
        <v>20671.5</v>
      </c>
      <c r="Q50" s="59">
        <v>22560</v>
      </c>
      <c r="R50" s="59">
        <v>28972.1</v>
      </c>
      <c r="S50" s="59">
        <v>35373.699999999997</v>
      </c>
      <c r="T50" s="75">
        <v>37493.199999999997</v>
      </c>
      <c r="U50" s="65">
        <v>39840.199999999997</v>
      </c>
      <c r="V50" s="65">
        <v>45582.8</v>
      </c>
      <c r="W50" s="76">
        <v>49350.5</v>
      </c>
      <c r="X50" s="76">
        <v>55946.9</v>
      </c>
      <c r="Y50" s="30">
        <f t="shared" si="96"/>
        <v>5994.5999999999985</v>
      </c>
      <c r="Z50" s="31">
        <f t="shared" si="97"/>
        <v>1.3570915435964359E-2</v>
      </c>
      <c r="AA50" s="30">
        <f t="shared" si="98"/>
        <v>1858.7530536382169</v>
      </c>
      <c r="AB50" s="30">
        <f t="shared" si="99"/>
        <v>7853.353053638215</v>
      </c>
      <c r="AC50" s="30">
        <f t="shared" si="100"/>
        <v>1403.5</v>
      </c>
      <c r="AD50" s="31">
        <f t="shared" si="101"/>
        <v>3.9487778103614877E-3</v>
      </c>
      <c r="AE50" s="30">
        <f t="shared" si="102"/>
        <v>27.406215978366692</v>
      </c>
      <c r="AF50" s="30">
        <f t="shared" si="103"/>
        <v>1430.9062159783666</v>
      </c>
      <c r="AG50" s="30">
        <f t="shared" si="104"/>
        <v>646</v>
      </c>
      <c r="AH50" s="31">
        <f t="shared" si="105"/>
        <v>2.2265373542483978E-3</v>
      </c>
      <c r="AI50" s="30">
        <f t="shared" si="106"/>
        <v>209.49576801079917</v>
      </c>
      <c r="AJ50" s="30">
        <f t="shared" si="107"/>
        <v>855.49576801079911</v>
      </c>
      <c r="AK50" s="30">
        <f t="shared" si="108"/>
        <v>3369.7000000000007</v>
      </c>
      <c r="AL50" s="31">
        <f t="shared" si="109"/>
        <v>8.1933937568464815E-3</v>
      </c>
      <c r="AM50" s="30">
        <f t="shared" si="110"/>
        <v>339.41658014937383</v>
      </c>
      <c r="AN50" s="30">
        <f t="shared" si="111"/>
        <v>3709.1165801493744</v>
      </c>
      <c r="AO50" s="30">
        <f t="shared" si="112"/>
        <v>1888.5</v>
      </c>
      <c r="AP50" s="31">
        <f t="shared" si="113"/>
        <v>5.214410714985857E-3</v>
      </c>
      <c r="AQ50" s="30">
        <f t="shared" si="114"/>
        <v>454.31909101100075</v>
      </c>
      <c r="AR50" s="30">
        <f t="shared" si="115"/>
        <v>2342.8190910110006</v>
      </c>
      <c r="AS50" s="92">
        <f t="shared" si="116"/>
        <v>6412.0999999999985</v>
      </c>
      <c r="AT50" s="93">
        <f t="shared" si="69"/>
        <v>1.3536504112155652E-2</v>
      </c>
      <c r="AU50" s="94">
        <f t="shared" si="70"/>
        <v>1603.7168845664291</v>
      </c>
      <c r="AV50" s="94">
        <f t="shared" si="71"/>
        <v>8015.8168845664277</v>
      </c>
      <c r="AW50" s="103">
        <f t="shared" si="117"/>
        <v>6401.5999999999985</v>
      </c>
      <c r="AX50" s="93">
        <f t="shared" si="118"/>
        <v>1.3800735071956616E-2</v>
      </c>
      <c r="AY50" s="103">
        <f t="shared" si="124"/>
        <v>1426.094128403362</v>
      </c>
      <c r="AZ50" s="103">
        <f t="shared" si="119"/>
        <v>7827.6941284033601</v>
      </c>
      <c r="BA50" s="103">
        <f t="shared" si="120"/>
        <v>2119.5</v>
      </c>
      <c r="BB50" s="90">
        <f t="shared" si="121"/>
        <v>6.0337344255564553E-3</v>
      </c>
      <c r="BC50" s="103">
        <f t="shared" si="122"/>
        <v>521.55606408244398</v>
      </c>
      <c r="BD50" s="103">
        <f t="shared" si="123"/>
        <v>2641.0560640824442</v>
      </c>
      <c r="BE50" s="103">
        <f t="shared" si="80"/>
        <v>2347</v>
      </c>
      <c r="BF50" s="93">
        <f t="shared" si="81"/>
        <v>6.0875984932324805E-3</v>
      </c>
      <c r="BG50" s="103">
        <f t="shared" si="82"/>
        <v>473.04347639898731</v>
      </c>
      <c r="BH50" s="103">
        <f t="shared" si="83"/>
        <v>2820.0434763989874</v>
      </c>
      <c r="BI50" s="103">
        <f t="shared" si="84"/>
        <v>5742.6000000000058</v>
      </c>
      <c r="BJ50" s="90">
        <f t="shared" si="85"/>
        <v>1.1922683063355978E-2</v>
      </c>
      <c r="BK50" s="102">
        <f t="shared" si="86"/>
        <v>1344.0401272467104</v>
      </c>
      <c r="BL50" s="102">
        <f t="shared" si="87"/>
        <v>7086.6401272467165</v>
      </c>
      <c r="BM50" s="94">
        <f t="shared" si="88"/>
        <v>3767.6999999999971</v>
      </c>
      <c r="BN50" s="90">
        <f t="shared" si="89"/>
        <v>9.7215330499225653E-3</v>
      </c>
      <c r="BO50" s="94">
        <f t="shared" si="90"/>
        <v>954.24303300839142</v>
      </c>
      <c r="BP50" s="94">
        <f t="shared" si="91"/>
        <v>4721.9430330083887</v>
      </c>
      <c r="BQ50" s="94">
        <f t="shared" si="92"/>
        <v>6596.4000000000015</v>
      </c>
      <c r="BR50" s="90">
        <f t="shared" si="93"/>
        <v>1.253074867044111E-2</v>
      </c>
      <c r="BS50" s="94">
        <f t="shared" si="94"/>
        <v>1425.2339458748982</v>
      </c>
      <c r="BT50" s="94">
        <f t="shared" si="95"/>
        <v>8021.6339458748998</v>
      </c>
    </row>
    <row r="51" spans="1:72" ht="13.5">
      <c r="A51" s="16">
        <v>48</v>
      </c>
      <c r="B51" s="16" t="s">
        <v>39</v>
      </c>
      <c r="C51" s="17" t="s">
        <v>40</v>
      </c>
      <c r="D51" s="18" t="s">
        <v>121</v>
      </c>
      <c r="E51" s="18" t="s">
        <v>124</v>
      </c>
      <c r="F51" s="60" t="s">
        <v>146</v>
      </c>
      <c r="G51" s="55" t="s">
        <v>147</v>
      </c>
      <c r="H51" s="59">
        <v>192.4</v>
      </c>
      <c r="I51" s="59">
        <v>3088.1</v>
      </c>
      <c r="J51" s="59">
        <v>3861.6</v>
      </c>
      <c r="K51" s="59">
        <v>2895.7</v>
      </c>
      <c r="L51" s="59">
        <v>773.5</v>
      </c>
      <c r="M51" s="59">
        <v>4073.4</v>
      </c>
      <c r="N51" s="59">
        <v>4490.1000000000004</v>
      </c>
      <c r="O51" s="59">
        <v>4692.1000000000004</v>
      </c>
      <c r="P51" s="59">
        <v>5118.3</v>
      </c>
      <c r="Q51" s="59">
        <v>5370</v>
      </c>
      <c r="R51" s="59">
        <v>5706.2</v>
      </c>
      <c r="S51" s="59">
        <v>5949.2</v>
      </c>
      <c r="T51" s="75">
        <v>6163.4</v>
      </c>
      <c r="U51" s="65">
        <v>6395.2</v>
      </c>
      <c r="V51" s="65">
        <v>6788.5</v>
      </c>
      <c r="W51" s="76">
        <v>7081.3</v>
      </c>
      <c r="X51" s="76">
        <v>7463.1</v>
      </c>
      <c r="Y51" s="30">
        <f t="shared" si="96"/>
        <v>985.30000000000018</v>
      </c>
      <c r="Z51" s="31">
        <f t="shared" si="97"/>
        <v>2.2305780167243337E-3</v>
      </c>
      <c r="AA51" s="30">
        <f t="shared" si="98"/>
        <v>305.51319249820443</v>
      </c>
      <c r="AB51" s="30">
        <f t="shared" si="99"/>
        <v>1290.8131924982047</v>
      </c>
      <c r="AC51" s="30">
        <f t="shared" si="100"/>
        <v>416.70000000000027</v>
      </c>
      <c r="AD51" s="31">
        <f t="shared" si="101"/>
        <v>1.1723945233898347E-3</v>
      </c>
      <c r="AE51" s="30">
        <f t="shared" si="102"/>
        <v>8.1369221219703665</v>
      </c>
      <c r="AF51" s="30">
        <f t="shared" si="103"/>
        <v>424.83692212197064</v>
      </c>
      <c r="AG51" s="30">
        <f t="shared" si="104"/>
        <v>202</v>
      </c>
      <c r="AH51" s="31">
        <f t="shared" si="105"/>
        <v>6.9622375473401914E-4</v>
      </c>
      <c r="AI51" s="30">
        <f t="shared" si="106"/>
        <v>65.507964610187969</v>
      </c>
      <c r="AJ51" s="30">
        <f t="shared" si="107"/>
        <v>267.50796461018797</v>
      </c>
      <c r="AK51" s="30">
        <f t="shared" si="108"/>
        <v>426.19999999999982</v>
      </c>
      <c r="AL51" s="31">
        <f t="shared" si="109"/>
        <v>1.0363012787986967E-3</v>
      </c>
      <c r="AM51" s="30">
        <f t="shared" si="110"/>
        <v>42.929443707054936</v>
      </c>
      <c r="AN51" s="30">
        <f t="shared" si="111"/>
        <v>469.12944370705475</v>
      </c>
      <c r="AO51" s="30">
        <f t="shared" si="112"/>
        <v>251.69999999999982</v>
      </c>
      <c r="AP51" s="31">
        <f t="shared" si="113"/>
        <v>6.9497864811328533E-4</v>
      </c>
      <c r="AQ51" s="30">
        <f t="shared" si="114"/>
        <v>60.551821661354943</v>
      </c>
      <c r="AR51" s="30">
        <f t="shared" si="115"/>
        <v>312.25182166135477</v>
      </c>
      <c r="AS51" s="92">
        <f t="shared" si="116"/>
        <v>336.19999999999982</v>
      </c>
      <c r="AT51" s="93">
        <f t="shared" si="69"/>
        <v>7.097476150569593E-4</v>
      </c>
      <c r="AU51" s="94">
        <f t="shared" si="70"/>
        <v>84.086276974974382</v>
      </c>
      <c r="AV51" s="94">
        <f t="shared" si="71"/>
        <v>420.28627697497421</v>
      </c>
      <c r="AW51" s="103">
        <f t="shared" si="117"/>
        <v>243</v>
      </c>
      <c r="AX51" s="93">
        <f t="shared" si="118"/>
        <v>5.2386569334001787E-4</v>
      </c>
      <c r="AY51" s="103">
        <f t="shared" si="124"/>
        <v>54.133478068298089</v>
      </c>
      <c r="AZ51" s="103">
        <f t="shared" si="119"/>
        <v>297.13347806829807</v>
      </c>
      <c r="BA51" s="103">
        <f t="shared" si="120"/>
        <v>214.19999999999982</v>
      </c>
      <c r="BB51" s="90">
        <f t="shared" si="121"/>
        <v>6.0977868079933558E-4</v>
      </c>
      <c r="BC51" s="103">
        <f t="shared" si="122"/>
        <v>52.709275266081349</v>
      </c>
      <c r="BD51" s="103">
        <f t="shared" si="123"/>
        <v>266.90927526608118</v>
      </c>
      <c r="BE51" s="103">
        <f t="shared" si="80"/>
        <v>231.80000000000018</v>
      </c>
      <c r="BF51" s="93">
        <f t="shared" si="81"/>
        <v>6.0123789123616963E-4</v>
      </c>
      <c r="BG51" s="103">
        <f t="shared" si="82"/>
        <v>46.71984568780799</v>
      </c>
      <c r="BH51" s="103">
        <f t="shared" si="83"/>
        <v>278.51984568780819</v>
      </c>
      <c r="BI51" s="103">
        <f t="shared" si="84"/>
        <v>393.30000000000018</v>
      </c>
      <c r="BJ51" s="90">
        <f t="shared" si="85"/>
        <v>8.1656240184200602E-4</v>
      </c>
      <c r="BK51" s="102">
        <f t="shared" si="86"/>
        <v>92.050810094056857</v>
      </c>
      <c r="BL51" s="102">
        <f t="shared" si="87"/>
        <v>485.35081009405701</v>
      </c>
      <c r="BM51" s="94">
        <f t="shared" si="88"/>
        <v>292.80000000000018</v>
      </c>
      <c r="BN51" s="90">
        <f t="shared" si="89"/>
        <v>7.5549138121860319E-4</v>
      </c>
      <c r="BO51" s="94">
        <f t="shared" si="90"/>
        <v>74.157273685499746</v>
      </c>
      <c r="BP51" s="94">
        <f t="shared" si="91"/>
        <v>366.9572736854999</v>
      </c>
      <c r="BQ51" s="94">
        <f t="shared" si="92"/>
        <v>381.80000000000018</v>
      </c>
      <c r="BR51" s="90">
        <f t="shared" si="93"/>
        <v>7.2528043211060838E-4</v>
      </c>
      <c r="BS51" s="94">
        <f t="shared" si="94"/>
        <v>82.492620298198446</v>
      </c>
      <c r="BT51" s="94">
        <f t="shared" si="95"/>
        <v>464.29262029819864</v>
      </c>
    </row>
    <row r="52" spans="1:72" ht="13.5">
      <c r="A52" s="11">
        <v>49</v>
      </c>
      <c r="B52" s="16" t="s">
        <v>49</v>
      </c>
      <c r="C52" s="17" t="s">
        <v>50</v>
      </c>
      <c r="D52" s="18" t="s">
        <v>121</v>
      </c>
      <c r="E52" s="20" t="s">
        <v>49</v>
      </c>
      <c r="F52" s="58" t="s">
        <v>148</v>
      </c>
      <c r="G52" s="57" t="s">
        <v>149</v>
      </c>
      <c r="H52" s="59">
        <v>6501.2</v>
      </c>
      <c r="I52" s="59">
        <v>89607.5</v>
      </c>
      <c r="J52" s="59">
        <v>108980.9</v>
      </c>
      <c r="K52" s="59">
        <v>83106.3</v>
      </c>
      <c r="L52" s="59">
        <v>19373.400000000001</v>
      </c>
      <c r="M52" s="59">
        <v>109235.2</v>
      </c>
      <c r="N52" s="59">
        <v>109687.2</v>
      </c>
      <c r="O52" s="59">
        <v>109871.6</v>
      </c>
      <c r="P52" s="59">
        <v>115891.1</v>
      </c>
      <c r="Q52" s="59">
        <v>131146.9</v>
      </c>
      <c r="R52" s="59">
        <v>145245.79999999999</v>
      </c>
      <c r="S52" s="59">
        <v>145273.9</v>
      </c>
      <c r="T52" s="75">
        <v>152002.79999999999</v>
      </c>
      <c r="U52" s="65">
        <v>160825.9</v>
      </c>
      <c r="V52" s="65">
        <v>175605.1</v>
      </c>
      <c r="W52" s="76">
        <v>191313.5</v>
      </c>
      <c r="X52" s="76">
        <v>199773.6</v>
      </c>
      <c r="Y52" s="30">
        <f t="shared" si="96"/>
        <v>19627.699999999997</v>
      </c>
      <c r="Z52" s="31">
        <f t="shared" si="97"/>
        <v>4.443430035406494E-2</v>
      </c>
      <c r="AA52" s="30">
        <f t="shared" si="98"/>
        <v>6085.9852718938437</v>
      </c>
      <c r="AB52" s="30">
        <f t="shared" si="99"/>
        <v>25713.685271893839</v>
      </c>
      <c r="AC52" s="30">
        <f t="shared" si="100"/>
        <v>452</v>
      </c>
      <c r="AD52" s="31">
        <f t="shared" si="101"/>
        <v>1.2717118420259297E-3</v>
      </c>
      <c r="AE52" s="30">
        <f t="shared" si="102"/>
        <v>8.8262270197518671</v>
      </c>
      <c r="AF52" s="30">
        <f t="shared" si="103"/>
        <v>460.82622701975185</v>
      </c>
      <c r="AG52" s="30">
        <f t="shared" si="104"/>
        <v>184.40000000000873</v>
      </c>
      <c r="AH52" s="31">
        <f t="shared" si="105"/>
        <v>6.3556267511365942E-4</v>
      </c>
      <c r="AI52" s="30">
        <f t="shared" si="106"/>
        <v>59.800339970887293</v>
      </c>
      <c r="AJ52" s="30">
        <f t="shared" si="107"/>
        <v>244.20033997089604</v>
      </c>
      <c r="AK52" s="30">
        <f t="shared" si="108"/>
        <v>6019.5</v>
      </c>
      <c r="AL52" s="31">
        <f t="shared" si="109"/>
        <v>1.4636357455956726E-2</v>
      </c>
      <c r="AM52" s="30">
        <f t="shared" si="110"/>
        <v>606.32047488178625</v>
      </c>
      <c r="AN52" s="30">
        <f t="shared" si="111"/>
        <v>6625.8204748817861</v>
      </c>
      <c r="AO52" s="30">
        <f t="shared" si="112"/>
        <v>15255.799999999988</v>
      </c>
      <c r="AP52" s="31">
        <f t="shared" si="113"/>
        <v>4.212338204166332E-2</v>
      </c>
      <c r="AQ52" s="30">
        <f t="shared" si="114"/>
        <v>3670.1091811732167</v>
      </c>
      <c r="AR52" s="30">
        <f t="shared" si="115"/>
        <v>18925.909181173207</v>
      </c>
      <c r="AS52" s="92">
        <f t="shared" si="116"/>
        <v>14098.899999999994</v>
      </c>
      <c r="AT52" s="93">
        <f t="shared" si="69"/>
        <v>2.976401145129853E-2</v>
      </c>
      <c r="AU52" s="94">
        <f t="shared" si="70"/>
        <v>3526.2463130352962</v>
      </c>
      <c r="AV52" s="94">
        <f t="shared" si="71"/>
        <v>17625.146313035289</v>
      </c>
      <c r="AW52" s="103">
        <f t="shared" si="117"/>
        <v>28.100000000005821</v>
      </c>
      <c r="AX52" s="93">
        <f t="shared" si="118"/>
        <v>6.0578707748384985E-5</v>
      </c>
      <c r="AY52" s="103">
        <f t="shared" si="124"/>
        <v>6.2598795626316521</v>
      </c>
      <c r="AZ52" s="103">
        <f t="shared" si="119"/>
        <v>34.359879562637474</v>
      </c>
      <c r="BA52" s="103">
        <f t="shared" si="120"/>
        <v>6728.8999999999942</v>
      </c>
      <c r="BB52" s="90">
        <f t="shared" si="121"/>
        <v>1.9155647830208445E-2</v>
      </c>
      <c r="BC52" s="103">
        <f t="shared" si="122"/>
        <v>1655.8143899996953</v>
      </c>
      <c r="BD52" s="103">
        <f t="shared" si="123"/>
        <v>8384.71438999969</v>
      </c>
      <c r="BE52" s="103">
        <f t="shared" si="80"/>
        <v>8823.1000000000058</v>
      </c>
      <c r="BF52" s="93">
        <f t="shared" si="81"/>
        <v>2.2885168413139981E-2</v>
      </c>
      <c r="BG52" s="103">
        <f t="shared" si="82"/>
        <v>1778.3169563766119</v>
      </c>
      <c r="BH52" s="103">
        <f t="shared" si="83"/>
        <v>10601.416956376617</v>
      </c>
      <c r="BI52" s="103">
        <f t="shared" si="84"/>
        <v>14779.200000000012</v>
      </c>
      <c r="BJ52" s="90">
        <f t="shared" si="85"/>
        <v>3.0684309812619829E-2</v>
      </c>
      <c r="BK52" s="102">
        <f t="shared" si="86"/>
        <v>3459.0321193544</v>
      </c>
      <c r="BL52" s="102">
        <f t="shared" si="87"/>
        <v>18238.232119354412</v>
      </c>
      <c r="BM52" s="94">
        <f t="shared" si="88"/>
        <v>15708.399999999994</v>
      </c>
      <c r="BN52" s="90">
        <f t="shared" si="89"/>
        <v>4.0531286928737344E-2</v>
      </c>
      <c r="BO52" s="94">
        <f t="shared" si="90"/>
        <v>3978.4566870263084</v>
      </c>
      <c r="BP52" s="94">
        <f t="shared" si="91"/>
        <v>19686.856687026302</v>
      </c>
      <c r="BQ52" s="94">
        <f t="shared" si="92"/>
        <v>8460.1000000000058</v>
      </c>
      <c r="BR52" s="90">
        <f t="shared" si="93"/>
        <v>1.6071097390515869E-2</v>
      </c>
      <c r="BS52" s="94">
        <f t="shared" si="94"/>
        <v>1827.9094211230718</v>
      </c>
      <c r="BT52" s="94">
        <f t="shared" si="95"/>
        <v>10288.009421123077</v>
      </c>
    </row>
    <row r="53" spans="1:72" ht="13.5">
      <c r="A53" s="16">
        <v>50</v>
      </c>
      <c r="B53" s="16" t="s">
        <v>49</v>
      </c>
      <c r="C53" s="17" t="s">
        <v>50</v>
      </c>
      <c r="D53" s="18" t="s">
        <v>121</v>
      </c>
      <c r="E53" s="20" t="s">
        <v>49</v>
      </c>
      <c r="F53" s="58" t="s">
        <v>150</v>
      </c>
      <c r="G53" s="57" t="s">
        <v>151</v>
      </c>
      <c r="H53" s="59">
        <v>45.8</v>
      </c>
      <c r="I53" s="59">
        <v>64488.1</v>
      </c>
      <c r="J53" s="59">
        <v>69049.2</v>
      </c>
      <c r="K53" s="59">
        <v>64442.3</v>
      </c>
      <c r="L53" s="59">
        <v>4561.1000000000004</v>
      </c>
      <c r="M53" s="59">
        <v>75320.5</v>
      </c>
      <c r="N53" s="59">
        <v>82578.2</v>
      </c>
      <c r="O53" s="59">
        <v>86703.4</v>
      </c>
      <c r="P53" s="59">
        <v>99401.5</v>
      </c>
      <c r="Q53" s="59">
        <v>99724.3</v>
      </c>
      <c r="R53" s="59">
        <v>112360.6</v>
      </c>
      <c r="S53" s="59">
        <v>133521.29999999999</v>
      </c>
      <c r="T53" s="75">
        <v>136745.20000000001</v>
      </c>
      <c r="U53" s="65">
        <v>140103.9</v>
      </c>
      <c r="V53" s="65">
        <v>152584.1</v>
      </c>
      <c r="W53" s="76">
        <v>156474.6</v>
      </c>
      <c r="X53" s="76">
        <v>182539.1</v>
      </c>
      <c r="Y53" s="30">
        <f t="shared" si="96"/>
        <v>10832.400000000001</v>
      </c>
      <c r="Z53" s="31">
        <f t="shared" si="97"/>
        <v>2.4523001429376506E-2</v>
      </c>
      <c r="AA53" s="30">
        <f t="shared" si="98"/>
        <v>3358.8156971658877</v>
      </c>
      <c r="AB53" s="30">
        <f t="shared" si="99"/>
        <v>14191.21569716589</v>
      </c>
      <c r="AC53" s="30">
        <f t="shared" si="100"/>
        <v>7257.6999999999971</v>
      </c>
      <c r="AD53" s="31">
        <f t="shared" si="101"/>
        <v>2.0419696982016785E-2</v>
      </c>
      <c r="AE53" s="30">
        <f t="shared" si="102"/>
        <v>141.72147752489624</v>
      </c>
      <c r="AF53" s="30">
        <f t="shared" si="103"/>
        <v>7399.4214775248929</v>
      </c>
      <c r="AG53" s="30">
        <f t="shared" si="104"/>
        <v>4125.1999999999971</v>
      </c>
      <c r="AH53" s="31">
        <f t="shared" si="105"/>
        <v>1.4218129866479077E-2</v>
      </c>
      <c r="AI53" s="30">
        <f t="shared" si="106"/>
        <v>1337.7893842076596</v>
      </c>
      <c r="AJ53" s="30">
        <f t="shared" si="107"/>
        <v>5462.9893842076563</v>
      </c>
      <c r="AK53" s="30">
        <f t="shared" si="108"/>
        <v>12698.100000000006</v>
      </c>
      <c r="AL53" s="31">
        <f t="shared" si="109"/>
        <v>3.0875310343298313E-2</v>
      </c>
      <c r="AM53" s="30">
        <f t="shared" si="110"/>
        <v>1279.0294911697672</v>
      </c>
      <c r="AN53" s="30">
        <f t="shared" si="111"/>
        <v>13977.129491169773</v>
      </c>
      <c r="AO53" s="30">
        <f t="shared" si="112"/>
        <v>322.80000000000291</v>
      </c>
      <c r="AP53" s="31">
        <f t="shared" si="113"/>
        <v>8.9129562022634366E-4</v>
      </c>
      <c r="AQ53" s="30">
        <f t="shared" si="114"/>
        <v>77.656448280832606</v>
      </c>
      <c r="AR53" s="30">
        <f t="shared" si="115"/>
        <v>400.4564482808355</v>
      </c>
      <c r="AS53" s="92">
        <f t="shared" si="116"/>
        <v>12636.300000000003</v>
      </c>
      <c r="AT53" s="93">
        <f t="shared" si="69"/>
        <v>2.6676334884426715E-2</v>
      </c>
      <c r="AU53" s="94">
        <f t="shared" si="70"/>
        <v>3160.4384941667745</v>
      </c>
      <c r="AV53" s="94">
        <f t="shared" si="71"/>
        <v>15796.738494166777</v>
      </c>
      <c r="AW53" s="103">
        <f t="shared" si="117"/>
        <v>21160.699999999983</v>
      </c>
      <c r="AX53" s="93">
        <f t="shared" si="118"/>
        <v>4.5618785090782335E-2</v>
      </c>
      <c r="AY53" s="103">
        <f t="shared" si="124"/>
        <v>4714.0011907812122</v>
      </c>
      <c r="AZ53" s="103">
        <f t="shared" si="119"/>
        <v>25874.701190781194</v>
      </c>
      <c r="BA53" s="103">
        <f t="shared" si="120"/>
        <v>3223.9000000000233</v>
      </c>
      <c r="BB53" s="90">
        <f t="shared" si="121"/>
        <v>9.1777100328150965E-3</v>
      </c>
      <c r="BC53" s="103">
        <f t="shared" si="122"/>
        <v>793.3213470136368</v>
      </c>
      <c r="BD53" s="103">
        <f t="shared" si="123"/>
        <v>4017.2213470136603</v>
      </c>
      <c r="BE53" s="103">
        <f t="shared" si="80"/>
        <v>3358.6999999999825</v>
      </c>
      <c r="BF53" s="93">
        <f t="shared" si="81"/>
        <v>8.7117243541626876E-3</v>
      </c>
      <c r="BG53" s="103">
        <f t="shared" si="82"/>
        <v>676.95403671975737</v>
      </c>
      <c r="BH53" s="103">
        <f t="shared" si="83"/>
        <v>4035.6540367197399</v>
      </c>
      <c r="BI53" s="103">
        <f t="shared" si="84"/>
        <v>12480.200000000012</v>
      </c>
      <c r="BJ53" s="90">
        <f t="shared" si="85"/>
        <v>2.5911167270451584E-2</v>
      </c>
      <c r="BK53" s="102">
        <f t="shared" si="86"/>
        <v>2920.957335712812</v>
      </c>
      <c r="BL53" s="102">
        <f t="shared" si="87"/>
        <v>15401.157335712824</v>
      </c>
      <c r="BM53" s="94">
        <f t="shared" si="88"/>
        <v>3890.5</v>
      </c>
      <c r="BN53" s="90">
        <f t="shared" si="89"/>
        <v>1.0038385309532015E-2</v>
      </c>
      <c r="BO53" s="94">
        <f t="shared" si="90"/>
        <v>985.3445125458901</v>
      </c>
      <c r="BP53" s="94">
        <f t="shared" si="91"/>
        <v>4875.8445125458902</v>
      </c>
      <c r="BQ53" s="94">
        <f t="shared" si="92"/>
        <v>26064.5</v>
      </c>
      <c r="BR53" s="90">
        <f t="shared" si="93"/>
        <v>4.9513022060625834E-2</v>
      </c>
      <c r="BS53" s="94">
        <f t="shared" si="94"/>
        <v>5631.5581502419918</v>
      </c>
      <c r="BT53" s="94">
        <f t="shared" si="95"/>
        <v>31696.058150241992</v>
      </c>
    </row>
    <row r="54" spans="1:72" ht="13.5">
      <c r="A54" s="11">
        <v>51</v>
      </c>
      <c r="B54" s="16" t="s">
        <v>39</v>
      </c>
      <c r="C54" s="17" t="s">
        <v>40</v>
      </c>
      <c r="D54" s="18" t="s">
        <v>121</v>
      </c>
      <c r="E54" s="18" t="s">
        <v>124</v>
      </c>
      <c r="F54" s="60" t="s">
        <v>152</v>
      </c>
      <c r="G54" s="55" t="s">
        <v>153</v>
      </c>
      <c r="H54" s="59">
        <v>78.2</v>
      </c>
      <c r="I54" s="59">
        <v>46669.4</v>
      </c>
      <c r="J54" s="59">
        <v>73262.899999999994</v>
      </c>
      <c r="K54" s="59">
        <v>46591.199999999997</v>
      </c>
      <c r="L54" s="59">
        <v>26593.5</v>
      </c>
      <c r="M54" s="59">
        <v>82055.100000000006</v>
      </c>
      <c r="N54" s="59">
        <v>92324.3</v>
      </c>
      <c r="O54" s="59">
        <v>93523.8</v>
      </c>
      <c r="P54" s="59">
        <v>114886.3</v>
      </c>
      <c r="Q54" s="59">
        <v>123950.6</v>
      </c>
      <c r="R54" s="59">
        <v>153473.20000000001</v>
      </c>
      <c r="S54" s="59">
        <v>186088.7</v>
      </c>
      <c r="T54" s="75">
        <v>192070.7</v>
      </c>
      <c r="U54" s="65">
        <v>195074.5</v>
      </c>
      <c r="V54" s="65">
        <v>230833.7</v>
      </c>
      <c r="W54" s="76">
        <v>244041.3</v>
      </c>
      <c r="X54" s="76">
        <v>273236.3</v>
      </c>
      <c r="Y54" s="30">
        <f t="shared" si="96"/>
        <v>35385.700000000004</v>
      </c>
      <c r="Z54" s="31">
        <f t="shared" si="97"/>
        <v>8.0108154396023798E-2</v>
      </c>
      <c r="AA54" s="30">
        <f t="shared" si="98"/>
        <v>10972.087867435006</v>
      </c>
      <c r="AB54" s="30">
        <f t="shared" si="99"/>
        <v>46357.787867435007</v>
      </c>
      <c r="AC54" s="30">
        <f t="shared" si="100"/>
        <v>10269.199999999997</v>
      </c>
      <c r="AD54" s="31">
        <f t="shared" si="101"/>
        <v>2.889261780560326E-2</v>
      </c>
      <c r="AE54" s="30">
        <f t="shared" si="102"/>
        <v>200.52719139653948</v>
      </c>
      <c r="AF54" s="30">
        <f t="shared" si="103"/>
        <v>10469.727191396536</v>
      </c>
      <c r="AG54" s="30">
        <f t="shared" si="104"/>
        <v>1199.5</v>
      </c>
      <c r="AH54" s="31">
        <f t="shared" si="105"/>
        <v>4.1342593752646331E-3</v>
      </c>
      <c r="AI54" s="30">
        <f t="shared" si="106"/>
        <v>388.99407697980428</v>
      </c>
      <c r="AJ54" s="30">
        <f t="shared" si="107"/>
        <v>1588.4940769798043</v>
      </c>
      <c r="AK54" s="30">
        <f t="shared" si="108"/>
        <v>21362.5</v>
      </c>
      <c r="AL54" s="31">
        <f t="shared" si="109"/>
        <v>5.1942717194596824E-2</v>
      </c>
      <c r="AM54" s="30">
        <f t="shared" si="110"/>
        <v>2151.7603031252029</v>
      </c>
      <c r="AN54" s="30">
        <f t="shared" si="111"/>
        <v>23514.260303125204</v>
      </c>
      <c r="AO54" s="30">
        <f t="shared" si="112"/>
        <v>9064.3000000000029</v>
      </c>
      <c r="AP54" s="31">
        <f t="shared" si="113"/>
        <v>2.5027790862507979E-2</v>
      </c>
      <c r="AQ54" s="30">
        <f t="shared" si="114"/>
        <v>2180.6113511522453</v>
      </c>
      <c r="AR54" s="30">
        <f t="shared" si="115"/>
        <v>11244.911351152248</v>
      </c>
      <c r="AS54" s="92">
        <f t="shared" si="116"/>
        <v>29522.600000000006</v>
      </c>
      <c r="AT54" s="93">
        <f t="shared" si="69"/>
        <v>6.2324791612970262E-2</v>
      </c>
      <c r="AU54" s="94">
        <f t="shared" si="70"/>
        <v>7383.8355759113047</v>
      </c>
      <c r="AV54" s="94">
        <f t="shared" si="71"/>
        <v>36906.43557591131</v>
      </c>
      <c r="AW54" s="103">
        <f t="shared" si="117"/>
        <v>32615.5</v>
      </c>
      <c r="AX54" s="93">
        <f t="shared" si="118"/>
        <v>7.0313339593133142E-2</v>
      </c>
      <c r="AY54" s="103">
        <f t="shared" si="124"/>
        <v>7265.8043371875574</v>
      </c>
      <c r="AZ54" s="103">
        <f t="shared" si="119"/>
        <v>39881.304337187554</v>
      </c>
      <c r="BA54" s="103">
        <f t="shared" si="120"/>
        <v>5982</v>
      </c>
      <c r="BB54" s="90">
        <f t="shared" si="121"/>
        <v>1.702939341055849E-2</v>
      </c>
      <c r="BC54" s="103">
        <f t="shared" si="122"/>
        <v>1472.0209367026091</v>
      </c>
      <c r="BD54" s="103">
        <f t="shared" si="123"/>
        <v>7454.0209367026091</v>
      </c>
      <c r="BE54" s="103">
        <f t="shared" si="80"/>
        <v>3003.7999999999884</v>
      </c>
      <c r="BF54" s="93">
        <f t="shared" si="81"/>
        <v>7.7911923110232876E-3</v>
      </c>
      <c r="BG54" s="103">
        <f t="shared" si="82"/>
        <v>605.42309092768335</v>
      </c>
      <c r="BH54" s="103">
        <f t="shared" si="83"/>
        <v>3609.2230909276718</v>
      </c>
      <c r="BI54" s="103">
        <f t="shared" si="84"/>
        <v>35759.200000000012</v>
      </c>
      <c r="BJ54" s="90">
        <f t="shared" si="85"/>
        <v>7.4242609305742835E-2</v>
      </c>
      <c r="BK54" s="102">
        <f t="shared" si="86"/>
        <v>8369.3448469753312</v>
      </c>
      <c r="BL54" s="102">
        <f t="shared" si="87"/>
        <v>44128.544846975346</v>
      </c>
      <c r="BM54" s="94">
        <f t="shared" si="88"/>
        <v>13207.599999999977</v>
      </c>
      <c r="BN54" s="90">
        <f t="shared" si="89"/>
        <v>3.407864742685382E-2</v>
      </c>
      <c r="BO54" s="94">
        <f t="shared" si="90"/>
        <v>3345.0806281714617</v>
      </c>
      <c r="BP54" s="94">
        <f t="shared" si="91"/>
        <v>16552.680628171438</v>
      </c>
      <c r="BQ54" s="94">
        <f t="shared" si="92"/>
        <v>29195</v>
      </c>
      <c r="BR54" s="90">
        <f t="shared" si="93"/>
        <v>5.5459827698976435E-2</v>
      </c>
      <c r="BS54" s="94">
        <f t="shared" si="94"/>
        <v>6307.9414604659578</v>
      </c>
      <c r="BT54" s="94">
        <f t="shared" si="95"/>
        <v>35502.941460465954</v>
      </c>
    </row>
    <row r="55" spans="1:72" ht="13.5">
      <c r="A55" s="16">
        <v>52</v>
      </c>
      <c r="B55" s="16" t="s">
        <v>39</v>
      </c>
      <c r="C55" s="17" t="s">
        <v>40</v>
      </c>
      <c r="D55" s="18" t="s">
        <v>121</v>
      </c>
      <c r="E55" s="18" t="s">
        <v>124</v>
      </c>
      <c r="F55" s="60" t="s">
        <v>154</v>
      </c>
      <c r="G55" s="55" t="s">
        <v>155</v>
      </c>
      <c r="H55" s="59">
        <v>2608.6</v>
      </c>
      <c r="I55" s="59">
        <v>17697.8</v>
      </c>
      <c r="J55" s="59">
        <v>18820.099999999999</v>
      </c>
      <c r="K55" s="59">
        <v>15089.2</v>
      </c>
      <c r="L55" s="59">
        <v>1122.3</v>
      </c>
      <c r="M55" s="59">
        <v>19148.400000000001</v>
      </c>
      <c r="N55" s="59">
        <v>20358.099999999999</v>
      </c>
      <c r="O55" s="59">
        <v>21329.599999999999</v>
      </c>
      <c r="P55" s="59">
        <v>23227.4</v>
      </c>
      <c r="Q55" s="59">
        <v>25757.599999999999</v>
      </c>
      <c r="R55" s="59">
        <v>27865.3</v>
      </c>
      <c r="S55" s="59">
        <v>29130.1</v>
      </c>
      <c r="T55" s="75">
        <v>30252.9</v>
      </c>
      <c r="U55" s="65">
        <v>31466.400000000001</v>
      </c>
      <c r="V55" s="65">
        <v>32821.199999999997</v>
      </c>
      <c r="W55" s="76">
        <v>34290.800000000003</v>
      </c>
      <c r="X55" s="76">
        <v>36120.199999999997</v>
      </c>
      <c r="Y55" s="30">
        <f t="shared" si="96"/>
        <v>1450.6000000000022</v>
      </c>
      <c r="Z55" s="31">
        <f t="shared" si="97"/>
        <v>3.2839505440579748E-3</v>
      </c>
      <c r="AA55" s="30">
        <f t="shared" si="98"/>
        <v>449.78934034090724</v>
      </c>
      <c r="AB55" s="30">
        <f t="shared" si="99"/>
        <v>1900.3893403409095</v>
      </c>
      <c r="AC55" s="30">
        <f t="shared" si="100"/>
        <v>1209.6999999999971</v>
      </c>
      <c r="AD55" s="31">
        <f t="shared" si="101"/>
        <v>3.4035172904839897E-3</v>
      </c>
      <c r="AE55" s="30">
        <f t="shared" si="102"/>
        <v>23.621873508393378</v>
      </c>
      <c r="AF55" s="30">
        <f t="shared" si="103"/>
        <v>1233.3218735083906</v>
      </c>
      <c r="AG55" s="30">
        <f t="shared" si="104"/>
        <v>971.5</v>
      </c>
      <c r="AH55" s="31">
        <f t="shared" si="105"/>
        <v>3.3484226620004933E-3</v>
      </c>
      <c r="AI55" s="30">
        <f t="shared" si="106"/>
        <v>315.05439415246349</v>
      </c>
      <c r="AJ55" s="30">
        <f t="shared" si="107"/>
        <v>1286.5543941524634</v>
      </c>
      <c r="AK55" s="30">
        <f t="shared" si="108"/>
        <v>1897.8000000000029</v>
      </c>
      <c r="AL55" s="31">
        <f t="shared" si="109"/>
        <v>4.614482794237847E-3</v>
      </c>
      <c r="AM55" s="30">
        <f t="shared" si="110"/>
        <v>191.15790302029333</v>
      </c>
      <c r="AN55" s="30">
        <f t="shared" si="111"/>
        <v>2088.9579030202963</v>
      </c>
      <c r="AO55" s="30">
        <f t="shared" si="112"/>
        <v>2530.1999999999971</v>
      </c>
      <c r="AP55" s="31">
        <f t="shared" si="113"/>
        <v>6.9862335139302097E-3</v>
      </c>
      <c r="AQ55" s="30">
        <f t="shared" si="114"/>
        <v>608.69375910830433</v>
      </c>
      <c r="AR55" s="30">
        <f t="shared" si="115"/>
        <v>3138.8937591083013</v>
      </c>
      <c r="AS55" s="92">
        <f t="shared" si="116"/>
        <v>2107.7000000000007</v>
      </c>
      <c r="AT55" s="93">
        <f t="shared" si="69"/>
        <v>4.4495391084341303E-3</v>
      </c>
      <c r="AU55" s="94">
        <f t="shared" si="70"/>
        <v>527.15242706767901</v>
      </c>
      <c r="AV55" s="94">
        <f t="shared" si="71"/>
        <v>2634.8524270676799</v>
      </c>
      <c r="AW55" s="103">
        <f t="shared" si="117"/>
        <v>1264.7999999999993</v>
      </c>
      <c r="AX55" s="93">
        <f t="shared" si="118"/>
        <v>2.7266885964463135E-3</v>
      </c>
      <c r="AY55" s="103">
        <f t="shared" si="124"/>
        <v>281.76141177277111</v>
      </c>
      <c r="AZ55" s="103">
        <f t="shared" si="119"/>
        <v>1546.5614117727705</v>
      </c>
      <c r="BA55" s="103">
        <f t="shared" si="120"/>
        <v>1122.8000000000029</v>
      </c>
      <c r="BB55" s="90">
        <f t="shared" si="121"/>
        <v>3.1963562222292077E-3</v>
      </c>
      <c r="BC55" s="103">
        <f t="shared" si="122"/>
        <v>276.2930638130548</v>
      </c>
      <c r="BD55" s="103">
        <f t="shared" si="123"/>
        <v>1399.0930638130576</v>
      </c>
      <c r="BE55" s="103">
        <f t="shared" si="80"/>
        <v>1213.5</v>
      </c>
      <c r="BF55" s="93">
        <f t="shared" si="81"/>
        <v>3.1475503926449151E-3</v>
      </c>
      <c r="BG55" s="103">
        <f t="shared" si="82"/>
        <v>244.58383409040101</v>
      </c>
      <c r="BH55" s="103">
        <f t="shared" si="83"/>
        <v>1458.0838340904011</v>
      </c>
      <c r="BI55" s="103">
        <f t="shared" si="84"/>
        <v>1354.7999999999956</v>
      </c>
      <c r="BJ55" s="90">
        <f t="shared" si="85"/>
        <v>2.8128114467723003E-3</v>
      </c>
      <c r="BK55" s="102">
        <f t="shared" si="86"/>
        <v>317.08730616686444</v>
      </c>
      <c r="BL55" s="102">
        <f t="shared" si="87"/>
        <v>1671.8873061668601</v>
      </c>
      <c r="BM55" s="94">
        <f t="shared" si="88"/>
        <v>1469.6000000000058</v>
      </c>
      <c r="BN55" s="90">
        <f t="shared" si="89"/>
        <v>3.7919061948048596E-3</v>
      </c>
      <c r="BO55" s="94">
        <f t="shared" si="90"/>
        <v>372.20467694061063</v>
      </c>
      <c r="BP55" s="94">
        <f t="shared" si="91"/>
        <v>1841.8046769406164</v>
      </c>
      <c r="BQ55" s="94">
        <f t="shared" si="92"/>
        <v>1829.3999999999942</v>
      </c>
      <c r="BR55" s="90">
        <f t="shared" si="93"/>
        <v>3.4751912585205399E-3</v>
      </c>
      <c r="BS55" s="94">
        <f t="shared" si="94"/>
        <v>395.26453528948059</v>
      </c>
      <c r="BT55" s="94">
        <f t="shared" si="95"/>
        <v>2224.6645352894748</v>
      </c>
    </row>
    <row r="56" spans="1:72" ht="13.5">
      <c r="A56" s="11">
        <v>53</v>
      </c>
      <c r="B56" s="16" t="s">
        <v>39</v>
      </c>
      <c r="C56" s="17" t="s">
        <v>40</v>
      </c>
      <c r="D56" s="18" t="s">
        <v>121</v>
      </c>
      <c r="E56" s="18" t="s">
        <v>124</v>
      </c>
      <c r="F56" s="60" t="s">
        <v>156</v>
      </c>
      <c r="G56" s="55" t="s">
        <v>157</v>
      </c>
      <c r="H56" s="59">
        <v>55.1</v>
      </c>
      <c r="I56" s="59">
        <v>73778.600000000006</v>
      </c>
      <c r="J56" s="59">
        <v>114503</v>
      </c>
      <c r="K56" s="59">
        <v>73723.5</v>
      </c>
      <c r="L56" s="59">
        <v>40724.400000000001</v>
      </c>
      <c r="M56" s="59">
        <v>128051.5</v>
      </c>
      <c r="N56" s="59">
        <v>132099.79999999999</v>
      </c>
      <c r="O56" s="59">
        <v>141253.9</v>
      </c>
      <c r="P56" s="59">
        <v>160478.29999999999</v>
      </c>
      <c r="Q56" s="59">
        <v>174429.2</v>
      </c>
      <c r="R56" s="59">
        <v>218442.9</v>
      </c>
      <c r="S56" s="59">
        <v>271797.3</v>
      </c>
      <c r="T56" s="75">
        <v>296874.8</v>
      </c>
      <c r="U56" s="65">
        <v>325663.5</v>
      </c>
      <c r="V56" s="65">
        <v>363463.9</v>
      </c>
      <c r="W56" s="76">
        <v>395517.3</v>
      </c>
      <c r="X56" s="76">
        <v>453507.2</v>
      </c>
      <c r="Y56" s="30">
        <f t="shared" si="96"/>
        <v>54272.899999999994</v>
      </c>
      <c r="Z56" s="31">
        <f t="shared" si="97"/>
        <v>0.12286606885606216</v>
      </c>
      <c r="AA56" s="30">
        <f t="shared" si="98"/>
        <v>16828.465386314616</v>
      </c>
      <c r="AB56" s="30">
        <f t="shared" si="99"/>
        <v>71101.365386314603</v>
      </c>
      <c r="AC56" s="30">
        <f t="shared" si="100"/>
        <v>4048.2999999999884</v>
      </c>
      <c r="AD56" s="31">
        <f t="shared" si="101"/>
        <v>1.1389980199277779E-2</v>
      </c>
      <c r="AE56" s="30">
        <f t="shared" si="102"/>
        <v>79.051360274472074</v>
      </c>
      <c r="AF56" s="30">
        <f t="shared" si="103"/>
        <v>4127.3513602744606</v>
      </c>
      <c r="AG56" s="30">
        <f t="shared" si="104"/>
        <v>9154.1000000000058</v>
      </c>
      <c r="AH56" s="31">
        <f t="shared" si="105"/>
        <v>3.1550999372330142E-2</v>
      </c>
      <c r="AI56" s="30">
        <f t="shared" si="106"/>
        <v>2968.6458358322875</v>
      </c>
      <c r="AJ56" s="30">
        <f t="shared" si="107"/>
        <v>12122.745835832293</v>
      </c>
      <c r="AK56" s="30">
        <f t="shared" si="108"/>
        <v>19224.399999999994</v>
      </c>
      <c r="AL56" s="31">
        <f t="shared" si="109"/>
        <v>4.6743947217591897E-2</v>
      </c>
      <c r="AM56" s="30">
        <f t="shared" si="110"/>
        <v>1936.397929614986</v>
      </c>
      <c r="AN56" s="30">
        <f t="shared" si="111"/>
        <v>21160.797929614979</v>
      </c>
      <c r="AO56" s="30">
        <f t="shared" si="112"/>
        <v>13950.900000000023</v>
      </c>
      <c r="AP56" s="31">
        <f t="shared" si="113"/>
        <v>3.8520371958536574E-2</v>
      </c>
      <c r="AQ56" s="30">
        <f t="shared" si="114"/>
        <v>3356.1875598545835</v>
      </c>
      <c r="AR56" s="30">
        <f t="shared" si="115"/>
        <v>17307.087559854608</v>
      </c>
      <c r="AS56" s="92">
        <f t="shared" si="116"/>
        <v>44013.699999999983</v>
      </c>
      <c r="AT56" s="93">
        <f t="shared" si="69"/>
        <v>9.2916771578918783E-2</v>
      </c>
      <c r="AU56" s="94">
        <f t="shared" si="70"/>
        <v>11008.174208487302</v>
      </c>
      <c r="AV56" s="94">
        <f t="shared" si="71"/>
        <v>55021.874208487287</v>
      </c>
      <c r="AW56" s="103">
        <f t="shared" si="117"/>
        <v>53354.399999999994</v>
      </c>
      <c r="AX56" s="93">
        <f t="shared" si="118"/>
        <v>0.11502279731992035</v>
      </c>
      <c r="AY56" s="103">
        <f t="shared" si="124"/>
        <v>11885.840503074911</v>
      </c>
      <c r="AZ56" s="103">
        <f t="shared" si="119"/>
        <v>65240.240503074907</v>
      </c>
      <c r="BA56" s="103">
        <f t="shared" si="120"/>
        <v>25077.5</v>
      </c>
      <c r="BB56" s="90">
        <f t="shared" si="121"/>
        <v>7.1389938691621621E-2</v>
      </c>
      <c r="BC56" s="103">
        <f t="shared" si="122"/>
        <v>6170.9470144031566</v>
      </c>
      <c r="BD56" s="103">
        <f t="shared" si="123"/>
        <v>31248.447014403158</v>
      </c>
      <c r="BE56" s="103">
        <f t="shared" si="80"/>
        <v>28788.700000000012</v>
      </c>
      <c r="BF56" s="93">
        <f t="shared" si="81"/>
        <v>7.4671515441892627E-2</v>
      </c>
      <c r="BG56" s="103">
        <f t="shared" si="82"/>
        <v>5802.4314993640955</v>
      </c>
      <c r="BH56" s="103">
        <f t="shared" si="83"/>
        <v>34591.131499364106</v>
      </c>
      <c r="BI56" s="103">
        <f t="shared" si="84"/>
        <v>37800.400000000023</v>
      </c>
      <c r="BJ56" s="90">
        <f t="shared" si="85"/>
        <v>7.8480512114387405E-2</v>
      </c>
      <c r="BK56" s="102">
        <f t="shared" si="86"/>
        <v>8847.0822320859061</v>
      </c>
      <c r="BL56" s="102">
        <f t="shared" si="87"/>
        <v>46647.482232085931</v>
      </c>
      <c r="BM56" s="94">
        <f t="shared" si="88"/>
        <v>32053.399999999965</v>
      </c>
      <c r="BN56" s="90">
        <f t="shared" si="89"/>
        <v>8.2705148356394587E-2</v>
      </c>
      <c r="BO56" s="94">
        <f t="shared" si="90"/>
        <v>8118.1446596680116</v>
      </c>
      <c r="BP56" s="94">
        <f t="shared" si="91"/>
        <v>40171.544659667976</v>
      </c>
      <c r="BQ56" s="94">
        <f t="shared" si="92"/>
        <v>57989.900000000023</v>
      </c>
      <c r="BR56" s="90">
        <f t="shared" si="93"/>
        <v>0.11015961165545041</v>
      </c>
      <c r="BS56" s="94">
        <f t="shared" si="94"/>
        <v>12529.436358906489</v>
      </c>
      <c r="BT56" s="94">
        <f t="shared" si="95"/>
        <v>70519.336358906512</v>
      </c>
    </row>
    <row r="57" spans="1:72" ht="13.5">
      <c r="A57" s="16">
        <v>54</v>
      </c>
      <c r="B57" s="16" t="s">
        <v>39</v>
      </c>
      <c r="C57" s="17" t="s">
        <v>40</v>
      </c>
      <c r="D57" s="18" t="s">
        <v>121</v>
      </c>
      <c r="E57" s="18" t="s">
        <v>124</v>
      </c>
      <c r="F57" s="60" t="s">
        <v>158</v>
      </c>
      <c r="G57" s="55" t="s">
        <v>159</v>
      </c>
      <c r="H57" s="59">
        <v>15.8</v>
      </c>
      <c r="I57" s="59">
        <v>18863.3</v>
      </c>
      <c r="J57" s="59">
        <v>30140.5</v>
      </c>
      <c r="K57" s="59">
        <v>18847.5</v>
      </c>
      <c r="L57" s="59">
        <v>11277.2</v>
      </c>
      <c r="M57" s="59">
        <v>34034</v>
      </c>
      <c r="N57" s="59">
        <v>38124.1</v>
      </c>
      <c r="O57" s="59">
        <v>38668.699999999997</v>
      </c>
      <c r="P57" s="59">
        <v>48230.1</v>
      </c>
      <c r="Q57" s="59">
        <v>52354.6</v>
      </c>
      <c r="R57" s="59">
        <v>66083.8</v>
      </c>
      <c r="S57" s="59">
        <v>82253.2</v>
      </c>
      <c r="T57" s="75">
        <v>84956.5</v>
      </c>
      <c r="U57" s="65">
        <v>86485.4</v>
      </c>
      <c r="V57" s="65">
        <v>104031.7</v>
      </c>
      <c r="W57" s="76">
        <v>110298.6</v>
      </c>
      <c r="X57" s="76">
        <v>123910.7</v>
      </c>
      <c r="Y57" s="30">
        <f t="shared" si="96"/>
        <v>15170.7</v>
      </c>
      <c r="Z57" s="31">
        <f t="shared" si="97"/>
        <v>3.4344290995960459E-2</v>
      </c>
      <c r="AA57" s="30">
        <f t="shared" si="98"/>
        <v>4703.9977564523588</v>
      </c>
      <c r="AB57" s="30">
        <f t="shared" si="99"/>
        <v>19874.697756452359</v>
      </c>
      <c r="AC57" s="30">
        <f t="shared" si="100"/>
        <v>4090.0999999999985</v>
      </c>
      <c r="AD57" s="31">
        <f t="shared" si="101"/>
        <v>1.1507585409447463E-2</v>
      </c>
      <c r="AE57" s="30">
        <f t="shared" si="102"/>
        <v>79.86759100329003</v>
      </c>
      <c r="AF57" s="30">
        <f t="shared" si="103"/>
        <v>4169.9675910032884</v>
      </c>
      <c r="AG57" s="30">
        <f t="shared" si="104"/>
        <v>544.59999999999854</v>
      </c>
      <c r="AH57" s="31">
        <f t="shared" si="105"/>
        <v>1.8770468159809198E-3</v>
      </c>
      <c r="AI57" s="30">
        <f t="shared" si="106"/>
        <v>176.61206696390235</v>
      </c>
      <c r="AJ57" s="30">
        <f t="shared" si="107"/>
        <v>721.21206696390095</v>
      </c>
      <c r="AK57" s="30">
        <f t="shared" si="108"/>
        <v>9561.4000000000015</v>
      </c>
      <c r="AL57" s="31">
        <f t="shared" si="109"/>
        <v>2.3248453888094472E-2</v>
      </c>
      <c r="AM57" s="30">
        <f t="shared" si="110"/>
        <v>963.08208132481298</v>
      </c>
      <c r="AN57" s="30">
        <f t="shared" si="111"/>
        <v>10524.482081324815</v>
      </c>
      <c r="AO57" s="30">
        <f t="shared" si="112"/>
        <v>4124.5</v>
      </c>
      <c r="AP57" s="31">
        <f t="shared" si="113"/>
        <v>1.1388317179750685E-2</v>
      </c>
      <c r="AQ57" s="30">
        <f t="shared" si="114"/>
        <v>992.23674391044358</v>
      </c>
      <c r="AR57" s="30">
        <f t="shared" si="115"/>
        <v>5116.7367439104437</v>
      </c>
      <c r="AS57" s="92">
        <f t="shared" si="116"/>
        <v>13729.200000000004</v>
      </c>
      <c r="AT57" s="93">
        <f t="shared" si="69"/>
        <v>2.8983542405235024E-2</v>
      </c>
      <c r="AU57" s="94">
        <f t="shared" si="70"/>
        <v>3433.7814213111824</v>
      </c>
      <c r="AV57" s="94">
        <f t="shared" si="71"/>
        <v>17162.981421311186</v>
      </c>
      <c r="AW57" s="103">
        <f t="shared" si="117"/>
        <v>16169.399999999994</v>
      </c>
      <c r="AX57" s="93">
        <f t="shared" si="118"/>
        <v>3.4858411283506509E-2</v>
      </c>
      <c r="AY57" s="103">
        <f t="shared" si="124"/>
        <v>3602.0817295371967</v>
      </c>
      <c r="AZ57" s="103">
        <f t="shared" si="119"/>
        <v>19771.48172953719</v>
      </c>
      <c r="BA57" s="103">
        <f t="shared" si="120"/>
        <v>2703.3000000000029</v>
      </c>
      <c r="BB57" s="90">
        <f t="shared" si="121"/>
        <v>7.695680241852694E-3</v>
      </c>
      <c r="BC57" s="103">
        <f t="shared" si="122"/>
        <v>665.21467706254896</v>
      </c>
      <c r="BD57" s="103">
        <f t="shared" si="123"/>
        <v>3368.514677062552</v>
      </c>
      <c r="BE57" s="103">
        <f t="shared" si="80"/>
        <v>1528.8999999999942</v>
      </c>
      <c r="BF57" s="93">
        <f t="shared" si="81"/>
        <v>3.9656281790809988E-3</v>
      </c>
      <c r="BG57" s="103">
        <f t="shared" si="82"/>
        <v>308.1534601902041</v>
      </c>
      <c r="BH57" s="103">
        <f t="shared" si="83"/>
        <v>1837.0534601901982</v>
      </c>
      <c r="BI57" s="103">
        <f t="shared" si="84"/>
        <v>17546.300000000003</v>
      </c>
      <c r="BJ57" s="90">
        <f t="shared" si="85"/>
        <v>3.6429313174269985E-2</v>
      </c>
      <c r="BK57" s="102">
        <f t="shared" si="86"/>
        <v>4106.6644524621133</v>
      </c>
      <c r="BL57" s="102">
        <f t="shared" si="87"/>
        <v>21652.964452462118</v>
      </c>
      <c r="BM57" s="94">
        <f t="shared" si="88"/>
        <v>6266.9000000000087</v>
      </c>
      <c r="BN57" s="90">
        <f t="shared" si="89"/>
        <v>1.617004418360269E-2</v>
      </c>
      <c r="BO57" s="94">
        <f t="shared" si="90"/>
        <v>1587.2138608594901</v>
      </c>
      <c r="BP57" s="94">
        <f t="shared" si="91"/>
        <v>7854.1138608594993</v>
      </c>
      <c r="BQ57" s="94">
        <f t="shared" si="92"/>
        <v>13612.099999999991</v>
      </c>
      <c r="BR57" s="90">
        <f t="shared" si="93"/>
        <v>2.5858014064779469E-2</v>
      </c>
      <c r="BS57" s="94">
        <f t="shared" si="94"/>
        <v>2941.0628516529746</v>
      </c>
      <c r="BT57" s="94">
        <f t="shared" si="95"/>
        <v>16553.162851652967</v>
      </c>
    </row>
    <row r="58" spans="1:72" ht="13.5">
      <c r="A58" s="11">
        <v>55</v>
      </c>
      <c r="B58" s="16" t="s">
        <v>39</v>
      </c>
      <c r="C58" s="17" t="s">
        <v>40</v>
      </c>
      <c r="D58" s="18" t="s">
        <v>121</v>
      </c>
      <c r="E58" s="18" t="s">
        <v>124</v>
      </c>
      <c r="F58" s="60" t="s">
        <v>160</v>
      </c>
      <c r="G58" s="55" t="s">
        <v>161</v>
      </c>
      <c r="H58" s="59">
        <v>35.299999999999997</v>
      </c>
      <c r="I58" s="59">
        <v>37991.4</v>
      </c>
      <c r="J58" s="59">
        <v>57456</v>
      </c>
      <c r="K58" s="59">
        <v>37956.1</v>
      </c>
      <c r="L58" s="59">
        <v>19464.599999999999</v>
      </c>
      <c r="M58" s="59">
        <v>64149.1</v>
      </c>
      <c r="N58" s="59">
        <v>68020.7</v>
      </c>
      <c r="O58" s="59">
        <v>71786.899999999994</v>
      </c>
      <c r="P58" s="59">
        <v>84677.5</v>
      </c>
      <c r="Q58" s="59">
        <v>91263.8</v>
      </c>
      <c r="R58" s="59">
        <v>117047.6</v>
      </c>
      <c r="S58" s="59">
        <v>140814.6</v>
      </c>
      <c r="T58" s="75">
        <v>150550.5</v>
      </c>
      <c r="U58" s="65">
        <v>162042</v>
      </c>
      <c r="V58" s="65">
        <v>181041.5</v>
      </c>
      <c r="W58" s="76">
        <v>196769.5</v>
      </c>
      <c r="X58" s="76">
        <v>222644.6</v>
      </c>
      <c r="Y58" s="30">
        <f t="shared" si="96"/>
        <v>26157.699999999997</v>
      </c>
      <c r="Z58" s="31">
        <f t="shared" si="97"/>
        <v>5.9217284672759649E-2</v>
      </c>
      <c r="AA58" s="30">
        <f t="shared" si="98"/>
        <v>8110.7504672792847</v>
      </c>
      <c r="AB58" s="30">
        <f t="shared" si="99"/>
        <v>34268.450467279283</v>
      </c>
      <c r="AC58" s="30">
        <f t="shared" si="100"/>
        <v>3871.5999999999985</v>
      </c>
      <c r="AD58" s="31">
        <f t="shared" si="101"/>
        <v>1.0892830901742451E-2</v>
      </c>
      <c r="AE58" s="30">
        <f t="shared" si="102"/>
        <v>75.600930375379008</v>
      </c>
      <c r="AF58" s="30">
        <f t="shared" si="103"/>
        <v>3947.2009303753775</v>
      </c>
      <c r="AG58" s="30">
        <f t="shared" si="104"/>
        <v>3766.1999999999971</v>
      </c>
      <c r="AH58" s="31">
        <f t="shared" si="105"/>
        <v>1.2980781708313172E-2</v>
      </c>
      <c r="AI58" s="30">
        <f t="shared" si="106"/>
        <v>1221.3668134400482</v>
      </c>
      <c r="AJ58" s="30">
        <f t="shared" si="107"/>
        <v>4987.5668134400457</v>
      </c>
      <c r="AK58" s="30">
        <f t="shared" si="108"/>
        <v>12890.600000000006</v>
      </c>
      <c r="AL58" s="31">
        <f t="shared" si="109"/>
        <v>3.134337227705887E-2</v>
      </c>
      <c r="AM58" s="30">
        <f t="shared" si="110"/>
        <v>1298.4192563354361</v>
      </c>
      <c r="AN58" s="30">
        <f t="shared" si="111"/>
        <v>14189.019256335441</v>
      </c>
      <c r="AO58" s="30">
        <f t="shared" si="112"/>
        <v>6586.3000000000029</v>
      </c>
      <c r="AP58" s="31">
        <f t="shared" si="113"/>
        <v>1.8185688796458231E-2</v>
      </c>
      <c r="AQ58" s="30">
        <f t="shared" si="114"/>
        <v>1584.4754191822906</v>
      </c>
      <c r="AR58" s="30">
        <f t="shared" si="115"/>
        <v>8170.7754191822933</v>
      </c>
      <c r="AS58" s="92">
        <f t="shared" si="116"/>
        <v>25783.800000000003</v>
      </c>
      <c r="AT58" s="93">
        <f t="shared" si="69"/>
        <v>5.4431857695138725E-2</v>
      </c>
      <c r="AU58" s="94">
        <f t="shared" si="70"/>
        <v>6448.7321483264304</v>
      </c>
      <c r="AV58" s="94">
        <f t="shared" si="71"/>
        <v>32232.532148326434</v>
      </c>
      <c r="AW58" s="103">
        <f t="shared" si="117"/>
        <v>23767</v>
      </c>
      <c r="AX58" s="93">
        <f t="shared" si="118"/>
        <v>5.1237514130091373E-2</v>
      </c>
      <c r="AY58" s="103">
        <f t="shared" si="124"/>
        <v>5294.6105895030478</v>
      </c>
      <c r="AZ58" s="103">
        <f t="shared" si="119"/>
        <v>29061.610589503049</v>
      </c>
      <c r="BA58" s="103">
        <f t="shared" si="120"/>
        <v>9735.8999999999942</v>
      </c>
      <c r="BB58" s="90">
        <f t="shared" si="121"/>
        <v>2.7715892896331713E-2</v>
      </c>
      <c r="BC58" s="103">
        <f t="shared" si="122"/>
        <v>2395.7620591178406</v>
      </c>
      <c r="BD58" s="103">
        <f t="shared" si="123"/>
        <v>12131.662059117834</v>
      </c>
      <c r="BE58" s="103">
        <f t="shared" si="80"/>
        <v>11491.5</v>
      </c>
      <c r="BF58" s="93">
        <f t="shared" si="81"/>
        <v>2.9806407364712847E-2</v>
      </c>
      <c r="BG58" s="103">
        <f t="shared" si="82"/>
        <v>2316.1393732590382</v>
      </c>
      <c r="BH58" s="103">
        <f t="shared" si="83"/>
        <v>13807.639373259039</v>
      </c>
      <c r="BI58" s="103">
        <f t="shared" si="84"/>
        <v>18999.5</v>
      </c>
      <c r="BJ58" s="90">
        <f t="shared" si="85"/>
        <v>3.9446420935156844E-2</v>
      </c>
      <c r="BK58" s="102">
        <f t="shared" si="86"/>
        <v>4446.782014701329</v>
      </c>
      <c r="BL58" s="102">
        <f t="shared" si="87"/>
        <v>23446.28201470133</v>
      </c>
      <c r="BM58" s="94">
        <f t="shared" si="88"/>
        <v>15728</v>
      </c>
      <c r="BN58" s="90">
        <f t="shared" si="89"/>
        <v>4.0581859439228769E-2</v>
      </c>
      <c r="BO58" s="94">
        <f t="shared" si="90"/>
        <v>3983.420766822197</v>
      </c>
      <c r="BP58" s="94">
        <f t="shared" si="91"/>
        <v>19711.420766822197</v>
      </c>
      <c r="BQ58" s="94">
        <f t="shared" si="92"/>
        <v>25875.100000000006</v>
      </c>
      <c r="BR58" s="90">
        <f t="shared" si="93"/>
        <v>4.9153231296242009E-2</v>
      </c>
      <c r="BS58" s="94">
        <f t="shared" si="94"/>
        <v>5590.6359336770929</v>
      </c>
      <c r="BT58" s="94">
        <f t="shared" si="95"/>
        <v>31465.735933677097</v>
      </c>
    </row>
    <row r="59" spans="1:72" ht="13.5">
      <c r="A59" s="16">
        <v>56</v>
      </c>
      <c r="B59" s="16" t="s">
        <v>39</v>
      </c>
      <c r="C59" s="17" t="s">
        <v>40</v>
      </c>
      <c r="D59" s="18" t="s">
        <v>121</v>
      </c>
      <c r="E59" s="18" t="s">
        <v>124</v>
      </c>
      <c r="F59" s="60" t="s">
        <v>162</v>
      </c>
      <c r="G59" s="55" t="s">
        <v>163</v>
      </c>
      <c r="H59" s="59" t="s">
        <v>127</v>
      </c>
      <c r="I59" s="59">
        <v>10113.700000000001</v>
      </c>
      <c r="J59" s="59">
        <v>14696.2</v>
      </c>
      <c r="K59" s="59">
        <v>10113.700000000001</v>
      </c>
      <c r="L59" s="59">
        <v>4582.5</v>
      </c>
      <c r="M59" s="59">
        <v>16346.9</v>
      </c>
      <c r="N59" s="59">
        <v>17204.2</v>
      </c>
      <c r="O59" s="59">
        <v>17605.3</v>
      </c>
      <c r="P59" s="59">
        <v>20196.8</v>
      </c>
      <c r="Q59" s="59">
        <v>21688.5</v>
      </c>
      <c r="R59" s="59">
        <v>28385.8</v>
      </c>
      <c r="S59" s="59">
        <v>35750.199999999997</v>
      </c>
      <c r="T59" s="75">
        <v>37852.300000000003</v>
      </c>
      <c r="U59" s="65">
        <v>40343.599999999999</v>
      </c>
      <c r="V59" s="65">
        <v>46896.3</v>
      </c>
      <c r="W59" s="76">
        <v>50773.3</v>
      </c>
      <c r="X59" s="76">
        <v>59315.4</v>
      </c>
      <c r="Y59" s="30">
        <f t="shared" si="96"/>
        <v>6233.1999999999989</v>
      </c>
      <c r="Z59" s="31">
        <f t="shared" si="97"/>
        <v>1.4111071647057861E-2</v>
      </c>
      <c r="AA59" s="30">
        <f t="shared" si="98"/>
        <v>1932.736051435915</v>
      </c>
      <c r="AB59" s="30">
        <f t="shared" si="99"/>
        <v>8165.9360514359141</v>
      </c>
      <c r="AC59" s="30">
        <f t="shared" si="100"/>
        <v>857.30000000000109</v>
      </c>
      <c r="AD59" s="31">
        <f t="shared" si="101"/>
        <v>2.412032217187679E-3</v>
      </c>
      <c r="AE59" s="30">
        <f t="shared" si="102"/>
        <v>16.740540761135584</v>
      </c>
      <c r="AF59" s="30">
        <f t="shared" si="103"/>
        <v>874.04054076113664</v>
      </c>
      <c r="AG59" s="30">
        <f t="shared" si="104"/>
        <v>401.09999999999854</v>
      </c>
      <c r="AH59" s="31">
        <f t="shared" si="105"/>
        <v>1.3824522179396736E-3</v>
      </c>
      <c r="AI59" s="30">
        <f t="shared" si="106"/>
        <v>130.07546834230843</v>
      </c>
      <c r="AJ59" s="30">
        <f t="shared" si="107"/>
        <v>531.175468342307</v>
      </c>
      <c r="AK59" s="30">
        <f t="shared" si="108"/>
        <v>2591.5</v>
      </c>
      <c r="AL59" s="31">
        <f t="shared" si="109"/>
        <v>6.3012077991713355E-3</v>
      </c>
      <c r="AM59" s="30">
        <f t="shared" si="110"/>
        <v>261.03156585366708</v>
      </c>
      <c r="AN59" s="30">
        <f t="shared" si="111"/>
        <v>2852.531565853667</v>
      </c>
      <c r="AO59" s="30">
        <f t="shared" si="112"/>
        <v>1491.7000000000007</v>
      </c>
      <c r="AP59" s="31">
        <f t="shared" si="113"/>
        <v>4.1187908199864483E-3</v>
      </c>
      <c r="AQ59" s="30">
        <f t="shared" si="114"/>
        <v>358.86035904745046</v>
      </c>
      <c r="AR59" s="30">
        <f t="shared" si="115"/>
        <v>1850.5603590474511</v>
      </c>
      <c r="AS59" s="92">
        <f t="shared" si="116"/>
        <v>6697.2999999999993</v>
      </c>
      <c r="AT59" s="93">
        <f t="shared" si="69"/>
        <v>1.4138586265083212E-2</v>
      </c>
      <c r="AU59" s="94">
        <f t="shared" si="70"/>
        <v>1675.0476584904707</v>
      </c>
      <c r="AV59" s="94">
        <f t="shared" si="71"/>
        <v>8372.3476584904693</v>
      </c>
      <c r="AW59" s="103">
        <f t="shared" si="117"/>
        <v>7364.3999999999978</v>
      </c>
      <c r="AX59" s="93">
        <f t="shared" si="118"/>
        <v>1.5876364247050315E-2</v>
      </c>
      <c r="AY59" s="103">
        <f t="shared" si="124"/>
        <v>1640.5785427414583</v>
      </c>
      <c r="AZ59" s="103">
        <f t="shared" si="119"/>
        <v>9004.9785427414554</v>
      </c>
      <c r="BA59" s="103">
        <f t="shared" si="120"/>
        <v>2102.1000000000058</v>
      </c>
      <c r="BB59" s="90">
        <f t="shared" si="121"/>
        <v>5.9842005831385993E-3</v>
      </c>
      <c r="BC59" s="103">
        <f t="shared" si="122"/>
        <v>517.27435824850602</v>
      </c>
      <c r="BD59" s="103">
        <f t="shared" si="123"/>
        <v>2619.3743582485117</v>
      </c>
      <c r="BE59" s="103">
        <f t="shared" si="80"/>
        <v>2491.2999999999956</v>
      </c>
      <c r="BF59" s="93">
        <f t="shared" si="81"/>
        <v>6.4618807525309132E-3</v>
      </c>
      <c r="BG59" s="103">
        <f t="shared" si="82"/>
        <v>502.12748732543463</v>
      </c>
      <c r="BH59" s="103">
        <f t="shared" si="83"/>
        <v>2993.4274873254303</v>
      </c>
      <c r="BI59" s="103">
        <f t="shared" si="84"/>
        <v>6552.7000000000044</v>
      </c>
      <c r="BJ59" s="90">
        <f t="shared" si="85"/>
        <v>1.3604598145309213E-2</v>
      </c>
      <c r="BK59" s="102">
        <f t="shared" si="86"/>
        <v>1533.6418594033219</v>
      </c>
      <c r="BL59" s="102">
        <f t="shared" si="87"/>
        <v>8086.3418594033265</v>
      </c>
      <c r="BM59" s="94">
        <f t="shared" si="88"/>
        <v>3877</v>
      </c>
      <c r="BN59" s="90">
        <f t="shared" si="89"/>
        <v>1.0003552202815992E-2</v>
      </c>
      <c r="BO59" s="94">
        <f t="shared" si="90"/>
        <v>981.92537595178385</v>
      </c>
      <c r="BP59" s="94">
        <f t="shared" si="91"/>
        <v>4858.9253759517842</v>
      </c>
      <c r="BQ59" s="94">
        <f t="shared" si="92"/>
        <v>8542.0999999999985</v>
      </c>
      <c r="BR59" s="90">
        <f t="shared" si="93"/>
        <v>1.6226867415222692E-2</v>
      </c>
      <c r="BS59" s="94">
        <f t="shared" si="94"/>
        <v>1845.6265370592994</v>
      </c>
      <c r="BT59" s="94">
        <f t="shared" si="95"/>
        <v>10387.726537059298</v>
      </c>
    </row>
    <row r="60" spans="1:72" ht="13.5">
      <c r="A60" s="11">
        <v>57</v>
      </c>
      <c r="B60" s="16" t="s">
        <v>83</v>
      </c>
      <c r="C60" s="17" t="s">
        <v>84</v>
      </c>
      <c r="D60" s="119" t="s">
        <v>138</v>
      </c>
      <c r="E60" s="18" t="s">
        <v>83</v>
      </c>
      <c r="F60" s="58" t="s">
        <v>164</v>
      </c>
      <c r="G60" s="58" t="s">
        <v>165</v>
      </c>
      <c r="H60" s="59">
        <v>53.3</v>
      </c>
      <c r="I60" s="59">
        <v>4794.8</v>
      </c>
      <c r="J60" s="59">
        <v>5112.7</v>
      </c>
      <c r="K60" s="59">
        <v>4741.5</v>
      </c>
      <c r="L60" s="59">
        <v>317.89999999999998</v>
      </c>
      <c r="M60" s="59">
        <v>5209.5</v>
      </c>
      <c r="N60" s="59">
        <v>5829.2</v>
      </c>
      <c r="O60" s="59">
        <v>6338.3</v>
      </c>
      <c r="P60" s="59">
        <v>7114.3</v>
      </c>
      <c r="Q60" s="59">
        <v>7900.8</v>
      </c>
      <c r="R60" s="59">
        <v>8657.5</v>
      </c>
      <c r="S60" s="59">
        <v>9334.2999999999993</v>
      </c>
      <c r="T60" s="75">
        <v>10333.1</v>
      </c>
      <c r="U60" s="65">
        <v>11116.6</v>
      </c>
      <c r="V60" s="65">
        <v>11927.4</v>
      </c>
      <c r="W60" s="76">
        <v>12715.7</v>
      </c>
      <c r="X60" s="76">
        <v>14362.8</v>
      </c>
      <c r="Y60" s="30">
        <f t="shared" si="96"/>
        <v>414.69999999999982</v>
      </c>
      <c r="Z60" s="31">
        <f t="shared" si="97"/>
        <v>9.3882137778908002E-4</v>
      </c>
      <c r="AA60" s="30">
        <f t="shared" si="98"/>
        <v>128.58654311276291</v>
      </c>
      <c r="AB60" s="30">
        <f t="shared" si="99"/>
        <v>543.28654311276273</v>
      </c>
      <c r="AC60" s="30">
        <f t="shared" si="100"/>
        <v>619.69999999999982</v>
      </c>
      <c r="AD60" s="31">
        <f t="shared" si="101"/>
        <v>1.7435394435917442E-3</v>
      </c>
      <c r="AE60" s="30">
        <f t="shared" si="102"/>
        <v>12.100913460487234</v>
      </c>
      <c r="AF60" s="30">
        <f t="shared" si="103"/>
        <v>631.8009134604871</v>
      </c>
      <c r="AG60" s="30">
        <f t="shared" si="104"/>
        <v>509.10000000000036</v>
      </c>
      <c r="AH60" s="31">
        <f t="shared" si="105"/>
        <v>1.754690661064799E-3</v>
      </c>
      <c r="AI60" s="30">
        <f t="shared" si="106"/>
        <v>165.09952862894417</v>
      </c>
      <c r="AJ60" s="30">
        <f t="shared" si="107"/>
        <v>674.19952862894456</v>
      </c>
      <c r="AK60" s="30">
        <f t="shared" si="108"/>
        <v>776</v>
      </c>
      <c r="AL60" s="31">
        <f t="shared" si="109"/>
        <v>1.8868366784321655E-3</v>
      </c>
      <c r="AM60" s="30">
        <f t="shared" si="110"/>
        <v>78.163416979527554</v>
      </c>
      <c r="AN60" s="30">
        <f t="shared" si="111"/>
        <v>854.1634169795276</v>
      </c>
      <c r="AO60" s="30">
        <f t="shared" si="112"/>
        <v>786.5</v>
      </c>
      <c r="AP60" s="31">
        <f t="shared" si="113"/>
        <v>2.1716357041760004E-3</v>
      </c>
      <c r="AQ60" s="30">
        <f t="shared" si="114"/>
        <v>189.20940697916447</v>
      </c>
      <c r="AR60" s="30">
        <f t="shared" si="115"/>
        <v>975.70940697916444</v>
      </c>
      <c r="AS60" s="92">
        <f t="shared" si="116"/>
        <v>756.69999999999982</v>
      </c>
      <c r="AT60" s="93">
        <f t="shared" si="69"/>
        <v>1.5974599057513423E-3</v>
      </c>
      <c r="AU60" s="94">
        <f t="shared" si="70"/>
        <v>189.25665016943231</v>
      </c>
      <c r="AV60" s="94">
        <f t="shared" si="71"/>
        <v>945.95665016943212</v>
      </c>
      <c r="AW60" s="103">
        <f t="shared" si="117"/>
        <v>676.79999999999927</v>
      </c>
      <c r="AX60" s="93">
        <f t="shared" si="118"/>
        <v>1.4590629681173815E-3</v>
      </c>
      <c r="AY60" s="103">
        <f t="shared" si="124"/>
        <v>150.77176113837081</v>
      </c>
      <c r="AZ60" s="103">
        <f t="shared" si="119"/>
        <v>827.57176113837011</v>
      </c>
      <c r="BA60" s="103">
        <f t="shared" si="120"/>
        <v>998.80000000000109</v>
      </c>
      <c r="BB60" s="90">
        <f t="shared" si="121"/>
        <v>2.8433564256880369E-3</v>
      </c>
      <c r="BC60" s="103">
        <f t="shared" si="122"/>
        <v>245.77975787003803</v>
      </c>
      <c r="BD60" s="103">
        <f t="shared" si="123"/>
        <v>1244.5797578700392</v>
      </c>
      <c r="BE60" s="103">
        <f t="shared" si="80"/>
        <v>783.5</v>
      </c>
      <c r="BF60" s="93">
        <f t="shared" si="81"/>
        <v>2.0322255728366634E-3</v>
      </c>
      <c r="BG60" s="103">
        <f t="shared" si="82"/>
        <v>157.91630326314726</v>
      </c>
      <c r="BH60" s="103">
        <f t="shared" si="83"/>
        <v>941.41630326314726</v>
      </c>
      <c r="BI60" s="103">
        <f t="shared" si="84"/>
        <v>810.79999999999927</v>
      </c>
      <c r="BJ60" s="90">
        <f t="shared" si="85"/>
        <v>1.6833684093910438E-3</v>
      </c>
      <c r="BK60" s="102">
        <f t="shared" si="86"/>
        <v>189.76556527907755</v>
      </c>
      <c r="BL60" s="102">
        <f t="shared" si="87"/>
        <v>1000.5655652790768</v>
      </c>
      <c r="BM60" s="94">
        <f t="shared" si="88"/>
        <v>788.30000000000109</v>
      </c>
      <c r="BN60" s="90">
        <f t="shared" si="89"/>
        <v>2.0339954092029552E-3</v>
      </c>
      <c r="BO60" s="94">
        <f t="shared" si="90"/>
        <v>199.65225015805837</v>
      </c>
      <c r="BP60" s="94">
        <f t="shared" si="91"/>
        <v>987.95225015805943</v>
      </c>
      <c r="BQ60" s="94">
        <f t="shared" si="92"/>
        <v>1647.0999999999985</v>
      </c>
      <c r="BR60" s="90">
        <f t="shared" si="93"/>
        <v>3.1288878987149856E-3</v>
      </c>
      <c r="BS60" s="94">
        <f t="shared" si="94"/>
        <v>355.87636168979174</v>
      </c>
      <c r="BT60" s="94">
        <f t="shared" si="95"/>
        <v>2002.9763616897903</v>
      </c>
    </row>
    <row r="61" spans="1:72" ht="13.5">
      <c r="A61" s="16">
        <v>58</v>
      </c>
      <c r="B61" s="16" t="s">
        <v>49</v>
      </c>
      <c r="C61" s="17" t="s">
        <v>50</v>
      </c>
      <c r="D61" s="119" t="s">
        <v>138</v>
      </c>
      <c r="E61" s="18" t="s">
        <v>49</v>
      </c>
      <c r="F61" s="58" t="s">
        <v>166</v>
      </c>
      <c r="G61" s="58" t="s">
        <v>167</v>
      </c>
      <c r="H61" s="59">
        <v>6189.2</v>
      </c>
      <c r="I61" s="59">
        <v>339395.9</v>
      </c>
      <c r="J61" s="59">
        <v>354641.6</v>
      </c>
      <c r="K61" s="59">
        <v>333206.7</v>
      </c>
      <c r="L61" s="59">
        <v>15245.7</v>
      </c>
      <c r="M61" s="59">
        <v>359774.6</v>
      </c>
      <c r="N61" s="59">
        <v>394246.6</v>
      </c>
      <c r="O61" s="59">
        <v>422624.7</v>
      </c>
      <c r="P61" s="59">
        <v>461774.4</v>
      </c>
      <c r="Q61" s="59">
        <v>494720.4</v>
      </c>
      <c r="R61" s="59">
        <v>534894.5</v>
      </c>
      <c r="S61" s="59">
        <v>569845.5</v>
      </c>
      <c r="T61" s="75">
        <v>602814.5</v>
      </c>
      <c r="U61" s="65">
        <v>638638.30000000005</v>
      </c>
      <c r="V61" s="65">
        <v>670354.69999999995</v>
      </c>
      <c r="W61" s="76">
        <v>692039.7</v>
      </c>
      <c r="X61" s="76">
        <v>715943.7</v>
      </c>
      <c r="Y61" s="30">
        <f t="shared" si="96"/>
        <v>20378.699999999953</v>
      </c>
      <c r="Z61" s="31">
        <f t="shared" si="97"/>
        <v>4.6134456743550253E-2</v>
      </c>
      <c r="AA61" s="30">
        <f t="shared" si="98"/>
        <v>6318.8487729251419</v>
      </c>
      <c r="AB61" s="30">
        <f t="shared" si="99"/>
        <v>26697.548772925096</v>
      </c>
      <c r="AC61" s="30">
        <f t="shared" si="100"/>
        <v>34472</v>
      </c>
      <c r="AD61" s="31">
        <f t="shared" si="101"/>
        <v>9.6987722606897891E-2</v>
      </c>
      <c r="AE61" s="30">
        <f t="shared" si="102"/>
        <v>673.13649961258034</v>
      </c>
      <c r="AF61" s="30">
        <f t="shared" si="103"/>
        <v>35145.136499612578</v>
      </c>
      <c r="AG61" s="30">
        <f t="shared" si="104"/>
        <v>28378.100000000035</v>
      </c>
      <c r="AH61" s="31">
        <f t="shared" si="105"/>
        <v>9.7809442248601455E-2</v>
      </c>
      <c r="AI61" s="30">
        <f t="shared" si="106"/>
        <v>9202.9285668533557</v>
      </c>
      <c r="AJ61" s="30">
        <f t="shared" si="107"/>
        <v>37581.028566853391</v>
      </c>
      <c r="AK61" s="30">
        <f t="shared" si="108"/>
        <v>39149.700000000012</v>
      </c>
      <c r="AL61" s="31">
        <f t="shared" si="109"/>
        <v>9.5192126172185268E-2</v>
      </c>
      <c r="AM61" s="30">
        <f t="shared" si="110"/>
        <v>3943.3947496435708</v>
      </c>
      <c r="AN61" s="30">
        <f t="shared" si="111"/>
        <v>43093.094749643584</v>
      </c>
      <c r="AO61" s="30">
        <f t="shared" si="112"/>
        <v>32946</v>
      </c>
      <c r="AP61" s="31">
        <f t="shared" si="113"/>
        <v>9.0968480495591239E-2</v>
      </c>
      <c r="AQ61" s="30">
        <f t="shared" si="114"/>
        <v>7925.8653812276571</v>
      </c>
      <c r="AR61" s="30">
        <f t="shared" si="115"/>
        <v>40871.865381227661</v>
      </c>
      <c r="AS61" s="92">
        <f t="shared" si="116"/>
        <v>40174.099999999977</v>
      </c>
      <c r="AT61" s="93">
        <f t="shared" si="69"/>
        <v>8.4811040041819719E-2</v>
      </c>
      <c r="AU61" s="94">
        <f t="shared" si="70"/>
        <v>10047.859904284112</v>
      </c>
      <c r="AV61" s="94">
        <f t="shared" si="71"/>
        <v>50221.959904284085</v>
      </c>
      <c r="AW61" s="103">
        <f t="shared" si="117"/>
        <v>34951</v>
      </c>
      <c r="AX61" s="93">
        <f t="shared" si="118"/>
        <v>7.5348270979123305E-2</v>
      </c>
      <c r="AY61" s="103">
        <f t="shared" si="124"/>
        <v>7786.0872097328656</v>
      </c>
      <c r="AZ61" s="103">
        <f t="shared" si="119"/>
        <v>42737.087209732868</v>
      </c>
      <c r="BA61" s="103">
        <f t="shared" si="120"/>
        <v>32969</v>
      </c>
      <c r="BB61" s="90">
        <f t="shared" si="121"/>
        <v>9.3855244291658785E-2</v>
      </c>
      <c r="BC61" s="103">
        <f t="shared" si="122"/>
        <v>8112.8482551234238</v>
      </c>
      <c r="BD61" s="103">
        <f t="shared" si="123"/>
        <v>41081.848255123426</v>
      </c>
      <c r="BE61" s="103">
        <f t="shared" si="80"/>
        <v>35823.800000000047</v>
      </c>
      <c r="BF61" s="93">
        <f t="shared" si="81"/>
        <v>9.2919007627550926E-2</v>
      </c>
      <c r="BG61" s="103">
        <f t="shared" si="82"/>
        <v>7220.3727694171557</v>
      </c>
      <c r="BH61" s="103">
        <f t="shared" si="83"/>
        <v>43044.1727694172</v>
      </c>
      <c r="BI61" s="103">
        <f t="shared" si="84"/>
        <v>31716.399999999907</v>
      </c>
      <c r="BJ61" s="90">
        <f t="shared" si="85"/>
        <v>6.5849020497792302E-2</v>
      </c>
      <c r="BK61" s="102">
        <f t="shared" si="86"/>
        <v>7423.1383505393724</v>
      </c>
      <c r="BL61" s="102">
        <f t="shared" si="87"/>
        <v>39139.538350539282</v>
      </c>
      <c r="BM61" s="94">
        <f t="shared" si="88"/>
        <v>21685</v>
      </c>
      <c r="BN61" s="90">
        <f t="shared" si="89"/>
        <v>5.5952290306439209E-2</v>
      </c>
      <c r="BO61" s="94">
        <f t="shared" si="90"/>
        <v>5492.1464476436513</v>
      </c>
      <c r="BP61" s="94">
        <f t="shared" si="91"/>
        <v>27177.146447643652</v>
      </c>
      <c r="BQ61" s="94">
        <f t="shared" si="92"/>
        <v>23904</v>
      </c>
      <c r="BR61" s="90">
        <f t="shared" si="93"/>
        <v>4.540886183649024E-2</v>
      </c>
      <c r="BS61" s="94">
        <f t="shared" si="94"/>
        <v>5164.755357800248</v>
      </c>
      <c r="BT61" s="94">
        <f t="shared" si="95"/>
        <v>29068.755357800248</v>
      </c>
    </row>
    <row r="62" spans="1:72" ht="13.5">
      <c r="A62" s="11">
        <v>59</v>
      </c>
      <c r="B62" s="16" t="s">
        <v>49</v>
      </c>
      <c r="C62" s="17" t="s">
        <v>50</v>
      </c>
      <c r="D62" s="119" t="s">
        <v>138</v>
      </c>
      <c r="E62" s="18" t="s">
        <v>49</v>
      </c>
      <c r="F62" s="58" t="s">
        <v>168</v>
      </c>
      <c r="G62" s="58" t="s">
        <v>169</v>
      </c>
      <c r="H62" s="61">
        <v>87327.9</v>
      </c>
      <c r="I62" s="61">
        <v>506222.8</v>
      </c>
      <c r="J62" s="61">
        <v>523973.5</v>
      </c>
      <c r="K62" s="61">
        <v>418894.9</v>
      </c>
      <c r="L62" s="61">
        <v>17750.7</v>
      </c>
      <c r="M62" s="61">
        <v>529870.5</v>
      </c>
      <c r="N62" s="61">
        <v>565953.5</v>
      </c>
      <c r="O62" s="61">
        <v>592741.80000000005</v>
      </c>
      <c r="P62" s="61">
        <v>629194.19999999995</v>
      </c>
      <c r="Q62" s="61">
        <v>658001.5</v>
      </c>
      <c r="R62" s="77">
        <v>688627.8</v>
      </c>
      <c r="S62" s="78">
        <v>719063.3</v>
      </c>
      <c r="T62" s="79">
        <v>747532.1</v>
      </c>
      <c r="U62" s="65">
        <v>780565.2</v>
      </c>
      <c r="V62" s="65">
        <v>819227.7</v>
      </c>
      <c r="W62" s="76">
        <v>846444.6</v>
      </c>
      <c r="X62" s="76">
        <v>875337.1</v>
      </c>
      <c r="Y62" s="30">
        <f t="shared" si="96"/>
        <v>23647.700000000012</v>
      </c>
      <c r="Z62" s="31">
        <f t="shared" si="97"/>
        <v>5.3535004329739205E-2</v>
      </c>
      <c r="AA62" s="30">
        <f t="shared" si="98"/>
        <v>7332.4716555767691</v>
      </c>
      <c r="AB62" s="30">
        <f t="shared" si="99"/>
        <v>30980.171655576782</v>
      </c>
      <c r="AC62" s="30">
        <f t="shared" si="100"/>
        <v>36083</v>
      </c>
      <c r="AD62" s="31">
        <f t="shared" si="101"/>
        <v>0.10152030618544607</v>
      </c>
      <c r="AE62" s="30">
        <f t="shared" si="102"/>
        <v>704.59457865864294</v>
      </c>
      <c r="AF62" s="30">
        <f t="shared" si="103"/>
        <v>36787.594578658645</v>
      </c>
      <c r="AG62" s="30">
        <f t="shared" si="104"/>
        <v>26788.300000000047</v>
      </c>
      <c r="AH62" s="31">
        <f t="shared" si="105"/>
        <v>9.2329954499709696E-2</v>
      </c>
      <c r="AI62" s="30">
        <f t="shared" si="106"/>
        <v>8687.3614275599084</v>
      </c>
      <c r="AJ62" s="30">
        <f t="shared" si="107"/>
        <v>35475.661427559957</v>
      </c>
      <c r="AK62" s="30">
        <f t="shared" si="108"/>
        <v>36452.399999999907</v>
      </c>
      <c r="AL62" s="31">
        <f t="shared" si="109"/>
        <v>8.8633666671237746E-2</v>
      </c>
      <c r="AM62" s="30">
        <f t="shared" si="110"/>
        <v>3671.7063674027359</v>
      </c>
      <c r="AN62" s="30">
        <f t="shared" si="111"/>
        <v>40124.106367402645</v>
      </c>
      <c r="AO62" s="30">
        <f t="shared" si="112"/>
        <v>28807.300000000047</v>
      </c>
      <c r="AP62" s="31">
        <f t="shared" si="113"/>
        <v>7.9540955144195041E-2</v>
      </c>
      <c r="AQ62" s="30">
        <f t="shared" si="114"/>
        <v>6930.2125234213518</v>
      </c>
      <c r="AR62" s="30">
        <f t="shared" si="115"/>
        <v>35737.512523421399</v>
      </c>
      <c r="AS62" s="92">
        <f t="shared" si="116"/>
        <v>30626.300000000047</v>
      </c>
      <c r="AT62" s="93">
        <f t="shared" si="69"/>
        <v>6.4654798878700168E-2</v>
      </c>
      <c r="AU62" s="94">
        <f t="shared" si="70"/>
        <v>7659.8796684076833</v>
      </c>
      <c r="AV62" s="94">
        <f t="shared" si="71"/>
        <v>38286.179668407727</v>
      </c>
      <c r="AW62" s="103">
        <f t="shared" si="117"/>
        <v>30435.5</v>
      </c>
      <c r="AX62" s="93">
        <f t="shared" si="118"/>
        <v>6.5613639134362606E-2</v>
      </c>
      <c r="AY62" s="103">
        <f t="shared" si="124"/>
        <v>6780.1624351756645</v>
      </c>
      <c r="AZ62" s="103">
        <f t="shared" si="119"/>
        <v>37215.662435175662</v>
      </c>
      <c r="BA62" s="103">
        <f t="shared" si="120"/>
        <v>28468.79999999993</v>
      </c>
      <c r="BB62" s="90">
        <f t="shared" si="121"/>
        <v>8.1044198449767027E-2</v>
      </c>
      <c r="BC62" s="103">
        <f t="shared" si="122"/>
        <v>7005.4613244398424</v>
      </c>
      <c r="BD62" s="103">
        <f t="shared" si="123"/>
        <v>35474.261324439773</v>
      </c>
      <c r="BE62" s="103">
        <f t="shared" si="80"/>
        <v>33033.099999999977</v>
      </c>
      <c r="BF62" s="93">
        <f t="shared" si="81"/>
        <v>8.5680549546995194E-2</v>
      </c>
      <c r="BG62" s="103">
        <f t="shared" si="82"/>
        <v>6657.9004943482651</v>
      </c>
      <c r="BH62" s="103">
        <f t="shared" si="83"/>
        <v>39691.000494348242</v>
      </c>
      <c r="BI62" s="103">
        <f t="shared" si="84"/>
        <v>38662.5</v>
      </c>
      <c r="BJ62" s="90">
        <f t="shared" si="85"/>
        <v>8.0270388663149103E-2</v>
      </c>
      <c r="BK62" s="102">
        <f t="shared" si="86"/>
        <v>9048.8544247685531</v>
      </c>
      <c r="BL62" s="102">
        <f t="shared" si="87"/>
        <v>47711.35442476855</v>
      </c>
      <c r="BM62" s="94">
        <f t="shared" si="88"/>
        <v>27216.900000000023</v>
      </c>
      <c r="BN62" s="90">
        <f t="shared" si="89"/>
        <v>7.0225865346614083E-2</v>
      </c>
      <c r="BO62" s="94">
        <f t="shared" si="90"/>
        <v>6893.2073161573717</v>
      </c>
      <c r="BP62" s="94">
        <f t="shared" si="91"/>
        <v>34110.107316157395</v>
      </c>
      <c r="BQ62" s="94">
        <f t="shared" si="92"/>
        <v>28892.5</v>
      </c>
      <c r="BR62" s="90">
        <f t="shared" si="93"/>
        <v>5.488518827856402E-2</v>
      </c>
      <c r="BS62" s="94">
        <f t="shared" si="94"/>
        <v>6242.5825876524295</v>
      </c>
      <c r="BT62" s="94">
        <f t="shared" si="95"/>
        <v>35135.082587652432</v>
      </c>
    </row>
    <row r="63" spans="1:72" ht="40.5">
      <c r="A63" s="16">
        <v>60</v>
      </c>
      <c r="B63" s="16" t="s">
        <v>49</v>
      </c>
      <c r="C63" s="17" t="s">
        <v>50</v>
      </c>
      <c r="D63" s="18" t="s">
        <v>121</v>
      </c>
      <c r="E63" s="20" t="s">
        <v>49</v>
      </c>
      <c r="F63" s="56" t="s">
        <v>170</v>
      </c>
      <c r="G63" s="57" t="s">
        <v>171</v>
      </c>
      <c r="H63" s="62">
        <v>1095</v>
      </c>
      <c r="I63" s="65">
        <v>28151.5</v>
      </c>
      <c r="J63" s="65">
        <v>33281</v>
      </c>
      <c r="K63" s="65">
        <v>27056.5</v>
      </c>
      <c r="L63" s="65">
        <v>5129.5</v>
      </c>
      <c r="M63" s="65">
        <v>34895.699999999997</v>
      </c>
      <c r="N63" s="65">
        <v>44255.8</v>
      </c>
      <c r="O63" s="65">
        <v>49189.3</v>
      </c>
      <c r="P63" s="65">
        <v>56144.7</v>
      </c>
      <c r="Q63" s="65">
        <v>64282.2</v>
      </c>
      <c r="R63" s="80">
        <v>74082.399999999994</v>
      </c>
      <c r="S63" s="34">
        <v>81994.5</v>
      </c>
      <c r="T63" s="81">
        <v>88236.4</v>
      </c>
      <c r="U63" s="65">
        <v>92579.199999999997</v>
      </c>
      <c r="V63" s="65">
        <v>102254.3</v>
      </c>
      <c r="W63" s="76">
        <v>110632.2</v>
      </c>
      <c r="X63" s="76">
        <v>120195.9</v>
      </c>
      <c r="Y63" s="30">
        <f t="shared" si="96"/>
        <v>6744.1999999999971</v>
      </c>
      <c r="Z63" s="31">
        <f t="shared" si="97"/>
        <v>1.5267902426055253E-2</v>
      </c>
      <c r="AA63" s="83">
        <f t="shared" si="98"/>
        <v>2091.1824549339176</v>
      </c>
      <c r="AB63" s="84">
        <f t="shared" si="99"/>
        <v>8835.3824549339151</v>
      </c>
      <c r="AC63" s="30">
        <f t="shared" si="100"/>
        <v>9360.1000000000058</v>
      </c>
      <c r="AD63" s="31">
        <f t="shared" si="101"/>
        <v>2.6334845160502017E-2</v>
      </c>
      <c r="AE63" s="83">
        <f t="shared" si="102"/>
        <v>182.77514939729977</v>
      </c>
      <c r="AF63" s="84">
        <f t="shared" si="103"/>
        <v>9542.875149397305</v>
      </c>
      <c r="AG63" s="30">
        <f t="shared" si="104"/>
        <v>4933.5</v>
      </c>
      <c r="AH63" s="31">
        <f t="shared" si="105"/>
        <v>1.7004058881090512E-2</v>
      </c>
      <c r="AI63" s="83">
        <f t="shared" si="106"/>
        <v>1599.9185317047643</v>
      </c>
      <c r="AJ63" s="84">
        <f t="shared" si="107"/>
        <v>6533.4185317047641</v>
      </c>
      <c r="AK63" s="30">
        <f t="shared" si="108"/>
        <v>6955.3999999999942</v>
      </c>
      <c r="AL63" s="31">
        <f t="shared" si="109"/>
        <v>1.6911989475730763E-2</v>
      </c>
      <c r="AM63" s="83">
        <f t="shared" si="110"/>
        <v>700.58998770541939</v>
      </c>
      <c r="AN63" s="84">
        <f t="shared" si="111"/>
        <v>7655.989987705414</v>
      </c>
      <c r="AO63" s="30">
        <f t="shared" si="112"/>
        <v>8137.5</v>
      </c>
      <c r="AP63" s="31">
        <f t="shared" si="113"/>
        <v>2.2468767377917614E-2</v>
      </c>
      <c r="AQ63" s="83">
        <f t="shared" si="114"/>
        <v>1957.6497765962504</v>
      </c>
      <c r="AR63" s="84">
        <f t="shared" si="115"/>
        <v>10095.14977659625</v>
      </c>
      <c r="AS63" s="96">
        <f t="shared" si="116"/>
        <v>9800.1999999999971</v>
      </c>
      <c r="AT63" s="97">
        <f t="shared" si="69"/>
        <v>2.0689079646285587E-2</v>
      </c>
      <c r="AU63" s="98">
        <f t="shared" si="70"/>
        <v>2451.1074705834153</v>
      </c>
      <c r="AV63" s="99">
        <f t="shared" si="71"/>
        <v>12251.307470583411</v>
      </c>
      <c r="AW63" s="103">
        <f t="shared" si="117"/>
        <v>7912.1000000000058</v>
      </c>
      <c r="AX63" s="97">
        <f t="shared" si="118"/>
        <v>1.7057110091668964E-2</v>
      </c>
      <c r="AY63" s="103">
        <f t="shared" si="124"/>
        <v>1762.5905013340807</v>
      </c>
      <c r="AZ63" s="103">
        <f t="shared" si="119"/>
        <v>9674.6905013340875</v>
      </c>
      <c r="BA63" s="103">
        <f t="shared" si="120"/>
        <v>6241.8999999999942</v>
      </c>
      <c r="BB63" s="90">
        <f t="shared" si="121"/>
        <v>1.7769269597018543E-2</v>
      </c>
      <c r="BC63" s="103">
        <f t="shared" si="122"/>
        <v>1535.975841658978</v>
      </c>
      <c r="BD63" s="103">
        <f t="shared" si="123"/>
        <v>7777.8758416589717</v>
      </c>
      <c r="BE63" s="103">
        <f t="shared" si="80"/>
        <v>4342.8000000000029</v>
      </c>
      <c r="BF63" s="93">
        <f t="shared" si="81"/>
        <v>1.1264261924333207E-2</v>
      </c>
      <c r="BG63" s="103">
        <f t="shared" si="82"/>
        <v>875.30175087580892</v>
      </c>
      <c r="BH63" s="103">
        <f t="shared" si="83"/>
        <v>5218.1017508758123</v>
      </c>
      <c r="BI63" s="103">
        <f t="shared" si="84"/>
        <v>9675.1000000000058</v>
      </c>
      <c r="BJ63" s="90">
        <f t="shared" si="85"/>
        <v>2.008726899074903E-2</v>
      </c>
      <c r="BK63" s="102">
        <f t="shared" si="86"/>
        <v>2264.4312045283746</v>
      </c>
      <c r="BL63" s="102">
        <f t="shared" si="87"/>
        <v>11939.531204528381</v>
      </c>
      <c r="BM63" s="94">
        <f t="shared" si="88"/>
        <v>8377.8999999999942</v>
      </c>
      <c r="BN63" s="90">
        <f t="shared" si="89"/>
        <v>2.1616909981937594E-2</v>
      </c>
      <c r="BO63" s="94">
        <f t="shared" si="90"/>
        <v>2121.8655164267334</v>
      </c>
      <c r="BP63" s="94">
        <f t="shared" si="91"/>
        <v>10499.765516426727</v>
      </c>
      <c r="BQ63" s="94">
        <f t="shared" si="92"/>
        <v>9563.6999999999971</v>
      </c>
      <c r="BR63" s="90">
        <f t="shared" si="93"/>
        <v>1.8167533966936145E-2</v>
      </c>
      <c r="BS63" s="94">
        <f t="shared" si="94"/>
        <v>2066.3558741379779</v>
      </c>
      <c r="BT63" s="94">
        <f t="shared" si="95"/>
        <v>11630.055874137975</v>
      </c>
    </row>
    <row r="64" spans="1:72" ht="27">
      <c r="A64" s="11">
        <v>61</v>
      </c>
      <c r="B64" s="16" t="s">
        <v>49</v>
      </c>
      <c r="C64" s="17" t="s">
        <v>50</v>
      </c>
      <c r="D64" s="18" t="s">
        <v>172</v>
      </c>
      <c r="E64" s="20" t="s">
        <v>49</v>
      </c>
      <c r="F64" s="58" t="s">
        <v>173</v>
      </c>
      <c r="G64" s="56" t="s">
        <v>174</v>
      </c>
      <c r="H64" s="53">
        <v>1.5</v>
      </c>
      <c r="I64" s="66">
        <v>1029</v>
      </c>
      <c r="J64" s="66">
        <v>1036.5</v>
      </c>
      <c r="K64" s="66">
        <v>1027.5</v>
      </c>
      <c r="L64" s="66">
        <v>7.5</v>
      </c>
      <c r="M64" s="66">
        <v>1038.7</v>
      </c>
      <c r="N64" s="66">
        <v>1052.9000000000001</v>
      </c>
      <c r="O64" s="66">
        <v>1068.4000000000001</v>
      </c>
      <c r="P64" s="67">
        <v>1101.3</v>
      </c>
      <c r="Q64" s="66">
        <v>1148</v>
      </c>
      <c r="R64" s="66">
        <v>1277.5</v>
      </c>
      <c r="S64" s="53">
        <v>1396.9</v>
      </c>
      <c r="T64" s="71">
        <v>1432.1</v>
      </c>
      <c r="U64" s="34">
        <v>1491.2</v>
      </c>
      <c r="V64" s="34">
        <v>1586.2</v>
      </c>
      <c r="W64" s="72">
        <v>1670.4</v>
      </c>
      <c r="X64" s="72">
        <v>1767.8</v>
      </c>
      <c r="Y64" s="30">
        <f t="shared" si="96"/>
        <v>9.7000000000000455</v>
      </c>
      <c r="Z64" s="31">
        <f t="shared" si="97"/>
        <v>2.1959410090557325E-5</v>
      </c>
      <c r="AA64" s="30">
        <f t="shared" si="98"/>
        <v>3.007691025304573</v>
      </c>
      <c r="AB64" s="30">
        <f t="shared" si="99"/>
        <v>12.707691025304619</v>
      </c>
      <c r="AC64" s="30">
        <f t="shared" si="100"/>
        <v>14.200000000000045</v>
      </c>
      <c r="AD64" s="31">
        <f t="shared" si="101"/>
        <v>3.9952009196389953E-5</v>
      </c>
      <c r="AE64" s="30">
        <f t="shared" si="102"/>
        <v>0.27728412318689577</v>
      </c>
      <c r="AF64" s="30">
        <f t="shared" si="103"/>
        <v>14.477284123186941</v>
      </c>
      <c r="AG64" s="30">
        <f t="shared" si="104"/>
        <v>15.5</v>
      </c>
      <c r="AH64" s="31">
        <f t="shared" si="105"/>
        <v>5.3423109892956917E-5</v>
      </c>
      <c r="AI64" s="30">
        <f t="shared" si="106"/>
        <v>5.0266012448411566</v>
      </c>
      <c r="AJ64" s="30">
        <f t="shared" si="107"/>
        <v>20.526601244841157</v>
      </c>
      <c r="AK64" s="30">
        <f t="shared" si="108"/>
        <v>32.899999999999864</v>
      </c>
      <c r="AL64" s="31">
        <f t="shared" si="109"/>
        <v>7.9996039588167499E-5</v>
      </c>
      <c r="AM64" s="30">
        <f t="shared" si="110"/>
        <v>3.3138871374052137</v>
      </c>
      <c r="AN64" s="30">
        <f t="shared" si="111"/>
        <v>36.213887137405081</v>
      </c>
      <c r="AO64" s="30">
        <f t="shared" si="112"/>
        <v>46.700000000000045</v>
      </c>
      <c r="AP64" s="31">
        <f t="shared" si="113"/>
        <v>1.289451842149006E-4</v>
      </c>
      <c r="AQ64" s="30">
        <f t="shared" si="114"/>
        <v>11.234684432202148</v>
      </c>
      <c r="AR64" s="30">
        <f t="shared" si="115"/>
        <v>57.934684432202189</v>
      </c>
      <c r="AS64" s="92">
        <f t="shared" si="116"/>
        <v>129.5</v>
      </c>
      <c r="AT64" s="93">
        <f t="shared" si="69"/>
        <v>2.7338583030897171E-4</v>
      </c>
      <c r="AU64" s="94">
        <f t="shared" si="70"/>
        <v>32.388973433251607</v>
      </c>
      <c r="AV64" s="94">
        <f t="shared" si="71"/>
        <v>161.88897343325161</v>
      </c>
      <c r="AW64" s="103">
        <f t="shared" si="117"/>
        <v>119.40000000000009</v>
      </c>
      <c r="AX64" s="93">
        <f t="shared" si="118"/>
        <v>2.5740561228312009E-4</v>
      </c>
      <c r="AY64" s="103">
        <f t="shared" si="124"/>
        <v>26.598918853311922</v>
      </c>
      <c r="AZ64" s="103">
        <f t="shared" si="119"/>
        <v>145.99891885331201</v>
      </c>
      <c r="BA64" s="103">
        <f t="shared" si="120"/>
        <v>35.199999999999818</v>
      </c>
      <c r="BB64" s="90">
        <f t="shared" si="121"/>
        <v>1.0020639385684649E-4</v>
      </c>
      <c r="BC64" s="103">
        <f t="shared" si="122"/>
        <v>8.6618416870497441</v>
      </c>
      <c r="BD64" s="103">
        <f t="shared" si="123"/>
        <v>43.861841687049562</v>
      </c>
      <c r="BE64" s="103">
        <f t="shared" si="80"/>
        <v>59.100000000000136</v>
      </c>
      <c r="BF64" s="93">
        <f t="shared" si="81"/>
        <v>1.5329231825736704E-4</v>
      </c>
      <c r="BG64" s="103">
        <f t="shared" si="82"/>
        <v>11.911746678815602</v>
      </c>
      <c r="BH64" s="103">
        <f t="shared" si="83"/>
        <v>71.01174667881574</v>
      </c>
      <c r="BI64" s="103">
        <f t="shared" si="84"/>
        <v>95</v>
      </c>
      <c r="BJ64" s="90">
        <f t="shared" si="85"/>
        <v>1.9723729513091922E-4</v>
      </c>
      <c r="BK64" s="102">
        <f t="shared" si="86"/>
        <v>22.234495191801162</v>
      </c>
      <c r="BL64" s="102">
        <f t="shared" si="87"/>
        <v>117.23449519180116</v>
      </c>
      <c r="BM64" s="94">
        <f t="shared" si="88"/>
        <v>84.200000000000045</v>
      </c>
      <c r="BN64" s="90">
        <f t="shared" si="89"/>
        <v>2.1725537670289063E-4</v>
      </c>
      <c r="BO64" s="94">
        <f t="shared" si="90"/>
        <v>21.325281572127999</v>
      </c>
      <c r="BP64" s="94">
        <f t="shared" si="91"/>
        <v>105.52528157212805</v>
      </c>
      <c r="BQ64" s="94">
        <f t="shared" si="92"/>
        <v>97.399999999999864</v>
      </c>
      <c r="BR64" s="90">
        <f t="shared" si="93"/>
        <v>1.850243952005582E-4</v>
      </c>
      <c r="BS64" s="94">
        <f t="shared" si="94"/>
        <v>21.044476734008679</v>
      </c>
      <c r="BT64" s="94">
        <f t="shared" si="95"/>
        <v>118.44447673400855</v>
      </c>
    </row>
    <row r="65" spans="1:72">
      <c r="G65" s="5"/>
      <c r="Y65" s="110">
        <f>SUM(Y4:Y64)</f>
        <v>441724.06999999977</v>
      </c>
      <c r="Z65" s="1"/>
      <c r="AA65" s="1"/>
      <c r="AB65" s="111">
        <f>SUM(AB4:AB64)</f>
        <v>578690</v>
      </c>
      <c r="AC65" s="112">
        <f>SUM(AC4:AC64)</f>
        <v>355426.42999999988</v>
      </c>
      <c r="AD65" s="111"/>
      <c r="AE65" s="111"/>
      <c r="AF65" s="111">
        <f>SUM(AF4:AF64)</f>
        <v>362366.85999999975</v>
      </c>
      <c r="AG65" s="112">
        <f>SUM(AG4:AG64)</f>
        <v>290136.61000000034</v>
      </c>
      <c r="AH65" s="111"/>
      <c r="AI65" s="111"/>
      <c r="AJ65" s="111">
        <f>SUM(AJ4:AJ64)</f>
        <v>384227.00000000006</v>
      </c>
      <c r="AK65" s="110">
        <f>SUM(AK4:AK64)</f>
        <v>411270.35999999952</v>
      </c>
      <c r="AL65" s="1"/>
      <c r="AM65" s="1"/>
      <c r="AN65" s="111">
        <f>SUM(AN4:AN64)</f>
        <v>452696.00000000017</v>
      </c>
      <c r="AO65" s="110">
        <f>SUM(AO4:AO64)</f>
        <v>362169.4000000002</v>
      </c>
      <c r="AP65" s="1"/>
      <c r="AQ65" s="1"/>
      <c r="AR65" s="111">
        <f>SUM(AR4:AR64)</f>
        <v>449297.00000000006</v>
      </c>
      <c r="AS65" s="112">
        <f>SUM(AS4:AS64)</f>
        <v>473689.51000000018</v>
      </c>
      <c r="AV65" s="113">
        <f>SUM(AV4:AV64)</f>
        <v>592162.99999999988</v>
      </c>
      <c r="AW65" s="111">
        <f>SUM(AW4:AW64)</f>
        <v>463859.35</v>
      </c>
      <c r="AZ65" s="111">
        <f>SUM(AZ4:AZ64)</f>
        <v>567193.99999999988</v>
      </c>
      <c r="BA65" s="111">
        <f>SUM(BA4:BA64)</f>
        <v>351274.99000000005</v>
      </c>
      <c r="BD65" s="111">
        <f>SUM(BD4:BD64)</f>
        <v>437715.00000000023</v>
      </c>
      <c r="BE65" s="111">
        <f>SUM(BE4:BE64)</f>
        <v>385537.91000000003</v>
      </c>
      <c r="BH65" s="111">
        <f>SUM(BH4:BH64)</f>
        <v>463244.00000000017</v>
      </c>
      <c r="BI65" s="111">
        <f>SUM(BI4:BI64)</f>
        <v>481653.32999999984</v>
      </c>
      <c r="BL65" s="111">
        <f>SUM(BL4:BL64)</f>
        <v>594383.00000000035</v>
      </c>
      <c r="BM65" s="117">
        <f>SUM(BM4:BM64)</f>
        <v>387562.33000000013</v>
      </c>
      <c r="BP65" s="117">
        <f>SUM(BP4:BP64)</f>
        <v>485719.99999999994</v>
      </c>
      <c r="BQ65" s="117">
        <f>SUM(BQ4:BQ64)</f>
        <v>526417.06999999972</v>
      </c>
      <c r="BR65" s="115"/>
      <c r="BS65" s="115"/>
      <c r="BT65" s="117">
        <f>SUM(BT4:BT64)</f>
        <v>640156.00000000023</v>
      </c>
    </row>
    <row r="66" spans="1:72">
      <c r="G66" s="5"/>
    </row>
    <row r="67" spans="1:72">
      <c r="G67" s="5"/>
      <c r="R67" s="43" t="s">
        <v>175</v>
      </c>
      <c r="S67" s="43"/>
      <c r="T67" s="43"/>
      <c r="U67" s="43"/>
      <c r="V67" s="43"/>
      <c r="W67" s="43"/>
      <c r="X67" s="43"/>
      <c r="Y67" s="47">
        <f>C68-Y65</f>
        <v>136965.93000000023</v>
      </c>
      <c r="Z67" s="43"/>
      <c r="AA67" s="43"/>
      <c r="AB67" s="43"/>
      <c r="AC67" s="47">
        <f>AC65-C69</f>
        <v>6940.4299999998766</v>
      </c>
      <c r="AD67" s="43"/>
      <c r="AE67" s="43"/>
      <c r="AF67" s="43"/>
      <c r="AG67" s="47">
        <f>C70-AG65</f>
        <v>94090.389999999665</v>
      </c>
      <c r="AH67" s="43"/>
      <c r="AI67" s="43"/>
      <c r="AJ67" s="43"/>
      <c r="AK67" s="47">
        <f>C71-AK65</f>
        <v>41425.64000000048</v>
      </c>
      <c r="AL67" s="43"/>
      <c r="AM67" s="43"/>
      <c r="AN67" s="43"/>
      <c r="AO67" s="47">
        <f>C72-AO65</f>
        <v>87127.599999999802</v>
      </c>
      <c r="AP67" s="43"/>
      <c r="AQ67" s="43"/>
      <c r="AR67" s="43"/>
      <c r="AS67" s="114">
        <f>+C73-AS65</f>
        <v>118473.48999999982</v>
      </c>
      <c r="AT67" s="115"/>
      <c r="AU67" s="115"/>
      <c r="AV67" s="115"/>
      <c r="AW67" s="47">
        <f>+C74-AW65</f>
        <v>103334.65000000002</v>
      </c>
      <c r="AX67" s="115"/>
      <c r="AY67" s="115"/>
      <c r="AZ67" s="115"/>
      <c r="BA67" s="116">
        <f>+C75-BA65</f>
        <v>86440.009999999951</v>
      </c>
      <c r="BB67" s="115"/>
      <c r="BC67" s="115"/>
      <c r="BD67" s="115"/>
      <c r="BE67" s="116">
        <f>+C76-BE65</f>
        <v>77706.089999999967</v>
      </c>
      <c r="BF67" s="115"/>
      <c r="BG67" s="115"/>
      <c r="BH67" s="115"/>
      <c r="BI67" s="116">
        <f>+C77-BI65</f>
        <v>112729.67000000016</v>
      </c>
      <c r="BJ67" s="115"/>
      <c r="BK67" s="115"/>
      <c r="BL67" s="115"/>
      <c r="BM67" s="118">
        <f>C78-BM65</f>
        <v>98157.669999999867</v>
      </c>
      <c r="BN67" s="115"/>
      <c r="BO67" s="115"/>
      <c r="BP67" s="115"/>
      <c r="BQ67" s="118">
        <f>C79-BQ65</f>
        <v>113738.93000000028</v>
      </c>
    </row>
    <row r="68" spans="1:72">
      <c r="A68" s="41" t="s">
        <v>176</v>
      </c>
      <c r="B68" s="41"/>
      <c r="C68" s="42">
        <v>578690</v>
      </c>
      <c r="G68" s="5"/>
    </row>
    <row r="69" spans="1:72">
      <c r="A69" s="41" t="s">
        <v>177</v>
      </c>
      <c r="B69" s="41"/>
      <c r="C69" s="42">
        <v>348486</v>
      </c>
      <c r="G69" s="5"/>
    </row>
    <row r="70" spans="1:72">
      <c r="A70" s="41" t="s">
        <v>178</v>
      </c>
      <c r="B70" s="41"/>
      <c r="C70" s="42">
        <v>384227</v>
      </c>
      <c r="G70" s="5"/>
    </row>
    <row r="71" spans="1:72">
      <c r="A71" s="41" t="s">
        <v>179</v>
      </c>
      <c r="B71" s="41"/>
      <c r="C71" s="42">
        <v>452696</v>
      </c>
      <c r="G71" s="5"/>
    </row>
    <row r="72" spans="1:72">
      <c r="A72" s="41" t="s">
        <v>180</v>
      </c>
      <c r="B72" s="41"/>
      <c r="C72" s="42">
        <v>449297</v>
      </c>
      <c r="G72" s="5"/>
    </row>
    <row r="73" spans="1:72">
      <c r="A73" s="41" t="s">
        <v>181</v>
      </c>
      <c r="B73" s="41"/>
      <c r="C73" s="42">
        <v>592163</v>
      </c>
      <c r="G73" s="5"/>
    </row>
    <row r="74" spans="1:72">
      <c r="A74" s="41" t="s">
        <v>182</v>
      </c>
      <c r="B74" s="41"/>
      <c r="C74" s="42">
        <v>567194</v>
      </c>
      <c r="D74" s="6"/>
      <c r="G74" s="5"/>
    </row>
    <row r="75" spans="1:72">
      <c r="A75" s="41" t="s">
        <v>183</v>
      </c>
      <c r="B75" s="41"/>
      <c r="C75" s="42">
        <v>437715</v>
      </c>
      <c r="D75" s="6"/>
      <c r="G75" s="5"/>
    </row>
    <row r="76" spans="1:72">
      <c r="A76" s="41" t="s">
        <v>184</v>
      </c>
      <c r="B76" s="41"/>
      <c r="C76" s="42">
        <v>463244</v>
      </c>
      <c r="D76" s="6"/>
      <c r="G76" s="5"/>
    </row>
    <row r="77" spans="1:72">
      <c r="A77" s="41" t="s">
        <v>185</v>
      </c>
      <c r="B77" s="41"/>
      <c r="C77" s="42">
        <v>594383</v>
      </c>
      <c r="G77" s="5"/>
    </row>
    <row r="78" spans="1:72">
      <c r="A78" s="41" t="s">
        <v>186</v>
      </c>
      <c r="B78" s="41"/>
      <c r="C78" s="42">
        <v>485720</v>
      </c>
      <c r="G78" s="5"/>
    </row>
    <row r="79" spans="1:72">
      <c r="A79" s="41" t="s">
        <v>187</v>
      </c>
      <c r="B79" s="41"/>
      <c r="C79" s="42">
        <v>640156</v>
      </c>
      <c r="G79" s="5"/>
    </row>
  </sheetData>
  <autoFilter ref="A3:R79" xr:uid="{00000000-0009-0000-0000-000000000000}"/>
  <customSheetViews>
    <customSheetView guid="{7D54147B-341B-432F-8DB9-178A11337E4D}" showAutoFilter="1" hiddenRows="1" hiddenColumns="1">
      <pageMargins left="0.7" right="0.7" top="0.75" bottom="0.75" header="0.3" footer="0.3"/>
      <autoFilter ref="A3:R63" xr:uid="{CE158445-A4DB-4E9F-8617-AF93B667F714}"/>
    </customSheetView>
  </customSheetViews>
  <mergeCells count="1">
    <mergeCell ref="A2:B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V79"/>
  <sheetViews>
    <sheetView tabSelected="1" topLeftCell="O1" zoomScale="115" zoomScaleNormal="115" workbookViewId="0">
      <pane ySplit="1" topLeftCell="A2" activePane="bottomLeft" state="frozen"/>
      <selection activeCell="D51" sqref="A8:XFD51"/>
      <selection pane="bottomLeft" activeCell="B61" sqref="A61:XFD63"/>
    </sheetView>
  </sheetViews>
  <sheetFormatPr defaultColWidth="10.28515625" defaultRowHeight="12.75"/>
  <cols>
    <col min="1" max="1" width="11.5703125" customWidth="1"/>
    <col min="2" max="2" width="11.7109375"/>
    <col min="3" max="3" width="26.140625" style="5" customWidth="1"/>
    <col min="4" max="4" width="16.5703125" style="3" customWidth="1"/>
    <col min="5" max="5" width="24.140625" style="6" customWidth="1"/>
    <col min="6" max="6" width="20.7109375" style="5" customWidth="1"/>
    <col min="7" max="7" width="48.7109375" style="7" customWidth="1"/>
    <col min="8" max="8" width="18.5703125" hidden="1" customWidth="1"/>
    <col min="9" max="11" width="18.5703125" customWidth="1"/>
    <col min="12" max="14" width="15.140625" hidden="1" customWidth="1"/>
    <col min="15" max="17" width="15.140625" customWidth="1"/>
    <col min="18" max="18" width="17.28515625" bestFit="1" customWidth="1"/>
    <col min="19" max="19" width="17.28515625" customWidth="1"/>
    <col min="20" max="20" width="15.140625" customWidth="1"/>
    <col min="21" max="21" width="15.28515625" hidden="1" customWidth="1"/>
    <col min="22" max="23" width="12.5703125" hidden="1" customWidth="1"/>
    <col min="24" max="24" width="14.28515625" customWidth="1"/>
    <col min="25" max="27" width="14.42578125" hidden="1" customWidth="1"/>
    <col min="28" max="28" width="14.42578125" style="3" customWidth="1"/>
    <col min="29" max="30" width="0" style="3" hidden="1" customWidth="1"/>
    <col min="31" max="31" width="11.42578125" style="3" hidden="1" customWidth="1"/>
    <col min="32" max="32" width="10.28515625" style="3"/>
    <col min="33" max="35" width="10.28515625" style="3" hidden="1" customWidth="1"/>
    <col min="36" max="36" width="10.28515625" style="3"/>
    <col min="37" max="39" width="0" style="3" hidden="1" customWidth="1"/>
    <col min="40" max="40" width="10.28515625" style="3"/>
    <col min="41" max="41" width="13.42578125" hidden="1" customWidth="1"/>
    <col min="42" max="43" width="0" hidden="1" customWidth="1"/>
    <col min="44" max="44" width="13.140625" customWidth="1"/>
    <col min="45" max="45" width="12" customWidth="1"/>
    <col min="47" max="47" width="11.7109375" customWidth="1"/>
    <col min="48" max="48" width="12.42578125" customWidth="1"/>
  </cols>
  <sheetData>
    <row r="2" spans="1:48" ht="27" customHeight="1">
      <c r="A2" s="158" t="s">
        <v>0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 spans="1:48" ht="33.75" customHeight="1">
      <c r="A3" s="8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24</v>
      </c>
      <c r="I3" s="22" t="s">
        <v>188</v>
      </c>
      <c r="J3" s="23" t="s">
        <v>189</v>
      </c>
      <c r="K3" s="121" t="s">
        <v>204</v>
      </c>
      <c r="L3" s="24" t="s">
        <v>25</v>
      </c>
      <c r="M3" s="25" t="s">
        <v>26</v>
      </c>
      <c r="N3" s="25" t="s">
        <v>27</v>
      </c>
      <c r="O3" s="121" t="s">
        <v>206</v>
      </c>
      <c r="P3" s="136" t="s">
        <v>208</v>
      </c>
      <c r="Q3" s="139" t="s">
        <v>225</v>
      </c>
      <c r="R3" s="121" t="s">
        <v>227</v>
      </c>
      <c r="S3" s="121" t="s">
        <v>229</v>
      </c>
      <c r="T3" s="24" t="s">
        <v>25</v>
      </c>
      <c r="U3" s="26" t="s">
        <v>190</v>
      </c>
      <c r="V3" s="27" t="s">
        <v>26</v>
      </c>
      <c r="W3" s="148" t="s">
        <v>27</v>
      </c>
      <c r="X3" s="151" t="s">
        <v>190</v>
      </c>
      <c r="Y3" s="152" t="s">
        <v>202</v>
      </c>
      <c r="Z3" s="152" t="s">
        <v>26</v>
      </c>
      <c r="AA3" s="152" t="s">
        <v>27</v>
      </c>
      <c r="AB3" s="152" t="s">
        <v>203</v>
      </c>
      <c r="AC3" s="153" t="s">
        <v>205</v>
      </c>
      <c r="AD3" s="153" t="s">
        <v>26</v>
      </c>
      <c r="AE3" s="153" t="s">
        <v>27</v>
      </c>
      <c r="AF3" s="153" t="s">
        <v>205</v>
      </c>
      <c r="AG3" s="154" t="s">
        <v>207</v>
      </c>
      <c r="AH3" s="154" t="s">
        <v>26</v>
      </c>
      <c r="AI3" s="154" t="s">
        <v>27</v>
      </c>
      <c r="AJ3" s="154" t="s">
        <v>207</v>
      </c>
      <c r="AK3" s="155" t="s">
        <v>226</v>
      </c>
      <c r="AL3" s="155" t="s">
        <v>26</v>
      </c>
      <c r="AM3" s="155" t="s">
        <v>27</v>
      </c>
      <c r="AN3" s="155" t="s">
        <v>226</v>
      </c>
      <c r="AO3" s="156" t="s">
        <v>226</v>
      </c>
      <c r="AP3" s="156" t="s">
        <v>26</v>
      </c>
      <c r="AQ3" s="156" t="s">
        <v>27</v>
      </c>
      <c r="AR3" s="156" t="s">
        <v>226</v>
      </c>
      <c r="AS3" s="163" t="s">
        <v>228</v>
      </c>
      <c r="AT3" s="163" t="s">
        <v>26</v>
      </c>
      <c r="AU3" s="163" t="s">
        <v>27</v>
      </c>
      <c r="AV3" s="163" t="s">
        <v>228</v>
      </c>
    </row>
    <row r="4" spans="1:48" ht="13.5" customHeight="1">
      <c r="A4" s="11">
        <v>1</v>
      </c>
      <c r="B4" s="11" t="s">
        <v>39</v>
      </c>
      <c r="C4" s="12" t="s">
        <v>40</v>
      </c>
      <c r="D4" s="13" t="s">
        <v>41</v>
      </c>
      <c r="E4" s="13" t="s">
        <v>42</v>
      </c>
      <c r="F4" s="14" t="s">
        <v>43</v>
      </c>
      <c r="G4" s="14" t="s">
        <v>44</v>
      </c>
      <c r="H4" s="15">
        <v>384535.44</v>
      </c>
      <c r="I4" s="28">
        <v>402138.72</v>
      </c>
      <c r="J4" s="29">
        <v>410298.48</v>
      </c>
      <c r="K4" s="29">
        <v>417182.88</v>
      </c>
      <c r="L4" s="30">
        <f>I4-H4</f>
        <v>17603.27999999997</v>
      </c>
      <c r="M4" s="31">
        <f>L4/$L$66</f>
        <v>3.8588951862653965E-2</v>
      </c>
      <c r="N4" s="30">
        <f>M4*$L$68</f>
        <v>3696.0849253511997</v>
      </c>
      <c r="O4" s="29">
        <v>428359.92</v>
      </c>
      <c r="P4" s="137">
        <v>439523.28</v>
      </c>
      <c r="Q4" s="28">
        <v>453208.09</v>
      </c>
      <c r="R4" s="157">
        <v>474438.24</v>
      </c>
      <c r="S4" s="157">
        <v>478928.88</v>
      </c>
      <c r="T4" s="30">
        <f t="shared" ref="T4:T35" si="0">L4+N4</f>
        <v>21299.364925351168</v>
      </c>
      <c r="U4" s="32">
        <f t="shared" ref="U4:U35" si="1">J4-I4</f>
        <v>8159.7600000000093</v>
      </c>
      <c r="V4" s="31">
        <f>U4/$U$66</f>
        <v>2.3771982228522268E-2</v>
      </c>
      <c r="W4" s="149">
        <f t="shared" ref="W4:W35" si="2">V4*$U$68</f>
        <v>2076.6694954417358</v>
      </c>
      <c r="X4" s="33">
        <f>W4+U4</f>
        <v>10236.429495441746</v>
      </c>
      <c r="Y4" s="125">
        <f>K4-J4</f>
        <v>6884.4000000000233</v>
      </c>
      <c r="Z4" s="126">
        <f>Y4/$Y$66</f>
        <v>1.9440177445412665E-2</v>
      </c>
      <c r="AA4" s="127">
        <f>Z4*$Y$68</f>
        <v>2654.8756322865261</v>
      </c>
      <c r="AB4" s="144">
        <f>AA4+Y4</f>
        <v>9539.2756322865498</v>
      </c>
      <c r="AC4" s="33">
        <f>O4-K4</f>
        <v>11177.039999999979</v>
      </c>
      <c r="AD4" s="145">
        <f>AC4/$AC$66</f>
        <v>3.2463596506909678E-2</v>
      </c>
      <c r="AE4" s="144">
        <f>AD4*$AC$68</f>
        <v>3733.1652396585669</v>
      </c>
      <c r="AF4" s="144">
        <f>AE4+AC4</f>
        <v>14910.205239658546</v>
      </c>
      <c r="AG4" s="33">
        <f>P4-O4</f>
        <v>11163.360000000044</v>
      </c>
      <c r="AH4" s="145">
        <f>AG4/$AG$66</f>
        <v>3.0180142306826245E-2</v>
      </c>
      <c r="AI4" s="144">
        <f>AH4*$AG$68</f>
        <v>4067.5920577013439</v>
      </c>
      <c r="AJ4" s="144">
        <f>AI4+AG4</f>
        <v>15230.952057701388</v>
      </c>
      <c r="AK4" s="33">
        <f>Q4-P4</f>
        <v>13684.809999999998</v>
      </c>
      <c r="AL4" s="145">
        <f>AK4/$AK$66</f>
        <v>2.7306120163681769E-2</v>
      </c>
      <c r="AM4" s="144">
        <f>AL4*$AK$68</f>
        <v>4015.8908859437634</v>
      </c>
      <c r="AN4" s="144">
        <f>AM4+AK4</f>
        <v>17700.700885943763</v>
      </c>
      <c r="AO4" s="125">
        <f>R4-Q4</f>
        <v>21230.149999999965</v>
      </c>
      <c r="AP4" s="145">
        <f>AO4/$AO$66</f>
        <v>3.8245462616855581E-2</v>
      </c>
      <c r="AQ4" s="41">
        <f>AP4*$AO$68</f>
        <v>4222.8555443819114</v>
      </c>
      <c r="AR4" s="125">
        <f>AQ4+AO4</f>
        <v>25453.005544381878</v>
      </c>
      <c r="AS4" s="164">
        <f>S4-R4</f>
        <v>4490.640000000014</v>
      </c>
      <c r="AT4" s="145">
        <f>AS4/$AS$66</f>
        <v>9.2511386755296122E-3</v>
      </c>
      <c r="AU4" s="127">
        <f>AT4*$AS$68</f>
        <v>1057.8969411450305</v>
      </c>
      <c r="AV4" s="164">
        <f>AU4+AS4</f>
        <v>5548.5369411450447</v>
      </c>
    </row>
    <row r="5" spans="1:48" ht="13.5">
      <c r="A5" s="16">
        <v>2</v>
      </c>
      <c r="B5" s="16" t="s">
        <v>39</v>
      </c>
      <c r="C5" s="17" t="s">
        <v>40</v>
      </c>
      <c r="D5" s="13" t="s">
        <v>41</v>
      </c>
      <c r="E5" s="18" t="s">
        <v>42</v>
      </c>
      <c r="F5" s="19" t="s">
        <v>45</v>
      </c>
      <c r="G5" s="19" t="s">
        <v>46</v>
      </c>
      <c r="H5" s="15">
        <v>491340</v>
      </c>
      <c r="I5" s="28">
        <v>507735.6</v>
      </c>
      <c r="J5" s="29">
        <v>518519.6</v>
      </c>
      <c r="K5" s="29">
        <v>525987.19999999995</v>
      </c>
      <c r="L5" s="30">
        <f t="shared" ref="L5:L36" si="3">I5-H5</f>
        <v>16395.599999999977</v>
      </c>
      <c r="M5" s="31">
        <f t="shared" ref="M5:M36" si="4">L5/$L$66</f>
        <v>3.5941541528586127E-2</v>
      </c>
      <c r="N5" s="30">
        <f t="shared" ref="N5:N65" si="5">M5*$L$68</f>
        <v>3442.5135544107775</v>
      </c>
      <c r="O5" s="29">
        <v>538704.76</v>
      </c>
      <c r="P5" s="137">
        <v>551435.19999999995</v>
      </c>
      <c r="Q5" s="28">
        <v>567359.18999999994</v>
      </c>
      <c r="R5" s="157">
        <v>590008.4</v>
      </c>
      <c r="S5" s="157">
        <v>597438</v>
      </c>
      <c r="T5" s="30">
        <f t="shared" si="0"/>
        <v>19838.113554410753</v>
      </c>
      <c r="U5" s="33">
        <f t="shared" si="1"/>
        <v>10784</v>
      </c>
      <c r="V5" s="31">
        <f t="shared" ref="V5:V36" si="6">U5/$U$66</f>
        <v>3.1417229961712582E-2</v>
      </c>
      <c r="W5" s="150">
        <f t="shared" si="2"/>
        <v>2744.5419765830925</v>
      </c>
      <c r="X5" s="33">
        <f t="shared" ref="X5:X36" si="7">W5+U5</f>
        <v>13528.541976583092</v>
      </c>
      <c r="Y5" s="125">
        <f t="shared" ref="Y5:Y35" si="8">K5-J5</f>
        <v>7467.5999999999767</v>
      </c>
      <c r="Z5" s="126">
        <f t="shared" ref="Z5:Z65" si="9">Y5/$Y$66</f>
        <v>2.1087018344570722E-2</v>
      </c>
      <c r="AA5" s="127">
        <f t="shared" ref="AA5:AA65" si="10">Z5*$Y$68</f>
        <v>2879.7788146625321</v>
      </c>
      <c r="AB5" s="144">
        <f t="shared" ref="AB5:AB65" si="11">AA5+Y5</f>
        <v>10347.378814662508</v>
      </c>
      <c r="AC5" s="33">
        <f t="shared" ref="AC5:AC65" si="12">O5-K5</f>
        <v>12717.560000000056</v>
      </c>
      <c r="AD5" s="145">
        <f t="shared" ref="AD5:AD65" si="13">AC5/$AC$66</f>
        <v>3.6938020834891602E-2</v>
      </c>
      <c r="AE5" s="144">
        <f t="shared" ref="AE5:AE65" si="14">AD5*$AC$68</f>
        <v>4247.7035892573076</v>
      </c>
      <c r="AF5" s="144">
        <f t="shared" ref="AF5:AF65" si="15">AE5+AC5</f>
        <v>16965.263589257363</v>
      </c>
      <c r="AG5" s="33">
        <f t="shared" ref="AG5:AG65" si="16">P5-O5</f>
        <v>12730.439999999944</v>
      </c>
      <c r="AH5" s="145">
        <f t="shared" ref="AH5:AH65" si="17">AG5/$AG$66</f>
        <v>3.4416742882833654E-2</v>
      </c>
      <c r="AI5" s="144">
        <f t="shared" ref="AI5:AI65" si="18">AH5*$AG$68</f>
        <v>4638.588797193951</v>
      </c>
      <c r="AJ5" s="144">
        <f t="shared" ref="AJ5:AJ64" si="19">AI5+AG5</f>
        <v>17369.028797193896</v>
      </c>
      <c r="AK5" s="33">
        <f t="shared" ref="AK5:AK65" si="20">Q5-P5</f>
        <v>15923.989999999991</v>
      </c>
      <c r="AL5" s="145">
        <f t="shared" ref="AL5:AL65" si="21">AK5/$AK$66</f>
        <v>3.1774089989211884E-2</v>
      </c>
      <c r="AM5" s="144">
        <f t="shared" ref="AM5:AM65" si="22">AL5*$AK$68</f>
        <v>4672.9919018868077</v>
      </c>
      <c r="AN5" s="144">
        <f t="shared" ref="AN5:AN65" si="23">AM5+AK5</f>
        <v>20596.9819018868</v>
      </c>
      <c r="AO5" s="125">
        <f t="shared" ref="AO5:AO65" si="24">R5-Q5</f>
        <v>22649.210000000079</v>
      </c>
      <c r="AP5" s="145">
        <f t="shared" ref="AP5:AP65" si="25">AO5/$AO$66</f>
        <v>4.0801855585397E-2</v>
      </c>
      <c r="AQ5" s="41">
        <f t="shared" ref="AQ5:AQ65" si="26">AP5*$AO$68</f>
        <v>4505.1185236265746</v>
      </c>
      <c r="AR5" s="125">
        <f t="shared" ref="AR5:AR65" si="27">AQ5+AO5</f>
        <v>27154.328523626653</v>
      </c>
      <c r="AS5" s="164">
        <f t="shared" ref="AS5:AS65" si="28">S5-R5</f>
        <v>7429.5999999999767</v>
      </c>
      <c r="AT5" s="145">
        <f t="shared" ref="AT5:AT65" si="29">AS5/$AS$66</f>
        <v>1.5305671330526245E-2</v>
      </c>
      <c r="AU5" s="127">
        <f t="shared" ref="AU5:AU65" si="30">AT5*$AS$68</f>
        <v>1750.2518825670882</v>
      </c>
      <c r="AV5" s="164">
        <f t="shared" ref="AV5:AV65" si="31">AU5+AS5</f>
        <v>9179.8518825670653</v>
      </c>
    </row>
    <row r="6" spans="1:48" ht="13.5">
      <c r="A6" s="11">
        <v>3</v>
      </c>
      <c r="B6" s="16" t="s">
        <v>39</v>
      </c>
      <c r="C6" s="17" t="s">
        <v>40</v>
      </c>
      <c r="D6" s="13" t="s">
        <v>41</v>
      </c>
      <c r="E6" s="18" t="s">
        <v>42</v>
      </c>
      <c r="F6" s="19" t="s">
        <v>47</v>
      </c>
      <c r="G6" s="19" t="s">
        <v>48</v>
      </c>
      <c r="H6" s="15">
        <v>886536.4</v>
      </c>
      <c r="I6" s="28">
        <v>913890.48</v>
      </c>
      <c r="J6" s="29">
        <v>932226.08</v>
      </c>
      <c r="K6" s="29">
        <v>945622.32</v>
      </c>
      <c r="L6" s="30">
        <f t="shared" si="3"/>
        <v>27354.079999999958</v>
      </c>
      <c r="M6" s="31">
        <f t="shared" si="4"/>
        <v>5.9964124661266868E-2</v>
      </c>
      <c r="N6" s="30">
        <f t="shared" si="5"/>
        <v>5743.4184274095951</v>
      </c>
      <c r="O6" s="29">
        <v>967677.92</v>
      </c>
      <c r="P6" s="137">
        <v>989096.48</v>
      </c>
      <c r="Q6" s="28">
        <v>1016622.38</v>
      </c>
      <c r="R6" s="157">
        <v>1047075</v>
      </c>
      <c r="S6" s="157">
        <v>1058488.5</v>
      </c>
      <c r="T6" s="30">
        <f t="shared" si="0"/>
        <v>33097.498427409555</v>
      </c>
      <c r="U6" s="33">
        <f t="shared" si="1"/>
        <v>18335.599999999977</v>
      </c>
      <c r="V6" s="31">
        <f t="shared" si="6"/>
        <v>5.3417448227557167E-2</v>
      </c>
      <c r="W6" s="150">
        <f t="shared" si="2"/>
        <v>4666.4339638201864</v>
      </c>
      <c r="X6" s="33">
        <f t="shared" si="7"/>
        <v>23002.033963820162</v>
      </c>
      <c r="Y6" s="125">
        <f t="shared" si="8"/>
        <v>13396.239999999991</v>
      </c>
      <c r="Z6" s="126">
        <f t="shared" si="9"/>
        <v>3.782831949063592E-2</v>
      </c>
      <c r="AA6" s="127">
        <f t="shared" si="10"/>
        <v>5166.0785457355632</v>
      </c>
      <c r="AB6" s="144">
        <f t="shared" si="11"/>
        <v>18562.318545735554</v>
      </c>
      <c r="AC6" s="33">
        <f t="shared" si="12"/>
        <v>22055.600000000093</v>
      </c>
      <c r="AD6" s="145">
        <f t="shared" si="13"/>
        <v>6.4060260956192466E-2</v>
      </c>
      <c r="AE6" s="144">
        <f t="shared" si="14"/>
        <v>7366.6372545695449</v>
      </c>
      <c r="AF6" s="144">
        <f t="shared" si="15"/>
        <v>29422.237254569638</v>
      </c>
      <c r="AG6" s="33">
        <f t="shared" si="16"/>
        <v>21418.559999999939</v>
      </c>
      <c r="AH6" s="145">
        <f t="shared" si="17"/>
        <v>5.7905074171870477E-2</v>
      </c>
      <c r="AI6" s="144">
        <f t="shared" si="18"/>
        <v>7804.2779721695897</v>
      </c>
      <c r="AJ6" s="144">
        <f t="shared" si="19"/>
        <v>29222.837972169531</v>
      </c>
      <c r="AK6" s="33">
        <f t="shared" si="20"/>
        <v>27525.900000000023</v>
      </c>
      <c r="AL6" s="145">
        <f t="shared" si="21"/>
        <v>5.4924075161693058E-2</v>
      </c>
      <c r="AM6" s="144">
        <f t="shared" si="22"/>
        <v>8077.6430902145912</v>
      </c>
      <c r="AN6" s="144">
        <f t="shared" si="23"/>
        <v>35603.543090214618</v>
      </c>
      <c r="AO6" s="125">
        <f t="shared" si="24"/>
        <v>30452.619999999995</v>
      </c>
      <c r="AP6" s="145">
        <f t="shared" si="25"/>
        <v>5.4859458826023853E-2</v>
      </c>
      <c r="AQ6" s="41">
        <f t="shared" si="26"/>
        <v>6057.2824595189222</v>
      </c>
      <c r="AR6" s="125">
        <f t="shared" si="27"/>
        <v>36509.902459518918</v>
      </c>
      <c r="AS6" s="164">
        <f t="shared" si="28"/>
        <v>11413.5</v>
      </c>
      <c r="AT6" s="145">
        <f t="shared" si="29"/>
        <v>2.351287818065062E-2</v>
      </c>
      <c r="AU6" s="127">
        <f t="shared" si="30"/>
        <v>2688.7719206524612</v>
      </c>
      <c r="AV6" s="164">
        <f t="shared" si="31"/>
        <v>14102.271920652462</v>
      </c>
    </row>
    <row r="7" spans="1:48" ht="40.5">
      <c r="A7" s="16">
        <v>4</v>
      </c>
      <c r="B7" s="16" t="s">
        <v>49</v>
      </c>
      <c r="C7" s="17" t="s">
        <v>50</v>
      </c>
      <c r="D7" s="13" t="s">
        <v>41</v>
      </c>
      <c r="E7" s="20" t="s">
        <v>49</v>
      </c>
      <c r="F7" s="19" t="s">
        <v>51</v>
      </c>
      <c r="G7" s="19" t="s">
        <v>52</v>
      </c>
      <c r="H7" s="15">
        <v>292377.08</v>
      </c>
      <c r="I7" s="28">
        <v>303533.75</v>
      </c>
      <c r="J7" s="29">
        <v>312792.23</v>
      </c>
      <c r="K7" s="29">
        <v>322928.32</v>
      </c>
      <c r="L7" s="30">
        <f t="shared" si="3"/>
        <v>11156.669999999984</v>
      </c>
      <c r="M7" s="31">
        <f t="shared" si="4"/>
        <v>2.4457044458618835E-2</v>
      </c>
      <c r="N7" s="30">
        <f t="shared" si="5"/>
        <v>2342.5179741569746</v>
      </c>
      <c r="O7" s="29">
        <v>331321.75</v>
      </c>
      <c r="P7" s="137">
        <v>338421.94</v>
      </c>
      <c r="Q7" s="28">
        <v>352418.09</v>
      </c>
      <c r="R7" s="157">
        <v>367509.39</v>
      </c>
      <c r="S7" s="157">
        <v>378028.2</v>
      </c>
      <c r="T7" s="30">
        <f t="shared" si="0"/>
        <v>13499.187974156957</v>
      </c>
      <c r="U7" s="33">
        <f t="shared" si="1"/>
        <v>9258.4799999999814</v>
      </c>
      <c r="V7" s="31">
        <f t="shared" si="6"/>
        <v>2.6972903862751866E-2</v>
      </c>
      <c r="W7" s="150">
        <f t="shared" si="2"/>
        <v>2356.2951594357364</v>
      </c>
      <c r="X7" s="33">
        <f t="shared" si="7"/>
        <v>11614.775159435718</v>
      </c>
      <c r="Y7" s="125">
        <f t="shared" si="8"/>
        <v>10136.090000000026</v>
      </c>
      <c r="Z7" s="126">
        <f t="shared" si="9"/>
        <v>2.8622303788663164E-2</v>
      </c>
      <c r="AA7" s="127">
        <f t="shared" si="10"/>
        <v>3908.845846793201</v>
      </c>
      <c r="AB7" s="144">
        <f t="shared" si="11"/>
        <v>14044.935846793227</v>
      </c>
      <c r="AC7" s="33">
        <f t="shared" si="12"/>
        <v>8393.429999999993</v>
      </c>
      <c r="AD7" s="145">
        <f t="shared" si="13"/>
        <v>2.4378630194487196E-2</v>
      </c>
      <c r="AE7" s="144">
        <f t="shared" si="14"/>
        <v>2803.4310620260312</v>
      </c>
      <c r="AF7" s="144">
        <f t="shared" si="15"/>
        <v>11196.861062026024</v>
      </c>
      <c r="AG7" s="33">
        <f t="shared" si="16"/>
        <v>7100.1900000000023</v>
      </c>
      <c r="AH7" s="145">
        <f t="shared" si="17"/>
        <v>1.9195362740743276E-2</v>
      </c>
      <c r="AI7" s="144">
        <f t="shared" si="18"/>
        <v>2587.0953236454257</v>
      </c>
      <c r="AJ7" s="144">
        <f t="shared" si="19"/>
        <v>9687.2853236454284</v>
      </c>
      <c r="AK7" s="33">
        <f t="shared" si="20"/>
        <v>13996.150000000023</v>
      </c>
      <c r="AL7" s="145">
        <f t="shared" si="21"/>
        <v>2.7927355493347392E-2</v>
      </c>
      <c r="AM7" s="144">
        <f t="shared" si="22"/>
        <v>4107.2555061635421</v>
      </c>
      <c r="AN7" s="144">
        <f t="shared" si="23"/>
        <v>18103.405506163566</v>
      </c>
      <c r="AO7" s="125">
        <f t="shared" si="24"/>
        <v>15091.299999999988</v>
      </c>
      <c r="AP7" s="145">
        <f t="shared" si="25"/>
        <v>2.7186513048176916E-2</v>
      </c>
      <c r="AQ7" s="41">
        <f t="shared" si="26"/>
        <v>3001.7866042835681</v>
      </c>
      <c r="AR7" s="125">
        <f t="shared" si="27"/>
        <v>18093.086604283555</v>
      </c>
      <c r="AS7" s="164">
        <f t="shared" si="28"/>
        <v>10518.809999999998</v>
      </c>
      <c r="AT7" s="145">
        <f t="shared" si="29"/>
        <v>2.1669733047304462E-2</v>
      </c>
      <c r="AU7" s="127">
        <f t="shared" si="30"/>
        <v>2478.0024503157056</v>
      </c>
      <c r="AV7" s="164">
        <f t="shared" si="31"/>
        <v>12996.812450315703</v>
      </c>
    </row>
    <row r="8" spans="1:48" ht="13.5">
      <c r="A8" s="11">
        <v>5</v>
      </c>
      <c r="B8" s="16" t="s">
        <v>39</v>
      </c>
      <c r="C8" s="17" t="s">
        <v>40</v>
      </c>
      <c r="D8" s="13" t="s">
        <v>41</v>
      </c>
      <c r="E8" s="18" t="s">
        <v>42</v>
      </c>
      <c r="F8" s="19" t="s">
        <v>53</v>
      </c>
      <c r="G8" s="19" t="s">
        <v>54</v>
      </c>
      <c r="H8" s="15">
        <v>18944.650000000001</v>
      </c>
      <c r="I8" s="28">
        <v>19737.3</v>
      </c>
      <c r="J8" s="29">
        <v>20000.05</v>
      </c>
      <c r="K8" s="29">
        <v>20089.8</v>
      </c>
      <c r="L8" s="30">
        <f t="shared" si="3"/>
        <v>792.64999999999782</v>
      </c>
      <c r="M8" s="31">
        <f t="shared" si="4"/>
        <v>1.7376041677421841E-3</v>
      </c>
      <c r="N8" s="30">
        <f t="shared" si="5"/>
        <v>166.4293084061394</v>
      </c>
      <c r="O8" s="29">
        <v>20167.849999999999</v>
      </c>
      <c r="P8" s="137">
        <v>20240.150000000001</v>
      </c>
      <c r="Q8" s="28">
        <v>20458.2</v>
      </c>
      <c r="R8" s="157">
        <v>20586</v>
      </c>
      <c r="S8" s="157">
        <v>20637.55</v>
      </c>
      <c r="T8" s="30">
        <f t="shared" si="0"/>
        <v>959.07930840613722</v>
      </c>
      <c r="U8" s="33">
        <f t="shared" si="1"/>
        <v>262.75</v>
      </c>
      <c r="V8" s="31">
        <f t="shared" si="6"/>
        <v>7.6547451524851446E-4</v>
      </c>
      <c r="W8" s="150">
        <f t="shared" si="2"/>
        <v>66.870215536647578</v>
      </c>
      <c r="X8" s="33">
        <f t="shared" si="7"/>
        <v>329.62021553664761</v>
      </c>
      <c r="Y8" s="125">
        <f t="shared" si="8"/>
        <v>89.75</v>
      </c>
      <c r="Z8" s="126">
        <f t="shared" si="9"/>
        <v>2.5343616375076707E-4</v>
      </c>
      <c r="AA8" s="127">
        <f t="shared" si="10"/>
        <v>34.610872116337653</v>
      </c>
      <c r="AB8" s="144">
        <f t="shared" si="11"/>
        <v>124.36087211633765</v>
      </c>
      <c r="AC8" s="33">
        <f t="shared" si="12"/>
        <v>78.049999999999272</v>
      </c>
      <c r="AD8" s="145">
        <f t="shared" si="13"/>
        <v>2.2669541375572435E-4</v>
      </c>
      <c r="AE8" s="144">
        <f t="shared" si="14"/>
        <v>26.068936583867369</v>
      </c>
      <c r="AF8" s="144">
        <f t="shared" si="15"/>
        <v>104.11893658386664</v>
      </c>
      <c r="AG8" s="33">
        <f t="shared" si="16"/>
        <v>72.30000000000291</v>
      </c>
      <c r="AH8" s="145">
        <f t="shared" si="17"/>
        <v>1.9546304058846233E-4</v>
      </c>
      <c r="AI8" s="144">
        <f t="shared" si="18"/>
        <v>26.343941767695195</v>
      </c>
      <c r="AJ8" s="144">
        <f t="shared" si="19"/>
        <v>98.643941767698109</v>
      </c>
      <c r="AK8" s="33">
        <f t="shared" si="20"/>
        <v>218.04999999999927</v>
      </c>
      <c r="AL8" s="145">
        <f t="shared" si="21"/>
        <v>4.3508821106692683E-4</v>
      </c>
      <c r="AM8" s="144">
        <f t="shared" si="22"/>
        <v>63.988101236336846</v>
      </c>
      <c r="AN8" s="144">
        <f t="shared" si="23"/>
        <v>282.0381012363361</v>
      </c>
      <c r="AO8" s="125">
        <f t="shared" si="24"/>
        <v>127.79999999999927</v>
      </c>
      <c r="AP8" s="145">
        <f t="shared" si="25"/>
        <v>2.3022777146813016E-4</v>
      </c>
      <c r="AQ8" s="41">
        <f t="shared" si="26"/>
        <v>25.420495784156309</v>
      </c>
      <c r="AR8" s="125">
        <f t="shared" si="27"/>
        <v>153.22049578415559</v>
      </c>
      <c r="AS8" s="164">
        <f t="shared" si="28"/>
        <v>51.549999999999272</v>
      </c>
      <c r="AT8" s="145">
        <f t="shared" si="29"/>
        <v>1.0619782452468763E-4</v>
      </c>
      <c r="AU8" s="127">
        <f t="shared" si="30"/>
        <v>12.144056819523582</v>
      </c>
      <c r="AV8" s="164">
        <f t="shared" si="31"/>
        <v>63.694056819522856</v>
      </c>
    </row>
    <row r="9" spans="1:48" ht="40.5">
      <c r="A9" s="16">
        <v>6</v>
      </c>
      <c r="B9" s="16" t="s">
        <v>49</v>
      </c>
      <c r="C9" s="17" t="s">
        <v>50</v>
      </c>
      <c r="D9" s="13" t="s">
        <v>41</v>
      </c>
      <c r="E9" s="20" t="s">
        <v>49</v>
      </c>
      <c r="F9" s="19" t="s">
        <v>55</v>
      </c>
      <c r="G9" s="19" t="s">
        <v>56</v>
      </c>
      <c r="H9" s="15">
        <v>91991.54</v>
      </c>
      <c r="I9" s="28">
        <v>94480.67</v>
      </c>
      <c r="J9" s="29">
        <v>96849.57</v>
      </c>
      <c r="K9" s="29">
        <v>99075.42</v>
      </c>
      <c r="L9" s="30">
        <f t="shared" si="3"/>
        <v>2489.1300000000047</v>
      </c>
      <c r="M9" s="31">
        <f t="shared" si="4"/>
        <v>5.456535245129783E-3</v>
      </c>
      <c r="N9" s="30">
        <f t="shared" si="5"/>
        <v>522.63191122560477</v>
      </c>
      <c r="O9" s="29">
        <v>101697.15</v>
      </c>
      <c r="P9" s="137">
        <v>104207.05</v>
      </c>
      <c r="Q9" s="28">
        <v>107163.23</v>
      </c>
      <c r="R9" s="157">
        <v>109901.72</v>
      </c>
      <c r="S9" s="157">
        <v>112361.89</v>
      </c>
      <c r="T9" s="30">
        <f t="shared" si="0"/>
        <v>3011.7619112256093</v>
      </c>
      <c r="U9" s="33">
        <f t="shared" si="1"/>
        <v>2368.9000000000087</v>
      </c>
      <c r="V9" s="31">
        <f t="shared" si="6"/>
        <v>6.9013609102653193E-3</v>
      </c>
      <c r="W9" s="150">
        <f t="shared" si="2"/>
        <v>602.88812020843022</v>
      </c>
      <c r="X9" s="33">
        <f t="shared" si="7"/>
        <v>2971.7881202084391</v>
      </c>
      <c r="Y9" s="125">
        <f t="shared" si="8"/>
        <v>2225.8499999999913</v>
      </c>
      <c r="Z9" s="126">
        <f t="shared" si="9"/>
        <v>6.2853580510823697E-3</v>
      </c>
      <c r="AA9" s="127">
        <f t="shared" si="10"/>
        <v>858.36891030807647</v>
      </c>
      <c r="AB9" s="144">
        <f t="shared" si="11"/>
        <v>3084.2189103080677</v>
      </c>
      <c r="AC9" s="33">
        <f t="shared" si="12"/>
        <v>2621.7299999999959</v>
      </c>
      <c r="AD9" s="145">
        <f t="shared" si="13"/>
        <v>7.6147875349878262E-3</v>
      </c>
      <c r="AE9" s="144">
        <f t="shared" si="14"/>
        <v>875.66576694456285</v>
      </c>
      <c r="AF9" s="144">
        <f t="shared" si="15"/>
        <v>3497.395766944559</v>
      </c>
      <c r="AG9" s="33">
        <f t="shared" si="16"/>
        <v>2509.9000000000087</v>
      </c>
      <c r="AH9" s="145">
        <f t="shared" si="17"/>
        <v>6.785514323277504E-3</v>
      </c>
      <c r="AI9" s="144">
        <f t="shared" si="18"/>
        <v>914.53194249980277</v>
      </c>
      <c r="AJ9" s="144">
        <f t="shared" si="19"/>
        <v>3424.4319424998116</v>
      </c>
      <c r="AK9" s="33">
        <f t="shared" si="20"/>
        <v>2956.179999999993</v>
      </c>
      <c r="AL9" s="145">
        <f t="shared" si="21"/>
        <v>5.8986428240854344E-3</v>
      </c>
      <c r="AM9" s="144">
        <f t="shared" si="22"/>
        <v>867.5090351425564</v>
      </c>
      <c r="AN9" s="144">
        <f t="shared" si="23"/>
        <v>3823.6890351425495</v>
      </c>
      <c r="AO9" s="125">
        <f t="shared" si="24"/>
        <v>2738.4900000000052</v>
      </c>
      <c r="AP9" s="145">
        <f t="shared" si="25"/>
        <v>4.9333055546773438E-3</v>
      </c>
      <c r="AQ9" s="41">
        <f t="shared" si="26"/>
        <v>544.70871283219662</v>
      </c>
      <c r="AR9" s="125">
        <f t="shared" si="27"/>
        <v>3283.1987128322016</v>
      </c>
      <c r="AS9" s="164">
        <f t="shared" si="28"/>
        <v>2460.1699999999983</v>
      </c>
      <c r="AT9" s="145">
        <f t="shared" si="29"/>
        <v>5.0681804454103642E-3</v>
      </c>
      <c r="AU9" s="127">
        <f t="shared" si="30"/>
        <v>579.56244938288512</v>
      </c>
      <c r="AV9" s="164">
        <f t="shared" si="31"/>
        <v>3039.7324493828833</v>
      </c>
    </row>
    <row r="10" spans="1:48" ht="13.5">
      <c r="A10" s="11">
        <v>7</v>
      </c>
      <c r="B10" s="16" t="s">
        <v>39</v>
      </c>
      <c r="C10" s="17" t="s">
        <v>40</v>
      </c>
      <c r="D10" s="13" t="s">
        <v>41</v>
      </c>
      <c r="E10" s="18" t="s">
        <v>42</v>
      </c>
      <c r="F10" s="17" t="s">
        <v>57</v>
      </c>
      <c r="G10" s="17" t="s">
        <v>58</v>
      </c>
      <c r="H10" s="15">
        <v>38508.6</v>
      </c>
      <c r="I10" s="28">
        <v>39552</v>
      </c>
      <c r="J10" s="29">
        <v>40420.199999999997</v>
      </c>
      <c r="K10" s="29">
        <v>41421</v>
      </c>
      <c r="L10" s="30">
        <f t="shared" si="3"/>
        <v>1043.4000000000015</v>
      </c>
      <c r="M10" s="31">
        <f t="shared" si="4"/>
        <v>2.2872846636248058E-3</v>
      </c>
      <c r="N10" s="30">
        <f t="shared" si="5"/>
        <v>219.07820651102827</v>
      </c>
      <c r="O10" s="29">
        <v>42440.4</v>
      </c>
      <c r="P10" s="137">
        <v>43430.400000000001</v>
      </c>
      <c r="Q10" s="28">
        <v>44548.2</v>
      </c>
      <c r="R10" s="29">
        <v>45678</v>
      </c>
      <c r="S10" s="29">
        <v>46689.599999999999</v>
      </c>
      <c r="T10" s="30">
        <f t="shared" si="0"/>
        <v>1262.4782065110298</v>
      </c>
      <c r="U10" s="33">
        <f t="shared" si="1"/>
        <v>868.19999999999709</v>
      </c>
      <c r="V10" s="31">
        <f t="shared" si="6"/>
        <v>2.5293433839724379E-3</v>
      </c>
      <c r="W10" s="150">
        <f t="shared" si="2"/>
        <v>220.95802522899044</v>
      </c>
      <c r="X10" s="33">
        <f t="shared" si="7"/>
        <v>1089.1580252289875</v>
      </c>
      <c r="Y10" s="125">
        <f t="shared" si="8"/>
        <v>1000.8000000000029</v>
      </c>
      <c r="Z10" s="126">
        <f t="shared" si="9"/>
        <v>2.8260603084319601E-3</v>
      </c>
      <c r="AA10" s="127">
        <f t="shared" si="10"/>
        <v>385.94496728725153</v>
      </c>
      <c r="AB10" s="144">
        <f t="shared" si="11"/>
        <v>1386.7449672872544</v>
      </c>
      <c r="AC10" s="33">
        <f t="shared" si="12"/>
        <v>1019.4000000000015</v>
      </c>
      <c r="AD10" s="145">
        <f t="shared" si="13"/>
        <v>2.9608367044534002E-3</v>
      </c>
      <c r="AE10" s="144">
        <f t="shared" si="14"/>
        <v>340.48268998840081</v>
      </c>
      <c r="AF10" s="144">
        <f t="shared" si="15"/>
        <v>1359.8826899884023</v>
      </c>
      <c r="AG10" s="33">
        <f t="shared" si="16"/>
        <v>990</v>
      </c>
      <c r="AH10" s="145">
        <f t="shared" si="17"/>
        <v>2.6764648711282146E-3</v>
      </c>
      <c r="AI10" s="144">
        <f t="shared" si="18"/>
        <v>360.72617358253382</v>
      </c>
      <c r="AJ10" s="144">
        <f t="shared" si="19"/>
        <v>1350.7261735825339</v>
      </c>
      <c r="AK10" s="33">
        <f t="shared" si="20"/>
        <v>1117.7999999999956</v>
      </c>
      <c r="AL10" s="145">
        <f t="shared" si="21"/>
        <v>2.2304132186682438E-3</v>
      </c>
      <c r="AM10" s="144">
        <f t="shared" si="22"/>
        <v>328.02522156375733</v>
      </c>
      <c r="AN10" s="144">
        <f t="shared" si="23"/>
        <v>1445.8252215637531</v>
      </c>
      <c r="AO10" s="125">
        <f t="shared" si="24"/>
        <v>1129.8000000000029</v>
      </c>
      <c r="AP10" s="145">
        <f t="shared" si="25"/>
        <v>2.0352999703027825E-3</v>
      </c>
      <c r="AQ10" s="41">
        <f t="shared" si="26"/>
        <v>224.72673033599401</v>
      </c>
      <c r="AR10" s="125">
        <f t="shared" si="27"/>
        <v>1354.5267303359969</v>
      </c>
      <c r="AS10" s="164">
        <f t="shared" si="28"/>
        <v>1011.5999999999985</v>
      </c>
      <c r="AT10" s="145">
        <f t="shared" si="29"/>
        <v>2.083990674862762E-3</v>
      </c>
      <c r="AU10" s="127">
        <f t="shared" si="30"/>
        <v>238.31091908109045</v>
      </c>
      <c r="AV10" s="164">
        <f t="shared" si="31"/>
        <v>1249.9109190810891</v>
      </c>
    </row>
    <row r="11" spans="1:48" ht="27">
      <c r="A11" s="11">
        <v>8</v>
      </c>
      <c r="B11" s="16" t="s">
        <v>49</v>
      </c>
      <c r="C11" s="17" t="s">
        <v>50</v>
      </c>
      <c r="D11" s="13" t="s">
        <v>41</v>
      </c>
      <c r="E11" s="20" t="s">
        <v>49</v>
      </c>
      <c r="F11" s="17" t="s">
        <v>59</v>
      </c>
      <c r="G11" s="17" t="s">
        <v>60</v>
      </c>
      <c r="H11" s="15">
        <v>174832.21</v>
      </c>
      <c r="I11" s="28">
        <v>178749.12</v>
      </c>
      <c r="J11" s="29">
        <v>182126.54</v>
      </c>
      <c r="K11" s="29">
        <v>186918.12</v>
      </c>
      <c r="L11" s="30">
        <f t="shared" si="3"/>
        <v>3916.9100000000035</v>
      </c>
      <c r="M11" s="31">
        <f t="shared" si="4"/>
        <v>8.5864368140680797E-3</v>
      </c>
      <c r="N11" s="30">
        <f t="shared" si="5"/>
        <v>822.4167317089433</v>
      </c>
      <c r="O11" s="29">
        <v>191790.72</v>
      </c>
      <c r="P11" s="137">
        <v>196138.38</v>
      </c>
      <c r="Q11" s="28">
        <v>200515.84</v>
      </c>
      <c r="R11" s="29">
        <v>204936.1</v>
      </c>
      <c r="S11" s="29">
        <v>209823.76</v>
      </c>
      <c r="T11" s="30">
        <f t="shared" si="0"/>
        <v>4739.3267317089467</v>
      </c>
      <c r="U11" s="33">
        <f t="shared" si="1"/>
        <v>3377.4200000000128</v>
      </c>
      <c r="V11" s="31">
        <f t="shared" si="6"/>
        <v>9.8395011885467083E-3</v>
      </c>
      <c r="W11" s="150">
        <f t="shared" si="2"/>
        <v>859.55776729889681</v>
      </c>
      <c r="X11" s="33">
        <f t="shared" si="7"/>
        <v>4236.9777672989094</v>
      </c>
      <c r="Y11" s="125">
        <f t="shared" si="8"/>
        <v>4791.5799999999872</v>
      </c>
      <c r="Z11" s="126">
        <f t="shared" si="9"/>
        <v>1.3530469676934788E-2</v>
      </c>
      <c r="AA11" s="127">
        <f t="shared" si="10"/>
        <v>1847.8079400022364</v>
      </c>
      <c r="AB11" s="144">
        <f t="shared" si="11"/>
        <v>6639.3879400022233</v>
      </c>
      <c r="AC11" s="33">
        <f t="shared" si="12"/>
        <v>4872.6000000000058</v>
      </c>
      <c r="AD11" s="145">
        <f t="shared" si="13"/>
        <v>1.4152416054659247E-2</v>
      </c>
      <c r="AE11" s="144">
        <f t="shared" si="14"/>
        <v>1627.4631697444395</v>
      </c>
      <c r="AF11" s="144">
        <f t="shared" si="15"/>
        <v>6500.0631697444451</v>
      </c>
      <c r="AG11" s="33">
        <f t="shared" si="16"/>
        <v>4347.6600000000035</v>
      </c>
      <c r="AH11" s="145">
        <f t="shared" si="17"/>
        <v>1.1753898244049802E-2</v>
      </c>
      <c r="AI11" s="144">
        <f t="shared" si="18"/>
        <v>1584.1563190281215</v>
      </c>
      <c r="AJ11" s="144">
        <f t="shared" si="19"/>
        <v>5931.8163190281248</v>
      </c>
      <c r="AK11" s="33">
        <f t="shared" si="20"/>
        <v>4377.4599999999919</v>
      </c>
      <c r="AL11" s="145">
        <f t="shared" si="21"/>
        <v>8.7346078441505725E-3</v>
      </c>
      <c r="AM11" s="144">
        <f t="shared" si="22"/>
        <v>1284.5923120294221</v>
      </c>
      <c r="AN11" s="144">
        <f t="shared" si="23"/>
        <v>5662.0523120294138</v>
      </c>
      <c r="AO11" s="125">
        <f t="shared" si="24"/>
        <v>4420.2600000000093</v>
      </c>
      <c r="AP11" s="145">
        <f t="shared" si="25"/>
        <v>7.9629625125956574E-3</v>
      </c>
      <c r="AQ11" s="41">
        <f t="shared" si="26"/>
        <v>879.22692249511454</v>
      </c>
      <c r="AR11" s="125">
        <f t="shared" si="27"/>
        <v>5299.4869224951235</v>
      </c>
      <c r="AS11" s="164">
        <f t="shared" si="28"/>
        <v>4887.6600000000035</v>
      </c>
      <c r="AT11" s="145">
        <f t="shared" si="29"/>
        <v>1.0069037032324781E-2</v>
      </c>
      <c r="AU11" s="127">
        <f t="shared" si="30"/>
        <v>1151.4262028033659</v>
      </c>
      <c r="AV11" s="164">
        <f t="shared" si="31"/>
        <v>6039.0862028033698</v>
      </c>
    </row>
    <row r="12" spans="1:48" ht="27">
      <c r="A12" s="11">
        <v>9</v>
      </c>
      <c r="B12" s="16" t="s">
        <v>49</v>
      </c>
      <c r="C12" s="17" t="s">
        <v>50</v>
      </c>
      <c r="D12" s="13" t="s">
        <v>41</v>
      </c>
      <c r="E12" s="20" t="s">
        <v>49</v>
      </c>
      <c r="F12" s="17" t="s">
        <v>61</v>
      </c>
      <c r="G12" s="17" t="s">
        <v>62</v>
      </c>
      <c r="H12" s="15">
        <v>139277.04</v>
      </c>
      <c r="I12" s="28">
        <v>143610.23999999999</v>
      </c>
      <c r="J12" s="29">
        <v>146400.24</v>
      </c>
      <c r="K12" s="29">
        <v>149207.12</v>
      </c>
      <c r="L12" s="30">
        <f t="shared" si="3"/>
        <v>4333.1999999999825</v>
      </c>
      <c r="M12" s="31">
        <f t="shared" si="4"/>
        <v>9.4990050837827824E-3</v>
      </c>
      <c r="N12" s="30">
        <f t="shared" si="5"/>
        <v>909.82335101934314</v>
      </c>
      <c r="O12" s="29">
        <v>152796.64000000001</v>
      </c>
      <c r="P12" s="137">
        <v>156009.12</v>
      </c>
      <c r="Q12" s="28">
        <v>160116.64000000001</v>
      </c>
      <c r="R12" s="29">
        <v>164582.16</v>
      </c>
      <c r="S12" s="29">
        <v>167083.92000000001</v>
      </c>
      <c r="T12" s="30">
        <f t="shared" si="0"/>
        <v>5243.0233510193257</v>
      </c>
      <c r="U12" s="33">
        <f t="shared" si="1"/>
        <v>2790</v>
      </c>
      <c r="V12" s="31">
        <f t="shared" si="6"/>
        <v>8.1281594578243785E-3</v>
      </c>
      <c r="W12" s="150">
        <f t="shared" si="2"/>
        <v>710.05861597429782</v>
      </c>
      <c r="X12" s="33">
        <f t="shared" si="7"/>
        <v>3500.0586159742979</v>
      </c>
      <c r="Y12" s="125">
        <f t="shared" si="8"/>
        <v>2806.8800000000047</v>
      </c>
      <c r="Z12" s="126">
        <f t="shared" si="9"/>
        <v>7.9260713014902978E-3</v>
      </c>
      <c r="AA12" s="127">
        <f t="shared" si="10"/>
        <v>1082.4352615699831</v>
      </c>
      <c r="AB12" s="144">
        <f t="shared" si="11"/>
        <v>3889.3152615699878</v>
      </c>
      <c r="AC12" s="33">
        <f t="shared" si="12"/>
        <v>3589.5200000000186</v>
      </c>
      <c r="AD12" s="145">
        <f t="shared" si="13"/>
        <v>1.0425723530870719E-2</v>
      </c>
      <c r="AE12" s="144">
        <f t="shared" si="14"/>
        <v>1198.9105604935935</v>
      </c>
      <c r="AF12" s="144">
        <f t="shared" si="15"/>
        <v>4788.4305604936126</v>
      </c>
      <c r="AG12" s="33">
        <f t="shared" si="16"/>
        <v>3212.4799999999814</v>
      </c>
      <c r="AH12" s="145">
        <f t="shared" si="17"/>
        <v>8.6849392618201186E-3</v>
      </c>
      <c r="AI12" s="144">
        <f t="shared" si="18"/>
        <v>1170.530927384254</v>
      </c>
      <c r="AJ12" s="144">
        <f t="shared" si="19"/>
        <v>4383.0109273842354</v>
      </c>
      <c r="AK12" s="33">
        <f t="shared" si="20"/>
        <v>4107.5200000000186</v>
      </c>
      <c r="AL12" s="145">
        <f t="shared" si="21"/>
        <v>8.1959804114727693E-3</v>
      </c>
      <c r="AM12" s="144">
        <f t="shared" si="22"/>
        <v>1205.3767740897977</v>
      </c>
      <c r="AN12" s="144">
        <f t="shared" si="23"/>
        <v>5312.8967740898161</v>
      </c>
      <c r="AO12" s="125">
        <f t="shared" si="24"/>
        <v>4465.5199999999895</v>
      </c>
      <c r="AP12" s="145">
        <f t="shared" si="25"/>
        <v>8.0444970113174342E-3</v>
      </c>
      <c r="AQ12" s="41">
        <f t="shared" si="26"/>
        <v>888.22951748095511</v>
      </c>
      <c r="AR12" s="125">
        <f t="shared" si="27"/>
        <v>5353.7495174809446</v>
      </c>
      <c r="AS12" s="164">
        <f t="shared" si="28"/>
        <v>2501.7600000000093</v>
      </c>
      <c r="AT12" s="145">
        <f t="shared" si="29"/>
        <v>5.1538597377863678E-3</v>
      </c>
      <c r="AU12" s="127">
        <f t="shared" si="30"/>
        <v>589.36014721264519</v>
      </c>
      <c r="AV12" s="164">
        <f t="shared" si="31"/>
        <v>3091.1201472126545</v>
      </c>
    </row>
    <row r="13" spans="1:48" ht="27">
      <c r="A13" s="16">
        <v>10</v>
      </c>
      <c r="B13" s="16" t="s">
        <v>49</v>
      </c>
      <c r="C13" s="17" t="s">
        <v>50</v>
      </c>
      <c r="D13" s="13" t="s">
        <v>41</v>
      </c>
      <c r="E13" s="20" t="s">
        <v>49</v>
      </c>
      <c r="F13" s="17" t="s">
        <v>63</v>
      </c>
      <c r="G13" s="17" t="s">
        <v>64</v>
      </c>
      <c r="H13" s="15">
        <v>59661.45</v>
      </c>
      <c r="I13" s="28">
        <v>61689.42</v>
      </c>
      <c r="J13" s="29">
        <v>63834.879999999997</v>
      </c>
      <c r="K13" s="29">
        <v>65375.57</v>
      </c>
      <c r="L13" s="30">
        <f t="shared" si="3"/>
        <v>2027.9700000000012</v>
      </c>
      <c r="M13" s="31">
        <f t="shared" si="4"/>
        <v>4.4456054047260817E-3</v>
      </c>
      <c r="N13" s="30">
        <f t="shared" si="5"/>
        <v>425.80413116558333</v>
      </c>
      <c r="O13" s="29">
        <v>67221.56</v>
      </c>
      <c r="P13" s="137">
        <v>68458.12</v>
      </c>
      <c r="Q13" s="28">
        <v>70559.3</v>
      </c>
      <c r="R13" s="29">
        <v>72976.649999999994</v>
      </c>
      <c r="S13" s="29">
        <v>74501.13</v>
      </c>
      <c r="T13" s="30">
        <f t="shared" si="0"/>
        <v>2453.7741311655845</v>
      </c>
      <c r="U13" s="33">
        <f t="shared" si="1"/>
        <v>2145.4599999999991</v>
      </c>
      <c r="V13" s="31">
        <f t="shared" si="6"/>
        <v>6.2504089571268403E-3</v>
      </c>
      <c r="W13" s="150">
        <f t="shared" si="2"/>
        <v>546.02235061943247</v>
      </c>
      <c r="X13" s="33">
        <f t="shared" si="7"/>
        <v>2691.4823506194316</v>
      </c>
      <c r="Y13" s="125">
        <f t="shared" si="8"/>
        <v>1540.6900000000023</v>
      </c>
      <c r="Z13" s="126">
        <f t="shared" si="9"/>
        <v>4.3506023746982718E-3</v>
      </c>
      <c r="AA13" s="127">
        <f t="shared" si="10"/>
        <v>594.14623466206501</v>
      </c>
      <c r="AB13" s="144">
        <f t="shared" si="11"/>
        <v>2134.8362346620675</v>
      </c>
      <c r="AC13" s="33">
        <f t="shared" si="12"/>
        <v>1845.989999999998</v>
      </c>
      <c r="AD13" s="145">
        <f t="shared" si="13"/>
        <v>5.3616587679555803E-3</v>
      </c>
      <c r="AE13" s="144">
        <f t="shared" si="14"/>
        <v>616.56625553432059</v>
      </c>
      <c r="AF13" s="144">
        <f t="shared" si="15"/>
        <v>2462.5562555343186</v>
      </c>
      <c r="AG13" s="33">
        <f t="shared" si="16"/>
        <v>1236.5599999999977</v>
      </c>
      <c r="AH13" s="145">
        <f t="shared" si="17"/>
        <v>3.3430397990326251E-3</v>
      </c>
      <c r="AI13" s="144">
        <f t="shared" si="18"/>
        <v>450.56520929819914</v>
      </c>
      <c r="AJ13" s="144">
        <f t="shared" si="19"/>
        <v>1687.1252092981968</v>
      </c>
      <c r="AK13" s="33">
        <f t="shared" si="20"/>
        <v>2101.1800000000076</v>
      </c>
      <c r="AL13" s="145">
        <f t="shared" si="21"/>
        <v>4.1926101689044332E-3</v>
      </c>
      <c r="AM13" s="144">
        <f t="shared" si="22"/>
        <v>616.60407500925101</v>
      </c>
      <c r="AN13" s="144">
        <f t="shared" si="23"/>
        <v>2717.7840750092587</v>
      </c>
      <c r="AO13" s="125">
        <f t="shared" si="24"/>
        <v>2417.3499999999913</v>
      </c>
      <c r="AP13" s="145">
        <f t="shared" si="25"/>
        <v>4.3547817164200755E-3</v>
      </c>
      <c r="AQ13" s="41">
        <f t="shared" si="26"/>
        <v>480.83126356674791</v>
      </c>
      <c r="AR13" s="125">
        <f t="shared" si="27"/>
        <v>2898.1812635667393</v>
      </c>
      <c r="AS13" s="164">
        <f t="shared" si="28"/>
        <v>1524.4800000000105</v>
      </c>
      <c r="AT13" s="145">
        <f t="shared" si="29"/>
        <v>3.1405714749059011E-3</v>
      </c>
      <c r="AU13" s="127">
        <f t="shared" si="30"/>
        <v>359.13427236135203</v>
      </c>
      <c r="AV13" s="164">
        <f t="shared" si="31"/>
        <v>1883.6142723613625</v>
      </c>
    </row>
    <row r="14" spans="1:48" ht="27">
      <c r="A14" s="11">
        <v>11</v>
      </c>
      <c r="B14" s="16" t="s">
        <v>49</v>
      </c>
      <c r="C14" s="17" t="s">
        <v>50</v>
      </c>
      <c r="D14" s="13" t="s">
        <v>41</v>
      </c>
      <c r="E14" s="20" t="s">
        <v>49</v>
      </c>
      <c r="F14" s="17" t="s">
        <v>65</v>
      </c>
      <c r="G14" s="17" t="s">
        <v>66</v>
      </c>
      <c r="H14" s="15">
        <v>49234.62</v>
      </c>
      <c r="I14" s="28">
        <v>50185.3</v>
      </c>
      <c r="J14" s="29">
        <v>51066.5</v>
      </c>
      <c r="K14" s="29">
        <v>52080.81</v>
      </c>
      <c r="L14" s="30">
        <f t="shared" si="3"/>
        <v>950.68000000000029</v>
      </c>
      <c r="M14" s="31">
        <f t="shared" si="4"/>
        <v>2.0840289285171823E-3</v>
      </c>
      <c r="N14" s="30">
        <f t="shared" si="5"/>
        <v>199.6101872397011</v>
      </c>
      <c r="O14" s="29">
        <v>53110.79</v>
      </c>
      <c r="P14" s="137">
        <v>54022.54</v>
      </c>
      <c r="Q14" s="28">
        <v>55028.93</v>
      </c>
      <c r="R14" s="29">
        <v>55988.35</v>
      </c>
      <c r="S14" s="29">
        <v>56936.62</v>
      </c>
      <c r="T14" s="30">
        <f t="shared" si="0"/>
        <v>1150.2901872397015</v>
      </c>
      <c r="U14" s="33">
        <f t="shared" si="1"/>
        <v>881.19999999999709</v>
      </c>
      <c r="V14" s="31">
        <f t="shared" si="6"/>
        <v>2.5672165283995765E-3</v>
      </c>
      <c r="W14" s="150">
        <f t="shared" si="2"/>
        <v>224.26654207761618</v>
      </c>
      <c r="X14" s="33">
        <f t="shared" si="7"/>
        <v>1105.4665420776132</v>
      </c>
      <c r="Y14" s="125">
        <f t="shared" si="8"/>
        <v>1014.3099999999977</v>
      </c>
      <c r="Z14" s="126">
        <f t="shared" si="9"/>
        <v>2.8642098635547628E-3</v>
      </c>
      <c r="AA14" s="127">
        <f t="shared" si="10"/>
        <v>391.15491583646087</v>
      </c>
      <c r="AB14" s="144">
        <f t="shared" si="11"/>
        <v>1405.4649158364587</v>
      </c>
      <c r="AC14" s="33">
        <f t="shared" si="12"/>
        <v>1029.9800000000032</v>
      </c>
      <c r="AD14" s="145">
        <f t="shared" si="13"/>
        <v>2.991566204485892E-3</v>
      </c>
      <c r="AE14" s="144">
        <f t="shared" si="14"/>
        <v>344.01644205832218</v>
      </c>
      <c r="AF14" s="144">
        <f t="shared" si="15"/>
        <v>1373.9964420583253</v>
      </c>
      <c r="AG14" s="33">
        <f t="shared" si="16"/>
        <v>911.75</v>
      </c>
      <c r="AH14" s="145">
        <f t="shared" si="17"/>
        <v>2.4649160063142926E-3</v>
      </c>
      <c r="AI14" s="144">
        <f t="shared" si="18"/>
        <v>332.21423107462141</v>
      </c>
      <c r="AJ14" s="144">
        <f t="shared" si="19"/>
        <v>1243.9642310746215</v>
      </c>
      <c r="AK14" s="33">
        <f t="shared" si="20"/>
        <v>1006.3899999999994</v>
      </c>
      <c r="AL14" s="145">
        <f t="shared" si="21"/>
        <v>2.0081101799387558E-3</v>
      </c>
      <c r="AM14" s="144">
        <f t="shared" si="22"/>
        <v>295.33127816206013</v>
      </c>
      <c r="AN14" s="144">
        <f t="shared" si="23"/>
        <v>1301.7212781620597</v>
      </c>
      <c r="AO14" s="125">
        <f t="shared" si="24"/>
        <v>959.41999999999825</v>
      </c>
      <c r="AP14" s="145">
        <f t="shared" si="25"/>
        <v>1.7283656377304719E-3</v>
      </c>
      <c r="AQ14" s="41">
        <f t="shared" si="26"/>
        <v>190.83671412547216</v>
      </c>
      <c r="AR14" s="125">
        <f t="shared" si="27"/>
        <v>1150.2567141254704</v>
      </c>
      <c r="AS14" s="164">
        <f t="shared" si="28"/>
        <v>948.27000000000407</v>
      </c>
      <c r="AT14" s="145">
        <f t="shared" si="29"/>
        <v>1.9535249478569816E-3</v>
      </c>
      <c r="AU14" s="127">
        <f t="shared" si="30"/>
        <v>223.39175092628204</v>
      </c>
      <c r="AV14" s="164">
        <f t="shared" si="31"/>
        <v>1171.661750926286</v>
      </c>
    </row>
    <row r="15" spans="1:48" ht="13.5" customHeight="1">
      <c r="A15" s="16">
        <v>12</v>
      </c>
      <c r="B15" s="16" t="s">
        <v>39</v>
      </c>
      <c r="C15" s="17" t="s">
        <v>40</v>
      </c>
      <c r="D15" s="21" t="s">
        <v>67</v>
      </c>
      <c r="E15" s="21" t="s">
        <v>68</v>
      </c>
      <c r="F15" s="17" t="s">
        <v>69</v>
      </c>
      <c r="G15" s="17" t="s">
        <v>70</v>
      </c>
      <c r="H15" s="15">
        <v>84146.05</v>
      </c>
      <c r="I15" s="28">
        <v>85585.1</v>
      </c>
      <c r="J15" s="29">
        <v>86993.73</v>
      </c>
      <c r="K15" s="29">
        <v>91037.66</v>
      </c>
      <c r="L15" s="30">
        <f t="shared" si="3"/>
        <v>1439.0500000000029</v>
      </c>
      <c r="M15" s="31">
        <f t="shared" si="4"/>
        <v>3.1546070492517531E-3</v>
      </c>
      <c r="N15" s="30">
        <f t="shared" si="5"/>
        <v>302.15113386974838</v>
      </c>
      <c r="O15" s="29">
        <v>93739.199999999997</v>
      </c>
      <c r="P15" s="137">
        <v>94945.85</v>
      </c>
      <c r="Q15" s="28">
        <v>98845.32</v>
      </c>
      <c r="R15" s="29">
        <v>100146.7</v>
      </c>
      <c r="S15" s="29">
        <v>101273.04</v>
      </c>
      <c r="T15" s="30">
        <f t="shared" si="0"/>
        <v>1741.2011338697512</v>
      </c>
      <c r="U15" s="33">
        <f t="shared" si="1"/>
        <v>1408.6299999999901</v>
      </c>
      <c r="V15" s="31">
        <f t="shared" si="6"/>
        <v>4.103788264184614E-3</v>
      </c>
      <c r="W15" s="150">
        <f t="shared" si="2"/>
        <v>358.49816065228248</v>
      </c>
      <c r="X15" s="33">
        <f t="shared" si="7"/>
        <v>1767.1281606522725</v>
      </c>
      <c r="Y15" s="125">
        <f t="shared" si="8"/>
        <v>4043.9300000000076</v>
      </c>
      <c r="Z15" s="126">
        <f t="shared" si="9"/>
        <v>1.1419254659349764E-2</v>
      </c>
      <c r="AA15" s="127">
        <f t="shared" si="10"/>
        <v>1559.4868420882626</v>
      </c>
      <c r="AB15" s="144">
        <f t="shared" si="11"/>
        <v>5603.4168420882706</v>
      </c>
      <c r="AC15" s="33">
        <f t="shared" si="12"/>
        <v>2701.5399999999936</v>
      </c>
      <c r="AD15" s="145">
        <f t="shared" si="13"/>
        <v>7.8465948504502728E-3</v>
      </c>
      <c r="AE15" s="144">
        <f t="shared" si="14"/>
        <v>902.32254886331248</v>
      </c>
      <c r="AF15" s="144">
        <f t="shared" si="15"/>
        <v>3603.8625488633061</v>
      </c>
      <c r="AG15" s="33">
        <f t="shared" si="16"/>
        <v>1206.6500000000087</v>
      </c>
      <c r="AH15" s="145">
        <f t="shared" si="17"/>
        <v>3.2621781179261451E-3</v>
      </c>
      <c r="AI15" s="144">
        <f t="shared" si="18"/>
        <v>439.66690641754303</v>
      </c>
      <c r="AJ15" s="144">
        <f t="shared" si="19"/>
        <v>1646.3169064175518</v>
      </c>
      <c r="AK15" s="33">
        <f t="shared" si="20"/>
        <v>3899.4700000000012</v>
      </c>
      <c r="AL15" s="145">
        <f t="shared" si="21"/>
        <v>7.7808457987120173E-3</v>
      </c>
      <c r="AM15" s="144">
        <f t="shared" si="22"/>
        <v>1144.3232337906873</v>
      </c>
      <c r="AN15" s="144">
        <f t="shared" si="23"/>
        <v>5043.7932337906886</v>
      </c>
      <c r="AO15" s="125">
        <f t="shared" si="24"/>
        <v>1301.3799999999901</v>
      </c>
      <c r="AP15" s="145">
        <f t="shared" si="25"/>
        <v>2.3443960659874385E-3</v>
      </c>
      <c r="AQ15" s="41">
        <f t="shared" si="26"/>
        <v>258.85543664777208</v>
      </c>
      <c r="AR15" s="125">
        <f t="shared" si="27"/>
        <v>1560.2354366477621</v>
      </c>
      <c r="AS15" s="164">
        <f t="shared" si="28"/>
        <v>1126.3399999999965</v>
      </c>
      <c r="AT15" s="145">
        <f t="shared" si="29"/>
        <v>2.3203658132907468E-3</v>
      </c>
      <c r="AU15" s="127">
        <f t="shared" si="30"/>
        <v>265.34116310576803</v>
      </c>
      <c r="AV15" s="164">
        <f t="shared" si="31"/>
        <v>1391.6811631057644</v>
      </c>
    </row>
    <row r="16" spans="1:48" ht="13.5">
      <c r="A16" s="11">
        <v>13</v>
      </c>
      <c r="B16" s="16" t="s">
        <v>39</v>
      </c>
      <c r="C16" s="17" t="s">
        <v>40</v>
      </c>
      <c r="D16" s="21" t="s">
        <v>67</v>
      </c>
      <c r="E16" s="21" t="s">
        <v>68</v>
      </c>
      <c r="F16" s="17" t="s">
        <v>71</v>
      </c>
      <c r="G16" s="17" t="s">
        <v>72</v>
      </c>
      <c r="H16" s="15">
        <v>227214.24</v>
      </c>
      <c r="I16" s="28">
        <v>229052.06</v>
      </c>
      <c r="J16" s="29">
        <v>237817.2</v>
      </c>
      <c r="K16" s="29">
        <v>248822.94</v>
      </c>
      <c r="L16" s="30">
        <f t="shared" si="3"/>
        <v>1837.820000000007</v>
      </c>
      <c r="M16" s="31">
        <f t="shared" si="4"/>
        <v>4.0287689289850021E-3</v>
      </c>
      <c r="N16" s="30">
        <f t="shared" si="5"/>
        <v>385.87915419790971</v>
      </c>
      <c r="O16" s="29">
        <v>260189.96</v>
      </c>
      <c r="P16" s="137">
        <v>267464.68</v>
      </c>
      <c r="Q16" s="28">
        <v>273743.53000000003</v>
      </c>
      <c r="R16" s="29">
        <v>281423.8</v>
      </c>
      <c r="S16" s="29">
        <v>288251.56</v>
      </c>
      <c r="T16" s="30">
        <f t="shared" si="0"/>
        <v>2223.6991541979169</v>
      </c>
      <c r="U16" s="33">
        <f t="shared" si="1"/>
        <v>8765.140000000014</v>
      </c>
      <c r="V16" s="31">
        <f t="shared" si="6"/>
        <v>2.5535647164930068E-2</v>
      </c>
      <c r="W16" s="150">
        <f t="shared" si="2"/>
        <v>2230.7394900433574</v>
      </c>
      <c r="X16" s="33">
        <f t="shared" si="7"/>
        <v>10995.879490043371</v>
      </c>
      <c r="Y16" s="125">
        <f t="shared" si="8"/>
        <v>11005.739999999991</v>
      </c>
      <c r="Z16" s="126">
        <f t="shared" si="9"/>
        <v>3.1078022560873147E-2</v>
      </c>
      <c r="AA16" s="127">
        <f t="shared" si="10"/>
        <v>4244.2145925979012</v>
      </c>
      <c r="AB16" s="144">
        <f t="shared" si="11"/>
        <v>15249.954592597893</v>
      </c>
      <c r="AC16" s="33">
        <f t="shared" si="12"/>
        <v>11367.01999999999</v>
      </c>
      <c r="AD16" s="145">
        <f t="shared" si="13"/>
        <v>3.3015391442275666E-2</v>
      </c>
      <c r="AE16" s="144">
        <f t="shared" si="14"/>
        <v>3796.6191355228007</v>
      </c>
      <c r="AF16" s="144">
        <f t="shared" si="15"/>
        <v>15163.63913552279</v>
      </c>
      <c r="AG16" s="33">
        <f t="shared" si="16"/>
        <v>7274.7200000000012</v>
      </c>
      <c r="AH16" s="145">
        <f t="shared" si="17"/>
        <v>1.9667204573024091E-2</v>
      </c>
      <c r="AI16" s="144">
        <f t="shared" si="18"/>
        <v>2650.6887974589199</v>
      </c>
      <c r="AJ16" s="144">
        <f t="shared" si="19"/>
        <v>9925.4087974589202</v>
      </c>
      <c r="AK16" s="33">
        <f t="shared" si="20"/>
        <v>6278.8500000000349</v>
      </c>
      <c r="AL16" s="145">
        <f t="shared" si="21"/>
        <v>1.2528565072495289E-2</v>
      </c>
      <c r="AM16" s="144">
        <f t="shared" si="22"/>
        <v>1842.5667940737317</v>
      </c>
      <c r="AN16" s="144">
        <f t="shared" si="23"/>
        <v>8121.4167940737661</v>
      </c>
      <c r="AO16" s="125">
        <f t="shared" si="24"/>
        <v>7680.2699999999604</v>
      </c>
      <c r="AP16" s="145">
        <f t="shared" si="25"/>
        <v>1.383577031591187E-2</v>
      </c>
      <c r="AQ16" s="41">
        <f t="shared" si="26"/>
        <v>1527.6703533347595</v>
      </c>
      <c r="AR16" s="125">
        <f t="shared" si="27"/>
        <v>9207.9403533347195</v>
      </c>
      <c r="AS16" s="164">
        <f t="shared" si="28"/>
        <v>6827.7600000000093</v>
      </c>
      <c r="AT16" s="145">
        <f t="shared" si="29"/>
        <v>1.4065824604785499E-2</v>
      </c>
      <c r="AU16" s="127">
        <f t="shared" si="30"/>
        <v>1608.47149156298</v>
      </c>
      <c r="AV16" s="164">
        <f t="shared" si="31"/>
        <v>8436.2314915629886</v>
      </c>
    </row>
    <row r="17" spans="1:48" ht="13.5">
      <c r="A17" s="16">
        <v>14</v>
      </c>
      <c r="B17" s="16" t="s">
        <v>39</v>
      </c>
      <c r="C17" s="17" t="s">
        <v>40</v>
      </c>
      <c r="D17" s="21" t="s">
        <v>67</v>
      </c>
      <c r="E17" s="21" t="s">
        <v>68</v>
      </c>
      <c r="F17" s="17" t="s">
        <v>73</v>
      </c>
      <c r="G17" s="17" t="s">
        <v>74</v>
      </c>
      <c r="H17" s="15">
        <v>11446.3</v>
      </c>
      <c r="I17" s="28">
        <v>11448.25</v>
      </c>
      <c r="J17" s="29">
        <v>11450.15</v>
      </c>
      <c r="K17" s="29">
        <v>11452.75</v>
      </c>
      <c r="L17" s="30">
        <f t="shared" si="3"/>
        <v>1.9500000000007276</v>
      </c>
      <c r="M17" s="31">
        <f t="shared" si="4"/>
        <v>4.2746838164366773E-6</v>
      </c>
      <c r="N17" s="30">
        <f t="shared" si="5"/>
        <v>0.4094331059005788</v>
      </c>
      <c r="O17" s="29">
        <v>11455.15</v>
      </c>
      <c r="P17" s="137">
        <v>11457.2</v>
      </c>
      <c r="Q17" s="28">
        <v>11459.75</v>
      </c>
      <c r="R17" s="29">
        <v>11462.15</v>
      </c>
      <c r="S17" s="29">
        <v>11464.5</v>
      </c>
      <c r="T17" s="30">
        <f t="shared" si="0"/>
        <v>2.3594331059013065</v>
      </c>
      <c r="U17" s="33">
        <f t="shared" si="1"/>
        <v>1.8999999999996362</v>
      </c>
      <c r="V17" s="31">
        <f t="shared" si="6"/>
        <v>5.5353057239653625E-6</v>
      </c>
      <c r="W17" s="150">
        <f t="shared" si="2"/>
        <v>0.48355246249136469</v>
      </c>
      <c r="X17" s="33">
        <f t="shared" si="7"/>
        <v>2.3835524624910009</v>
      </c>
      <c r="Y17" s="125">
        <f t="shared" si="8"/>
        <v>2.6000000000003638</v>
      </c>
      <c r="Z17" s="126">
        <f t="shared" si="9"/>
        <v>7.3418832952878726E-6</v>
      </c>
      <c r="AA17" s="127">
        <f t="shared" si="10"/>
        <v>1.0026547911141002</v>
      </c>
      <c r="AB17" s="144">
        <f t="shared" si="11"/>
        <v>3.602654791114464</v>
      </c>
      <c r="AC17" s="33">
        <f t="shared" si="12"/>
        <v>2.3999999999996362</v>
      </c>
      <c r="AD17" s="145">
        <f t="shared" si="13"/>
        <v>6.9707750546273039E-6</v>
      </c>
      <c r="AE17" s="144">
        <f t="shared" si="14"/>
        <v>0.80160727484013827</v>
      </c>
      <c r="AF17" s="144">
        <f t="shared" si="15"/>
        <v>3.2016072748397746</v>
      </c>
      <c r="AG17" s="33">
        <f t="shared" si="16"/>
        <v>2.0500000000010914</v>
      </c>
      <c r="AH17" s="145">
        <f t="shared" si="17"/>
        <v>5.5421747331472336E-6</v>
      </c>
      <c r="AI17" s="144">
        <f t="shared" si="18"/>
        <v>0.74695823822685659</v>
      </c>
      <c r="AJ17" s="144">
        <f t="shared" si="19"/>
        <v>2.7969582382279481</v>
      </c>
      <c r="AK17" s="33">
        <f t="shared" si="20"/>
        <v>2.5499999999992724</v>
      </c>
      <c r="AL17" s="145">
        <f t="shared" si="21"/>
        <v>5.0881675680823231E-6</v>
      </c>
      <c r="AM17" s="144">
        <f t="shared" si="22"/>
        <v>0.74831303899386814</v>
      </c>
      <c r="AN17" s="144">
        <f t="shared" si="23"/>
        <v>3.2983130389931405</v>
      </c>
      <c r="AO17" s="125">
        <f t="shared" si="24"/>
        <v>2.3999999999996362</v>
      </c>
      <c r="AP17" s="145">
        <f t="shared" si="25"/>
        <v>4.3235262247529873E-6</v>
      </c>
      <c r="AQ17" s="41">
        <f t="shared" si="26"/>
        <v>0.47738020251929764</v>
      </c>
      <c r="AR17" s="125">
        <f t="shared" si="27"/>
        <v>2.8773802025189337</v>
      </c>
      <c r="AS17" s="164">
        <f t="shared" si="28"/>
        <v>2.3500000000003638</v>
      </c>
      <c r="AT17" s="145">
        <f t="shared" si="29"/>
        <v>4.8412199346858993E-6</v>
      </c>
      <c r="AU17" s="127">
        <f t="shared" si="30"/>
        <v>0.55360879778632865</v>
      </c>
      <c r="AV17" s="164">
        <f t="shared" si="31"/>
        <v>2.9036087977866925</v>
      </c>
    </row>
    <row r="18" spans="1:48" ht="13.5">
      <c r="A18" s="11">
        <v>15</v>
      </c>
      <c r="B18" s="16" t="s">
        <v>39</v>
      </c>
      <c r="C18" s="17" t="s">
        <v>40</v>
      </c>
      <c r="D18" s="21" t="s">
        <v>67</v>
      </c>
      <c r="E18" s="21" t="s">
        <v>68</v>
      </c>
      <c r="F18" s="17" t="s">
        <v>75</v>
      </c>
      <c r="G18" s="17" t="s">
        <v>76</v>
      </c>
      <c r="H18" s="15">
        <v>45409.26</v>
      </c>
      <c r="I18" s="28">
        <v>45964.02</v>
      </c>
      <c r="J18" s="29">
        <v>47011.17</v>
      </c>
      <c r="K18" s="29">
        <v>49267.44</v>
      </c>
      <c r="L18" s="30">
        <f t="shared" si="3"/>
        <v>554.75999999999476</v>
      </c>
      <c r="M18" s="31">
        <f t="shared" si="4"/>
        <v>1.2161146635925662E-3</v>
      </c>
      <c r="N18" s="30">
        <f t="shared" si="5"/>
        <v>116.48056914324012</v>
      </c>
      <c r="O18" s="29">
        <v>51108.78</v>
      </c>
      <c r="P18" s="137">
        <v>52468.71</v>
      </c>
      <c r="Q18" s="28">
        <v>53768.55</v>
      </c>
      <c r="R18" s="29">
        <v>54789.09</v>
      </c>
      <c r="S18" s="29">
        <v>55904.07</v>
      </c>
      <c r="T18" s="30">
        <f t="shared" si="0"/>
        <v>671.24056914323489</v>
      </c>
      <c r="U18" s="33">
        <f t="shared" si="1"/>
        <v>1047.1500000000015</v>
      </c>
      <c r="V18" s="31">
        <f t="shared" si="6"/>
        <v>3.0506817836060251E-3</v>
      </c>
      <c r="W18" s="150">
        <f t="shared" si="2"/>
        <v>266.50103215680537</v>
      </c>
      <c r="X18" s="33">
        <f t="shared" si="7"/>
        <v>1313.6510321568069</v>
      </c>
      <c r="Y18" s="125">
        <f t="shared" si="8"/>
        <v>2256.2700000000041</v>
      </c>
      <c r="Z18" s="126">
        <f t="shared" si="9"/>
        <v>6.3712580856372623E-3</v>
      </c>
      <c r="AA18" s="127">
        <f t="shared" si="10"/>
        <v>870.09997136411482</v>
      </c>
      <c r="AB18" s="144">
        <f t="shared" si="11"/>
        <v>3126.369971364119</v>
      </c>
      <c r="AC18" s="33">
        <f t="shared" si="12"/>
        <v>1841.3399999999965</v>
      </c>
      <c r="AD18" s="145">
        <f t="shared" si="13"/>
        <v>5.3481528912872342E-3</v>
      </c>
      <c r="AE18" s="144">
        <f t="shared" si="14"/>
        <v>615.01314143931711</v>
      </c>
      <c r="AF18" s="144">
        <f t="shared" si="15"/>
        <v>2456.3531414393137</v>
      </c>
      <c r="AG18" s="33">
        <f t="shared" si="16"/>
        <v>1359.9300000000003</v>
      </c>
      <c r="AH18" s="145">
        <f t="shared" si="17"/>
        <v>3.6765705779731248E-3</v>
      </c>
      <c r="AI18" s="144">
        <f t="shared" si="18"/>
        <v>495.51752044454071</v>
      </c>
      <c r="AJ18" s="144">
        <f t="shared" si="19"/>
        <v>1855.4475204445409</v>
      </c>
      <c r="AK18" s="33">
        <f t="shared" si="20"/>
        <v>1299.8400000000038</v>
      </c>
      <c r="AL18" s="145">
        <f t="shared" si="21"/>
        <v>2.593648522234523E-3</v>
      </c>
      <c r="AM18" s="144">
        <f t="shared" si="22"/>
        <v>381.44596886512545</v>
      </c>
      <c r="AN18" s="144">
        <f t="shared" si="23"/>
        <v>1681.2859688651292</v>
      </c>
      <c r="AO18" s="125">
        <f t="shared" si="24"/>
        <v>1020.5399999999936</v>
      </c>
      <c r="AP18" s="145">
        <f t="shared" si="25"/>
        <v>1.8384714389208562E-3</v>
      </c>
      <c r="AQ18" s="41">
        <f t="shared" si="26"/>
        <v>202.99399661629784</v>
      </c>
      <c r="AR18" s="125">
        <f t="shared" si="27"/>
        <v>1223.5339966162915</v>
      </c>
      <c r="AS18" s="164">
        <f t="shared" si="28"/>
        <v>1114.9800000000032</v>
      </c>
      <c r="AT18" s="145">
        <f t="shared" si="29"/>
        <v>2.2969631501171335E-3</v>
      </c>
      <c r="AU18" s="127">
        <f t="shared" si="30"/>
        <v>262.66499461944971</v>
      </c>
      <c r="AV18" s="164">
        <f t="shared" si="31"/>
        <v>1377.644994619453</v>
      </c>
    </row>
    <row r="19" spans="1:48" ht="13.5">
      <c r="A19" s="16">
        <v>16</v>
      </c>
      <c r="B19" s="16" t="s">
        <v>39</v>
      </c>
      <c r="C19" s="17" t="s">
        <v>40</v>
      </c>
      <c r="D19" s="21" t="s">
        <v>67</v>
      </c>
      <c r="E19" s="21" t="s">
        <v>68</v>
      </c>
      <c r="F19" s="17" t="s">
        <v>77</v>
      </c>
      <c r="G19" s="17" t="s">
        <v>78</v>
      </c>
      <c r="H19" s="15">
        <v>58379.35</v>
      </c>
      <c r="I19" s="28">
        <v>59793.09</v>
      </c>
      <c r="J19" s="29">
        <v>60990.46</v>
      </c>
      <c r="K19" s="29">
        <v>63153.63</v>
      </c>
      <c r="L19" s="30">
        <f t="shared" si="3"/>
        <v>1413.739999999998</v>
      </c>
      <c r="M19" s="31">
        <f t="shared" si="4"/>
        <v>3.0991238454599617E-3</v>
      </c>
      <c r="N19" s="30">
        <f t="shared" si="5"/>
        <v>296.83690212085514</v>
      </c>
      <c r="O19" s="29">
        <v>65187</v>
      </c>
      <c r="P19" s="137">
        <v>66887.039999999994</v>
      </c>
      <c r="Q19" s="28">
        <v>68692.83</v>
      </c>
      <c r="R19" s="29">
        <v>70365.87</v>
      </c>
      <c r="S19" s="29">
        <v>72222.53</v>
      </c>
      <c r="T19" s="30">
        <f t="shared" si="0"/>
        <v>1710.576902120853</v>
      </c>
      <c r="U19" s="33">
        <f t="shared" si="1"/>
        <v>1197.3700000000026</v>
      </c>
      <c r="V19" s="31">
        <f t="shared" si="6"/>
        <v>3.4883205340556262E-3</v>
      </c>
      <c r="W19" s="150">
        <f t="shared" si="2"/>
        <v>304.7322168491566</v>
      </c>
      <c r="X19" s="33">
        <f t="shared" si="7"/>
        <v>1502.1022168491593</v>
      </c>
      <c r="Y19" s="125">
        <f t="shared" si="8"/>
        <v>2163.1699999999983</v>
      </c>
      <c r="Z19" s="126">
        <f t="shared" si="9"/>
        <v>6.1083621876406279E-3</v>
      </c>
      <c r="AA19" s="127">
        <f t="shared" si="10"/>
        <v>834.19721711307022</v>
      </c>
      <c r="AB19" s="144">
        <f t="shared" si="11"/>
        <v>2997.3672171130684</v>
      </c>
      <c r="AC19" s="33">
        <f t="shared" si="12"/>
        <v>2033.3700000000026</v>
      </c>
      <c r="AD19" s="145">
        <f t="shared" si="13"/>
        <v>5.9059020303457036E-3</v>
      </c>
      <c r="AE19" s="144">
        <f t="shared" si="14"/>
        <v>679.15174351747544</v>
      </c>
      <c r="AF19" s="144">
        <f t="shared" si="15"/>
        <v>2712.5217435174782</v>
      </c>
      <c r="AG19" s="33">
        <f t="shared" si="16"/>
        <v>1700.0399999999936</v>
      </c>
      <c r="AH19" s="145">
        <f t="shared" si="17"/>
        <v>4.5960579186997905E-3</v>
      </c>
      <c r="AI19" s="144">
        <f t="shared" si="18"/>
        <v>619.44335771439239</v>
      </c>
      <c r="AJ19" s="144">
        <f t="shared" si="19"/>
        <v>2319.4833577143859</v>
      </c>
      <c r="AK19" s="33">
        <f t="shared" si="20"/>
        <v>1805.7900000000081</v>
      </c>
      <c r="AL19" s="145">
        <f t="shared" si="21"/>
        <v>3.6032008285372713E-3</v>
      </c>
      <c r="AM19" s="144">
        <f t="shared" si="22"/>
        <v>529.92007948436424</v>
      </c>
      <c r="AN19" s="144">
        <f t="shared" si="23"/>
        <v>2335.7100794843723</v>
      </c>
      <c r="AO19" s="125">
        <f t="shared" si="24"/>
        <v>1673.0399999999936</v>
      </c>
      <c r="AP19" s="145">
        <f t="shared" si="25"/>
        <v>3.0139301312757526E-3</v>
      </c>
      <c r="AQ19" s="41">
        <f t="shared" si="26"/>
        <v>332.78173917625151</v>
      </c>
      <c r="AR19" s="125">
        <f t="shared" si="27"/>
        <v>2005.821739176245</v>
      </c>
      <c r="AS19" s="164">
        <f t="shared" si="28"/>
        <v>1856.6600000000035</v>
      </c>
      <c r="AT19" s="145">
        <f t="shared" si="29"/>
        <v>3.8248933633755521E-3</v>
      </c>
      <c r="AU19" s="127">
        <f t="shared" si="30"/>
        <v>437.38864276502454</v>
      </c>
      <c r="AV19" s="164">
        <f t="shared" si="31"/>
        <v>2294.048642765028</v>
      </c>
    </row>
    <row r="20" spans="1:48" ht="13.5">
      <c r="A20" s="11">
        <v>17</v>
      </c>
      <c r="B20" s="16" t="s">
        <v>39</v>
      </c>
      <c r="C20" s="17" t="s">
        <v>40</v>
      </c>
      <c r="D20" s="21" t="s">
        <v>67</v>
      </c>
      <c r="E20" s="21" t="s">
        <v>68</v>
      </c>
      <c r="F20" s="17" t="s">
        <v>79</v>
      </c>
      <c r="G20" s="17" t="s">
        <v>80</v>
      </c>
      <c r="H20" s="15">
        <v>154662.78</v>
      </c>
      <c r="I20" s="28">
        <v>160441.17000000001</v>
      </c>
      <c r="J20" s="29">
        <v>165068.82</v>
      </c>
      <c r="K20" s="29">
        <v>171698.92</v>
      </c>
      <c r="L20" s="30">
        <f t="shared" si="3"/>
        <v>5778.390000000014</v>
      </c>
      <c r="M20" s="31">
        <f t="shared" si="4"/>
        <v>1.2667071906692501E-2</v>
      </c>
      <c r="N20" s="30">
        <f t="shared" si="5"/>
        <v>1213.2636742584455</v>
      </c>
      <c r="O20" s="29">
        <v>175903.53</v>
      </c>
      <c r="P20" s="137">
        <v>180533.42</v>
      </c>
      <c r="Q20" s="28">
        <v>186088.44</v>
      </c>
      <c r="R20" s="29">
        <v>188285.14</v>
      </c>
      <c r="S20" s="29">
        <v>191355.06</v>
      </c>
      <c r="T20" s="30">
        <f t="shared" si="0"/>
        <v>6991.6536742584594</v>
      </c>
      <c r="U20" s="33">
        <f t="shared" si="1"/>
        <v>4627.6499999999942</v>
      </c>
      <c r="V20" s="31">
        <f t="shared" si="6"/>
        <v>1.3481819754480623E-2</v>
      </c>
      <c r="W20" s="150">
        <f t="shared" si="2"/>
        <v>1177.7429226571523</v>
      </c>
      <c r="X20" s="33">
        <f t="shared" si="7"/>
        <v>5805.3929226571463</v>
      </c>
      <c r="Y20" s="125">
        <f t="shared" si="8"/>
        <v>6630.1000000000058</v>
      </c>
      <c r="Z20" s="126">
        <f t="shared" si="9"/>
        <v>1.8722084783108214E-2</v>
      </c>
      <c r="AA20" s="127">
        <f t="shared" si="10"/>
        <v>2556.8082809864118</v>
      </c>
      <c r="AB20" s="144">
        <f t="shared" si="11"/>
        <v>9186.9082809864176</v>
      </c>
      <c r="AC20" s="33">
        <f t="shared" si="12"/>
        <v>4204.609999999986</v>
      </c>
      <c r="AD20" s="145">
        <f t="shared" si="13"/>
        <v>1.2212246042683689E-2</v>
      </c>
      <c r="AE20" s="144">
        <f t="shared" si="14"/>
        <v>1404.3524849442056</v>
      </c>
      <c r="AF20" s="144">
        <f t="shared" si="15"/>
        <v>5608.9624849441916</v>
      </c>
      <c r="AG20" s="33">
        <f t="shared" si="16"/>
        <v>4629.890000000014</v>
      </c>
      <c r="AH20" s="145">
        <f t="shared" si="17"/>
        <v>1.2516907012310957E-2</v>
      </c>
      <c r="AI20" s="144">
        <f t="shared" si="18"/>
        <v>1686.9924280889318</v>
      </c>
      <c r="AJ20" s="144">
        <f t="shared" si="19"/>
        <v>6316.8824280889457</v>
      </c>
      <c r="AK20" s="33">
        <f t="shared" si="20"/>
        <v>5555.0199999999895</v>
      </c>
      <c r="AL20" s="145">
        <f t="shared" si="21"/>
        <v>1.1084263766296737E-2</v>
      </c>
      <c r="AM20" s="144">
        <f t="shared" si="22"/>
        <v>1630.1544697540767</v>
      </c>
      <c r="AN20" s="144">
        <f t="shared" si="23"/>
        <v>7185.1744697540662</v>
      </c>
      <c r="AO20" s="125">
        <f t="shared" si="24"/>
        <v>2196.7000000000116</v>
      </c>
      <c r="AP20" s="145">
        <f t="shared" si="25"/>
        <v>3.9572875241318242E-3</v>
      </c>
      <c r="AQ20" s="41">
        <f t="shared" si="26"/>
        <v>436.94212119762739</v>
      </c>
      <c r="AR20" s="125">
        <f t="shared" si="27"/>
        <v>2633.642121197639</v>
      </c>
      <c r="AS20" s="164">
        <f t="shared" si="28"/>
        <v>3069.9199999999837</v>
      </c>
      <c r="AT20" s="145">
        <f t="shared" si="29"/>
        <v>6.3243225114419386E-3</v>
      </c>
      <c r="AU20" s="127">
        <f t="shared" si="30"/>
        <v>723.20626404252494</v>
      </c>
      <c r="AV20" s="164">
        <f t="shared" si="31"/>
        <v>3793.1262640425084</v>
      </c>
    </row>
    <row r="21" spans="1:48" ht="13.5">
      <c r="A21" s="16">
        <v>18</v>
      </c>
      <c r="B21" s="16" t="s">
        <v>39</v>
      </c>
      <c r="C21" s="17" t="s">
        <v>40</v>
      </c>
      <c r="D21" s="21" t="s">
        <v>67</v>
      </c>
      <c r="E21" s="21" t="s">
        <v>68</v>
      </c>
      <c r="F21" s="17" t="s">
        <v>81</v>
      </c>
      <c r="G21" s="17" t="s">
        <v>82</v>
      </c>
      <c r="H21" s="15">
        <v>69707.05</v>
      </c>
      <c r="I21" s="28">
        <v>70909.100000000006</v>
      </c>
      <c r="J21" s="29">
        <v>72995.05</v>
      </c>
      <c r="K21" s="29">
        <v>76908.350000000006</v>
      </c>
      <c r="L21" s="30">
        <f t="shared" si="3"/>
        <v>1202.0500000000029</v>
      </c>
      <c r="M21" s="31">
        <f t="shared" si="4"/>
        <v>2.6350685546388734E-3</v>
      </c>
      <c r="N21" s="30">
        <f t="shared" si="5"/>
        <v>252.38926407569656</v>
      </c>
      <c r="O21" s="29">
        <v>79236.75</v>
      </c>
      <c r="P21" s="137">
        <v>80627.899999999994</v>
      </c>
      <c r="Q21" s="28">
        <v>81919.75</v>
      </c>
      <c r="R21" s="29">
        <v>82562</v>
      </c>
      <c r="S21" s="29">
        <v>83231.8</v>
      </c>
      <c r="T21" s="30">
        <f t="shared" si="0"/>
        <v>1454.4392640756994</v>
      </c>
      <c r="U21" s="33">
        <f t="shared" si="1"/>
        <v>2085.9499999999971</v>
      </c>
      <c r="V21" s="31">
        <f t="shared" si="6"/>
        <v>6.0770373552146021E-3</v>
      </c>
      <c r="W21" s="150">
        <f t="shared" si="2"/>
        <v>530.87697849160736</v>
      </c>
      <c r="X21" s="33">
        <f t="shared" si="7"/>
        <v>2616.8269784916047</v>
      </c>
      <c r="Y21" s="125">
        <f t="shared" si="8"/>
        <v>3913.3000000000029</v>
      </c>
      <c r="Z21" s="126">
        <f t="shared" si="9"/>
        <v>1.1050381499786936E-2</v>
      </c>
      <c r="AA21" s="127">
        <f t="shared" si="10"/>
        <v>1509.1111515639468</v>
      </c>
      <c r="AB21" s="144">
        <f t="shared" si="11"/>
        <v>5422.4111515639497</v>
      </c>
      <c r="AC21" s="33">
        <f t="shared" si="12"/>
        <v>2328.3999999999942</v>
      </c>
      <c r="AD21" s="145">
        <f t="shared" si="13"/>
        <v>6.7628135988319306E-3</v>
      </c>
      <c r="AE21" s="144">
        <f t="shared" si="14"/>
        <v>777.69265780752335</v>
      </c>
      <c r="AF21" s="144">
        <f t="shared" si="15"/>
        <v>3106.0926578075178</v>
      </c>
      <c r="AG21" s="33">
        <f t="shared" si="16"/>
        <v>1391.1499999999942</v>
      </c>
      <c r="AH21" s="145">
        <f t="shared" si="17"/>
        <v>3.760973843909091E-3</v>
      </c>
      <c r="AI21" s="144">
        <f t="shared" si="18"/>
        <v>506.89314785791896</v>
      </c>
      <c r="AJ21" s="144">
        <f t="shared" si="19"/>
        <v>1898.043147857913</v>
      </c>
      <c r="AK21" s="33">
        <f t="shared" si="20"/>
        <v>1291.8500000000058</v>
      </c>
      <c r="AL21" s="145">
        <f t="shared" si="21"/>
        <v>2.5777055971878643E-3</v>
      </c>
      <c r="AM21" s="144">
        <f t="shared" si="22"/>
        <v>379.1012546762779</v>
      </c>
      <c r="AN21" s="144">
        <f t="shared" si="23"/>
        <v>1670.9512546762837</v>
      </c>
      <c r="AO21" s="125">
        <f t="shared" si="24"/>
        <v>642.25</v>
      </c>
      <c r="AP21" s="145">
        <f t="shared" si="25"/>
        <v>1.1569936324366779E-3</v>
      </c>
      <c r="AQ21" s="41">
        <f t="shared" si="26"/>
        <v>127.74893127836057</v>
      </c>
      <c r="AR21" s="125">
        <f t="shared" si="27"/>
        <v>769.9989312783606</v>
      </c>
      <c r="AS21" s="164">
        <f t="shared" si="28"/>
        <v>669.80000000000291</v>
      </c>
      <c r="AT21" s="145">
        <f t="shared" si="29"/>
        <v>1.3798506860647351E-3</v>
      </c>
      <c r="AU21" s="127">
        <f t="shared" si="30"/>
        <v>157.79028627967111</v>
      </c>
      <c r="AV21" s="164">
        <f t="shared" si="31"/>
        <v>827.59028627967405</v>
      </c>
    </row>
    <row r="22" spans="1:48" ht="27">
      <c r="A22" s="11">
        <v>19</v>
      </c>
      <c r="B22" s="16" t="s">
        <v>83</v>
      </c>
      <c r="C22" s="17" t="s">
        <v>84</v>
      </c>
      <c r="D22" s="18" t="s">
        <v>41</v>
      </c>
      <c r="E22" s="18" t="s">
        <v>83</v>
      </c>
      <c r="F22" s="17" t="s">
        <v>85</v>
      </c>
      <c r="G22" s="17" t="s">
        <v>86</v>
      </c>
      <c r="H22" s="15">
        <v>97165.68</v>
      </c>
      <c r="I22" s="28">
        <v>100332</v>
      </c>
      <c r="J22" s="29">
        <v>102955.77</v>
      </c>
      <c r="K22" s="29">
        <v>106131.48</v>
      </c>
      <c r="L22" s="30">
        <f t="shared" si="3"/>
        <v>3166.320000000007</v>
      </c>
      <c r="M22" s="31">
        <f t="shared" si="4"/>
        <v>6.9410342880280827E-3</v>
      </c>
      <c r="N22" s="30">
        <f t="shared" si="5"/>
        <v>664.81858044853334</v>
      </c>
      <c r="O22" s="29">
        <v>108907.2</v>
      </c>
      <c r="P22" s="137">
        <v>111148.83</v>
      </c>
      <c r="Q22" s="28">
        <v>113945.34</v>
      </c>
      <c r="R22" s="29">
        <v>117098.4</v>
      </c>
      <c r="S22" s="29">
        <v>119875.68</v>
      </c>
      <c r="T22" s="30">
        <f t="shared" si="0"/>
        <v>3831.1385804485403</v>
      </c>
      <c r="U22" s="33">
        <f t="shared" si="1"/>
        <v>2623.7700000000041</v>
      </c>
      <c r="V22" s="31">
        <f t="shared" si="6"/>
        <v>7.6438784733533702E-3</v>
      </c>
      <c r="W22" s="150">
        <f t="shared" si="2"/>
        <v>667.75286553221736</v>
      </c>
      <c r="X22" s="33">
        <f t="shared" si="7"/>
        <v>3291.5228655322217</v>
      </c>
      <c r="Y22" s="125">
        <f t="shared" si="8"/>
        <v>3175.7099999999919</v>
      </c>
      <c r="Z22" s="126">
        <f t="shared" si="9"/>
        <v>8.9675739229520494E-3</v>
      </c>
      <c r="AA22" s="127">
        <f t="shared" si="10"/>
        <v>1224.6695564186559</v>
      </c>
      <c r="AB22" s="144">
        <f t="shared" si="11"/>
        <v>4400.3795564186476</v>
      </c>
      <c r="AC22" s="33">
        <f t="shared" si="12"/>
        <v>2775.7200000000012</v>
      </c>
      <c r="AD22" s="145">
        <f t="shared" si="13"/>
        <v>8.0620498894304338E-3</v>
      </c>
      <c r="AE22" s="144">
        <f t="shared" si="14"/>
        <v>927.09889371650274</v>
      </c>
      <c r="AF22" s="144">
        <f t="shared" si="15"/>
        <v>3702.8188937165041</v>
      </c>
      <c r="AG22" s="33">
        <f t="shared" si="16"/>
        <v>2241.6300000000047</v>
      </c>
      <c r="AH22" s="145">
        <f t="shared" si="17"/>
        <v>6.0602464131991433E-3</v>
      </c>
      <c r="AI22" s="144">
        <f t="shared" si="18"/>
        <v>816.78243685638074</v>
      </c>
      <c r="AJ22" s="144">
        <f t="shared" si="19"/>
        <v>3058.4124368563853</v>
      </c>
      <c r="AK22" s="33">
        <f t="shared" si="20"/>
        <v>2796.5099999999948</v>
      </c>
      <c r="AL22" s="145">
        <f t="shared" si="21"/>
        <v>5.5800437199301691E-3</v>
      </c>
      <c r="AM22" s="144">
        <f t="shared" si="22"/>
        <v>820.65290065777856</v>
      </c>
      <c r="AN22" s="144">
        <f t="shared" si="23"/>
        <v>3617.1629006577732</v>
      </c>
      <c r="AO22" s="125">
        <f t="shared" si="24"/>
        <v>3153.0599999999977</v>
      </c>
      <c r="AP22" s="145">
        <f t="shared" si="25"/>
        <v>5.6801406659257123E-3</v>
      </c>
      <c r="AQ22" s="41">
        <f t="shared" si="26"/>
        <v>627.17017556488486</v>
      </c>
      <c r="AR22" s="125">
        <f t="shared" si="27"/>
        <v>3780.2301755648823</v>
      </c>
      <c r="AS22" s="164">
        <f t="shared" si="28"/>
        <v>2777.2799999999988</v>
      </c>
      <c r="AT22" s="145">
        <f t="shared" si="29"/>
        <v>5.7214567234903689E-3</v>
      </c>
      <c r="AU22" s="127">
        <f t="shared" si="30"/>
        <v>654.26665613437274</v>
      </c>
      <c r="AV22" s="164">
        <f t="shared" si="31"/>
        <v>3431.5466561343715</v>
      </c>
    </row>
    <row r="23" spans="1:48" ht="13.5" customHeight="1">
      <c r="A23" s="16">
        <v>20</v>
      </c>
      <c r="B23" s="16" t="s">
        <v>49</v>
      </c>
      <c r="C23" s="17" t="s">
        <v>50</v>
      </c>
      <c r="D23" s="21" t="s">
        <v>67</v>
      </c>
      <c r="E23" s="18" t="s">
        <v>49</v>
      </c>
      <c r="F23" s="17" t="s">
        <v>87</v>
      </c>
      <c r="G23" s="17" t="s">
        <v>88</v>
      </c>
      <c r="H23" s="15">
        <v>2938675.7</v>
      </c>
      <c r="I23" s="28">
        <v>3004044</v>
      </c>
      <c r="J23" s="29">
        <v>3065787.9</v>
      </c>
      <c r="K23" s="29">
        <v>3138309.8</v>
      </c>
      <c r="L23" s="30">
        <f t="shared" si="3"/>
        <v>65368.299999999814</v>
      </c>
      <c r="M23" s="31">
        <f t="shared" si="4"/>
        <v>0.14329682775275518</v>
      </c>
      <c r="N23" s="30">
        <f t="shared" si="5"/>
        <v>13725.100562272175</v>
      </c>
      <c r="O23" s="29">
        <v>3212801.25</v>
      </c>
      <c r="P23" s="137">
        <v>3285561.6</v>
      </c>
      <c r="Q23" s="28">
        <v>3356335.25</v>
      </c>
      <c r="R23" s="29">
        <v>3426032.2</v>
      </c>
      <c r="S23" s="29">
        <v>3497070.3</v>
      </c>
      <c r="T23" s="30">
        <f t="shared" si="0"/>
        <v>79093.400562271985</v>
      </c>
      <c r="U23" s="33">
        <f t="shared" si="1"/>
        <v>61743.899999999907</v>
      </c>
      <c r="V23" s="31">
        <f t="shared" si="6"/>
        <v>0.17987966478421574</v>
      </c>
      <c r="W23" s="150">
        <f t="shared" si="2"/>
        <v>15713.902573066447</v>
      </c>
      <c r="X23" s="33">
        <f t="shared" si="7"/>
        <v>77457.80257306635</v>
      </c>
      <c r="Y23" s="125">
        <f t="shared" si="8"/>
        <v>72521.899999999907</v>
      </c>
      <c r="Z23" s="126">
        <f t="shared" si="9"/>
        <v>0.20478743313556247</v>
      </c>
      <c r="AA23" s="127">
        <f t="shared" si="10"/>
        <v>27967.08865218746</v>
      </c>
      <c r="AB23" s="144">
        <f t="shared" si="11"/>
        <v>100488.98865218737</v>
      </c>
      <c r="AC23" s="33">
        <f t="shared" si="12"/>
        <v>74491.450000000186</v>
      </c>
      <c r="AD23" s="145">
        <f t="shared" si="13"/>
        <v>0.21635964226795712</v>
      </c>
      <c r="AE23" s="144">
        <f t="shared" si="14"/>
        <v>24880.370097249841</v>
      </c>
      <c r="AF23" s="144">
        <f t="shared" si="15"/>
        <v>99371.82009725002</v>
      </c>
      <c r="AG23" s="33">
        <f t="shared" si="16"/>
        <v>72760.350000000093</v>
      </c>
      <c r="AH23" s="145">
        <f t="shared" si="17"/>
        <v>0.19670759675352933</v>
      </c>
      <c r="AI23" s="144">
        <f t="shared" si="18"/>
        <v>26511.679438410047</v>
      </c>
      <c r="AJ23" s="144">
        <f t="shared" si="19"/>
        <v>99272.029438410143</v>
      </c>
      <c r="AK23" s="33">
        <f t="shared" si="20"/>
        <v>70773.649999999907</v>
      </c>
      <c r="AL23" s="145">
        <f t="shared" si="21"/>
        <v>0.14121889827643599</v>
      </c>
      <c r="AM23" s="144">
        <f t="shared" si="22"/>
        <v>20768.95886753075</v>
      </c>
      <c r="AN23" s="144">
        <f t="shared" si="23"/>
        <v>91542.608867530653</v>
      </c>
      <c r="AO23" s="125">
        <f t="shared" si="24"/>
        <v>69696.950000000186</v>
      </c>
      <c r="AP23" s="145">
        <f t="shared" si="25"/>
        <v>0.12555691296264343</v>
      </c>
      <c r="AQ23" s="41">
        <f t="shared" si="26"/>
        <v>13863.310044159374</v>
      </c>
      <c r="AR23" s="125">
        <f t="shared" si="27"/>
        <v>83560.260044159557</v>
      </c>
      <c r="AS23" s="164">
        <f t="shared" si="28"/>
        <v>71038.099999999627</v>
      </c>
      <c r="AT23" s="145">
        <f t="shared" si="29"/>
        <v>0.14634513440091718</v>
      </c>
      <c r="AU23" s="127">
        <f t="shared" si="30"/>
        <v>16735.028569369661</v>
      </c>
      <c r="AV23" s="164">
        <f t="shared" si="31"/>
        <v>87773.128569369292</v>
      </c>
    </row>
    <row r="24" spans="1:48" ht="27">
      <c r="A24" s="11">
        <v>21</v>
      </c>
      <c r="B24" s="16" t="s">
        <v>49</v>
      </c>
      <c r="C24" s="17" t="s">
        <v>50</v>
      </c>
      <c r="D24" s="21" t="s">
        <v>67</v>
      </c>
      <c r="E24" s="18" t="s">
        <v>49</v>
      </c>
      <c r="F24" s="17" t="s">
        <v>89</v>
      </c>
      <c r="G24" s="17" t="s">
        <v>90</v>
      </c>
      <c r="H24" s="15">
        <v>1048141.5</v>
      </c>
      <c r="I24" s="28">
        <v>1060074.7</v>
      </c>
      <c r="J24" s="29">
        <v>1072820.7</v>
      </c>
      <c r="K24" s="29">
        <v>1088491.8999999999</v>
      </c>
      <c r="L24" s="30">
        <f t="shared" si="3"/>
        <v>11933.199999999953</v>
      </c>
      <c r="M24" s="31">
        <f t="shared" si="4"/>
        <v>2.6159311240145092E-2</v>
      </c>
      <c r="N24" s="30">
        <f t="shared" si="5"/>
        <v>2505.5626355543309</v>
      </c>
      <c r="O24" s="29">
        <v>1103296.5</v>
      </c>
      <c r="P24" s="137">
        <v>1120544.6000000001</v>
      </c>
      <c r="Q24" s="28">
        <v>1136386.5</v>
      </c>
      <c r="R24" s="29">
        <v>1155058.1000000001</v>
      </c>
      <c r="S24" s="29">
        <v>1172994.1000000001</v>
      </c>
      <c r="T24" s="30">
        <f t="shared" si="0"/>
        <v>14438.762635554285</v>
      </c>
      <c r="U24" s="33">
        <f t="shared" si="1"/>
        <v>12746</v>
      </c>
      <c r="V24" s="31">
        <f t="shared" si="6"/>
        <v>3.7133161451408436E-2</v>
      </c>
      <c r="W24" s="150">
        <f t="shared" si="2"/>
        <v>3243.8735194295346</v>
      </c>
      <c r="X24" s="33">
        <f t="shared" si="7"/>
        <v>15989.873519429535</v>
      </c>
      <c r="Y24" s="125">
        <f t="shared" si="8"/>
        <v>15671.199999999953</v>
      </c>
      <c r="Z24" s="126">
        <f t="shared" si="9"/>
        <v>4.4252354421961106E-2</v>
      </c>
      <c r="AA24" s="127">
        <f t="shared" si="10"/>
        <v>6043.3860625019388</v>
      </c>
      <c r="AB24" s="144">
        <f t="shared" si="11"/>
        <v>21714.58606250189</v>
      </c>
      <c r="AC24" s="33">
        <f t="shared" si="12"/>
        <v>14804.600000000093</v>
      </c>
      <c r="AD24" s="145">
        <f t="shared" si="13"/>
        <v>4.2999806822396534E-2</v>
      </c>
      <c r="AE24" s="144">
        <f t="shared" si="14"/>
        <v>4944.7812754584102</v>
      </c>
      <c r="AF24" s="144">
        <f t="shared" si="15"/>
        <v>19749.381275458501</v>
      </c>
      <c r="AG24" s="33">
        <f t="shared" si="16"/>
        <v>17248.100000000093</v>
      </c>
      <c r="AH24" s="145">
        <f t="shared" si="17"/>
        <v>4.663023610475435E-2</v>
      </c>
      <c r="AI24" s="144">
        <f t="shared" si="18"/>
        <v>6284.6879945140754</v>
      </c>
      <c r="AJ24" s="144">
        <f t="shared" si="19"/>
        <v>23532.787994514169</v>
      </c>
      <c r="AK24" s="33">
        <f t="shared" si="20"/>
        <v>15841.899999999907</v>
      </c>
      <c r="AL24" s="145">
        <f t="shared" si="21"/>
        <v>3.1610290900716029E-2</v>
      </c>
      <c r="AM24" s="144">
        <f t="shared" si="22"/>
        <v>4648.9020911530479</v>
      </c>
      <c r="AN24" s="144">
        <f t="shared" si="23"/>
        <v>20490.802091152953</v>
      </c>
      <c r="AO24" s="125">
        <f t="shared" si="24"/>
        <v>18671.600000000093</v>
      </c>
      <c r="AP24" s="145">
        <f t="shared" si="25"/>
        <v>3.3636313440879383E-2</v>
      </c>
      <c r="AQ24" s="41">
        <f t="shared" si="26"/>
        <v>3713.9384122336305</v>
      </c>
      <c r="AR24" s="125">
        <f t="shared" si="27"/>
        <v>22385.538412233724</v>
      </c>
      <c r="AS24" s="164">
        <f t="shared" si="28"/>
        <v>17936</v>
      </c>
      <c r="AT24" s="145">
        <f t="shared" si="29"/>
        <v>3.6949838616388446E-2</v>
      </c>
      <c r="AU24" s="127">
        <f t="shared" si="30"/>
        <v>4225.3308072740647</v>
      </c>
      <c r="AV24" s="164">
        <f t="shared" si="31"/>
        <v>22161.330807274066</v>
      </c>
    </row>
    <row r="25" spans="1:48" ht="27">
      <c r="A25" s="16">
        <v>22</v>
      </c>
      <c r="B25" s="16" t="s">
        <v>49</v>
      </c>
      <c r="C25" s="17" t="s">
        <v>50</v>
      </c>
      <c r="D25" s="21" t="s">
        <v>67</v>
      </c>
      <c r="E25" s="18" t="s">
        <v>49</v>
      </c>
      <c r="F25" s="17" t="s">
        <v>91</v>
      </c>
      <c r="G25" s="17" t="s">
        <v>92</v>
      </c>
      <c r="H25" s="15">
        <v>659648.52</v>
      </c>
      <c r="I25" s="28">
        <v>693900.64</v>
      </c>
      <c r="J25" s="29">
        <v>715881.28</v>
      </c>
      <c r="K25" s="29">
        <v>721752.8</v>
      </c>
      <c r="L25" s="30">
        <f t="shared" si="3"/>
        <v>34252.119999999995</v>
      </c>
      <c r="M25" s="31">
        <f t="shared" si="4"/>
        <v>7.5085632329534566E-2</v>
      </c>
      <c r="N25" s="30">
        <f t="shared" si="5"/>
        <v>7191.7701924482562</v>
      </c>
      <c r="O25" s="29">
        <v>727854.24</v>
      </c>
      <c r="P25" s="137">
        <v>733570.4</v>
      </c>
      <c r="Q25" s="28">
        <v>741011.69</v>
      </c>
      <c r="R25" s="29">
        <v>747598.72</v>
      </c>
      <c r="S25" s="29">
        <v>753193.12</v>
      </c>
      <c r="T25" s="30">
        <f t="shared" si="0"/>
        <v>41443.890192448249</v>
      </c>
      <c r="U25" s="33">
        <f t="shared" si="1"/>
        <v>21980.640000000014</v>
      </c>
      <c r="V25" s="31">
        <f t="shared" si="6"/>
        <v>6.4036611793918619E-2</v>
      </c>
      <c r="W25" s="150">
        <f t="shared" si="2"/>
        <v>5594.1013679674907</v>
      </c>
      <c r="X25" s="33">
        <f t="shared" si="7"/>
        <v>27574.741367967505</v>
      </c>
      <c r="Y25" s="125">
        <f t="shared" si="8"/>
        <v>5871.5200000000186</v>
      </c>
      <c r="Z25" s="126">
        <f t="shared" si="9"/>
        <v>1.6580005617670292E-2</v>
      </c>
      <c r="AA25" s="127">
        <f t="shared" si="10"/>
        <v>2264.2721765851757</v>
      </c>
      <c r="AB25" s="144">
        <f t="shared" si="11"/>
        <v>8135.7921765851943</v>
      </c>
      <c r="AC25" s="33">
        <f t="shared" si="12"/>
        <v>6101.4399999999441</v>
      </c>
      <c r="AD25" s="145">
        <f t="shared" si="13"/>
        <v>1.7721569062213033E-2</v>
      </c>
      <c r="AE25" s="144">
        <f t="shared" si="14"/>
        <v>2037.8994545838791</v>
      </c>
      <c r="AF25" s="144">
        <f t="shared" si="15"/>
        <v>8139.3394545838237</v>
      </c>
      <c r="AG25" s="33">
        <f t="shared" si="16"/>
        <v>5716.1600000000326</v>
      </c>
      <c r="AH25" s="145">
        <f t="shared" si="17"/>
        <v>1.5453637815907417E-2</v>
      </c>
      <c r="AI25" s="144">
        <f t="shared" si="18"/>
        <v>2082.7964892783316</v>
      </c>
      <c r="AJ25" s="144">
        <f t="shared" si="19"/>
        <v>7798.9564892783637</v>
      </c>
      <c r="AK25" s="33">
        <f t="shared" si="20"/>
        <v>7441.2899999999208</v>
      </c>
      <c r="AL25" s="145">
        <f t="shared" si="21"/>
        <v>1.4848051154002239E-2</v>
      </c>
      <c r="AM25" s="144">
        <f t="shared" si="22"/>
        <v>2183.691895661259</v>
      </c>
      <c r="AN25" s="144">
        <f t="shared" si="23"/>
        <v>9624.9818956611798</v>
      </c>
      <c r="AO25" s="125">
        <f t="shared" si="24"/>
        <v>6587.0300000000279</v>
      </c>
      <c r="AP25" s="145">
        <f t="shared" si="25"/>
        <v>1.1866332061766295E-2</v>
      </c>
      <c r="AQ25" s="41">
        <f t="shared" si="26"/>
        <v>1310.2157147504913</v>
      </c>
      <c r="AR25" s="125">
        <f t="shared" si="27"/>
        <v>7897.2457147505193</v>
      </c>
      <c r="AS25" s="164">
        <f t="shared" si="28"/>
        <v>5594.4000000000233</v>
      </c>
      <c r="AT25" s="145">
        <f t="shared" si="29"/>
        <v>1.1524987575575622E-2</v>
      </c>
      <c r="AU25" s="127">
        <f t="shared" si="30"/>
        <v>1317.9187482278169</v>
      </c>
      <c r="AV25" s="164">
        <f t="shared" si="31"/>
        <v>6912.3187482278399</v>
      </c>
    </row>
    <row r="26" spans="1:48" ht="27">
      <c r="A26" s="11">
        <v>23</v>
      </c>
      <c r="B26" s="16" t="s">
        <v>49</v>
      </c>
      <c r="C26" s="17" t="s">
        <v>50</v>
      </c>
      <c r="D26" s="21" t="s">
        <v>67</v>
      </c>
      <c r="E26" s="18" t="s">
        <v>49</v>
      </c>
      <c r="F26" s="17" t="s">
        <v>93</v>
      </c>
      <c r="G26" s="17" t="s">
        <v>94</v>
      </c>
      <c r="H26" s="15">
        <v>108258.41</v>
      </c>
      <c r="I26" s="28">
        <v>111809.04</v>
      </c>
      <c r="J26" s="29">
        <v>114951.27</v>
      </c>
      <c r="K26" s="29">
        <v>118279.42</v>
      </c>
      <c r="L26" s="30">
        <f t="shared" si="3"/>
        <v>3550.6299999999901</v>
      </c>
      <c r="M26" s="31">
        <f t="shared" si="4"/>
        <v>7.7834977431532589E-3</v>
      </c>
      <c r="N26" s="30">
        <f t="shared" si="5"/>
        <v>745.51049682216706</v>
      </c>
      <c r="O26" s="29">
        <v>121661.73</v>
      </c>
      <c r="P26" s="137">
        <v>124959.55</v>
      </c>
      <c r="Q26" s="28">
        <v>128593.02</v>
      </c>
      <c r="R26" s="29">
        <v>132508.72</v>
      </c>
      <c r="S26" s="29">
        <v>136911.94</v>
      </c>
      <c r="T26" s="30">
        <f t="shared" si="0"/>
        <v>4296.1404968221568</v>
      </c>
      <c r="U26" s="33">
        <f t="shared" si="1"/>
        <v>3142.2300000000105</v>
      </c>
      <c r="V26" s="31">
        <f t="shared" si="6"/>
        <v>9.1543177394837211E-3</v>
      </c>
      <c r="W26" s="150">
        <f t="shared" si="2"/>
        <v>799.70160748133526</v>
      </c>
      <c r="X26" s="33">
        <f t="shared" si="7"/>
        <v>3941.931607481346</v>
      </c>
      <c r="Y26" s="125">
        <f t="shared" si="8"/>
        <v>3328.1499999999942</v>
      </c>
      <c r="Z26" s="126">
        <f t="shared" si="9"/>
        <v>9.3980341881572584E-3</v>
      </c>
      <c r="AA26" s="127">
        <f t="shared" si="10"/>
        <v>1283.4559780945845</v>
      </c>
      <c r="AB26" s="144">
        <f t="shared" si="11"/>
        <v>4611.6059780945789</v>
      </c>
      <c r="AC26" s="33">
        <f t="shared" si="12"/>
        <v>3382.3099999999977</v>
      </c>
      <c r="AD26" s="145">
        <f t="shared" si="13"/>
        <v>9.8238842395916813E-3</v>
      </c>
      <c r="AE26" s="144">
        <f t="shared" si="14"/>
        <v>1129.7017924020654</v>
      </c>
      <c r="AF26" s="144">
        <f t="shared" si="15"/>
        <v>4512.0117924020633</v>
      </c>
      <c r="AG26" s="33">
        <f t="shared" si="16"/>
        <v>3297.820000000007</v>
      </c>
      <c r="AH26" s="145">
        <f t="shared" si="17"/>
        <v>8.9156559407111789E-3</v>
      </c>
      <c r="AI26" s="144">
        <f t="shared" si="18"/>
        <v>1201.6262522868224</v>
      </c>
      <c r="AJ26" s="144">
        <f t="shared" si="19"/>
        <v>4499.4462522868289</v>
      </c>
      <c r="AK26" s="33">
        <f t="shared" si="20"/>
        <v>3633.4700000000012</v>
      </c>
      <c r="AL26" s="145">
        <f t="shared" si="21"/>
        <v>7.2500800837668076E-3</v>
      </c>
      <c r="AM26" s="144">
        <f t="shared" si="22"/>
        <v>1066.2639128603241</v>
      </c>
      <c r="AN26" s="144">
        <f t="shared" si="23"/>
        <v>4699.7339128603253</v>
      </c>
      <c r="AO26" s="125">
        <f t="shared" si="24"/>
        <v>3915.6999999999971</v>
      </c>
      <c r="AP26" s="145">
        <f t="shared" si="25"/>
        <v>7.0540131826115939E-3</v>
      </c>
      <c r="AQ26" s="41">
        <f t="shared" si="26"/>
        <v>778.86569125212316</v>
      </c>
      <c r="AR26" s="125">
        <f t="shared" si="27"/>
        <v>4694.5656912521199</v>
      </c>
      <c r="AS26" s="164">
        <f t="shared" si="28"/>
        <v>4403.2200000000012</v>
      </c>
      <c r="AT26" s="145">
        <f t="shared" si="29"/>
        <v>9.0710452939592977E-3</v>
      </c>
      <c r="AU26" s="127">
        <f t="shared" si="30"/>
        <v>1037.302693867379</v>
      </c>
      <c r="AV26" s="164">
        <f t="shared" si="31"/>
        <v>5440.5226938673804</v>
      </c>
    </row>
    <row r="27" spans="1:48" ht="27">
      <c r="A27" s="16">
        <v>24</v>
      </c>
      <c r="B27" s="16" t="s">
        <v>49</v>
      </c>
      <c r="C27" s="17" t="s">
        <v>50</v>
      </c>
      <c r="D27" s="21" t="s">
        <v>67</v>
      </c>
      <c r="E27" s="18" t="s">
        <v>49</v>
      </c>
      <c r="F27" s="17" t="s">
        <v>95</v>
      </c>
      <c r="G27" s="17" t="s">
        <v>96</v>
      </c>
      <c r="H27" s="15">
        <v>234198</v>
      </c>
      <c r="I27" s="28">
        <v>239020.9</v>
      </c>
      <c r="J27" s="29">
        <v>243288.48</v>
      </c>
      <c r="K27" s="29">
        <v>248579.1</v>
      </c>
      <c r="L27" s="30">
        <f t="shared" si="3"/>
        <v>4822.8999999999942</v>
      </c>
      <c r="M27" s="31">
        <f t="shared" si="4"/>
        <v>1.0572498758094736E-2</v>
      </c>
      <c r="N27" s="30">
        <f t="shared" si="5"/>
        <v>1012.6435520241859</v>
      </c>
      <c r="O27" s="29">
        <v>254158.44</v>
      </c>
      <c r="P27" s="137">
        <v>260133.36</v>
      </c>
      <c r="Q27" s="28">
        <v>265449.63</v>
      </c>
      <c r="R27" s="29">
        <v>270614.65999999997</v>
      </c>
      <c r="S27" s="29">
        <v>276187.71999999997</v>
      </c>
      <c r="T27" s="30">
        <f t="shared" si="0"/>
        <v>5835.5435520241799</v>
      </c>
      <c r="U27" s="33">
        <f t="shared" si="1"/>
        <v>4267.5800000000163</v>
      </c>
      <c r="V27" s="31">
        <f t="shared" si="6"/>
        <v>1.2432821053413009E-2</v>
      </c>
      <c r="W27" s="150">
        <f t="shared" si="2"/>
        <v>1086.104640989106</v>
      </c>
      <c r="X27" s="33">
        <f t="shared" si="7"/>
        <v>5353.6846409891223</v>
      </c>
      <c r="Y27" s="125">
        <f t="shared" si="8"/>
        <v>5290.6199999999953</v>
      </c>
      <c r="Z27" s="126">
        <f t="shared" si="9"/>
        <v>1.4939659461427099E-2</v>
      </c>
      <c r="AA27" s="127">
        <f t="shared" si="10"/>
        <v>2040.2559580628206</v>
      </c>
      <c r="AB27" s="144">
        <f t="shared" si="11"/>
        <v>7330.8759580628157</v>
      </c>
      <c r="AC27" s="33">
        <f t="shared" si="12"/>
        <v>5579.3399999999965</v>
      </c>
      <c r="AD27" s="145">
        <f t="shared" si="13"/>
        <v>1.6205135038870905E-2</v>
      </c>
      <c r="AE27" s="144">
        <f t="shared" si="14"/>
        <v>1863.5164720030216</v>
      </c>
      <c r="AF27" s="144">
        <f t="shared" si="15"/>
        <v>7442.8564720030181</v>
      </c>
      <c r="AG27" s="33">
        <f t="shared" si="16"/>
        <v>5974.9199999999837</v>
      </c>
      <c r="AH27" s="145">
        <f t="shared" si="17"/>
        <v>1.6153195442223583E-2</v>
      </c>
      <c r="AI27" s="144">
        <f t="shared" si="18"/>
        <v>2177.0808374361077</v>
      </c>
      <c r="AJ27" s="144">
        <f t="shared" si="19"/>
        <v>8152.0008374360914</v>
      </c>
      <c r="AK27" s="33">
        <f t="shared" si="20"/>
        <v>5316.2700000000186</v>
      </c>
      <c r="AL27" s="145">
        <f t="shared" si="21"/>
        <v>1.060787160673601E-2</v>
      </c>
      <c r="AM27" s="144">
        <f t="shared" si="22"/>
        <v>1560.0918273776786</v>
      </c>
      <c r="AN27" s="144">
        <f t="shared" si="23"/>
        <v>6876.3618273776974</v>
      </c>
      <c r="AO27" s="125">
        <f t="shared" si="24"/>
        <v>5165.0299999999697</v>
      </c>
      <c r="AP27" s="145">
        <f t="shared" si="25"/>
        <v>9.3046427735996567E-3</v>
      </c>
      <c r="AQ27" s="41">
        <f t="shared" si="26"/>
        <v>1027.3679447577531</v>
      </c>
      <c r="AR27" s="125">
        <f t="shared" si="27"/>
        <v>6192.3979447577231</v>
      </c>
      <c r="AS27" s="164">
        <f t="shared" si="28"/>
        <v>5573.0599999999977</v>
      </c>
      <c r="AT27" s="145">
        <f t="shared" si="29"/>
        <v>1.1481025178381451E-2</v>
      </c>
      <c r="AU27" s="127">
        <f t="shared" si="30"/>
        <v>1312.8915091874883</v>
      </c>
      <c r="AV27" s="164">
        <f t="shared" si="31"/>
        <v>6885.9515091874855</v>
      </c>
    </row>
    <row r="28" spans="1:48" ht="27">
      <c r="A28" s="11">
        <v>25</v>
      </c>
      <c r="B28" s="16" t="s">
        <v>49</v>
      </c>
      <c r="C28" s="17" t="s">
        <v>50</v>
      </c>
      <c r="D28" s="21" t="s">
        <v>67</v>
      </c>
      <c r="E28" s="18" t="s">
        <v>49</v>
      </c>
      <c r="F28" s="17" t="s">
        <v>97</v>
      </c>
      <c r="G28" s="17" t="s">
        <v>98</v>
      </c>
      <c r="H28" s="15">
        <v>52071.57</v>
      </c>
      <c r="I28" s="28">
        <v>53133.43</v>
      </c>
      <c r="J28" s="29">
        <v>54106.06</v>
      </c>
      <c r="K28" s="29">
        <v>55229.36</v>
      </c>
      <c r="L28" s="30">
        <f t="shared" si="3"/>
        <v>1061.8600000000006</v>
      </c>
      <c r="M28" s="31">
        <f t="shared" si="4"/>
        <v>2.3277516704203896E-3</v>
      </c>
      <c r="N28" s="30">
        <f t="shared" si="5"/>
        <v>222.95417324688549</v>
      </c>
      <c r="O28" s="29">
        <v>56279.43</v>
      </c>
      <c r="P28" s="137">
        <v>57270.8</v>
      </c>
      <c r="Q28" s="28">
        <v>58379.35</v>
      </c>
      <c r="R28" s="29">
        <v>59446.559999999998</v>
      </c>
      <c r="S28" s="29">
        <v>60514.99</v>
      </c>
      <c r="T28" s="30">
        <f t="shared" si="0"/>
        <v>1284.8141732468862</v>
      </c>
      <c r="U28" s="33">
        <f t="shared" si="1"/>
        <v>972.62999999999738</v>
      </c>
      <c r="V28" s="31">
        <f t="shared" si="6"/>
        <v>2.8335812664744458E-3</v>
      </c>
      <c r="W28" s="150">
        <f t="shared" si="2"/>
        <v>247.53559557529729</v>
      </c>
      <c r="X28" s="33">
        <f t="shared" si="7"/>
        <v>1220.1655955752947</v>
      </c>
      <c r="Y28" s="125">
        <f t="shared" si="8"/>
        <v>1123.3000000000029</v>
      </c>
      <c r="Z28" s="126">
        <f t="shared" si="9"/>
        <v>3.1719759636906673E-3</v>
      </c>
      <c r="AA28" s="127">
        <f t="shared" si="10"/>
        <v>433.18543340704383</v>
      </c>
      <c r="AB28" s="144">
        <f t="shared" si="11"/>
        <v>1556.4854334070467</v>
      </c>
      <c r="AC28" s="33">
        <f t="shared" si="12"/>
        <v>1050.0699999999997</v>
      </c>
      <c r="AD28" s="145">
        <f t="shared" si="13"/>
        <v>3.0499174006723335E-3</v>
      </c>
      <c r="AE28" s="144">
        <f t="shared" si="14"/>
        <v>350.72656295479635</v>
      </c>
      <c r="AF28" s="144">
        <f t="shared" si="15"/>
        <v>1400.7965629547962</v>
      </c>
      <c r="AG28" s="33">
        <f t="shared" si="16"/>
        <v>991.37000000000262</v>
      </c>
      <c r="AH28" s="145">
        <f t="shared" si="17"/>
        <v>2.6801686659498839E-3</v>
      </c>
      <c r="AI28" s="144">
        <f t="shared" si="18"/>
        <v>361.22536030759341</v>
      </c>
      <c r="AJ28" s="144">
        <f t="shared" si="19"/>
        <v>1352.5953603075959</v>
      </c>
      <c r="AK28" s="33">
        <f t="shared" si="20"/>
        <v>1108.5499999999956</v>
      </c>
      <c r="AL28" s="145">
        <f t="shared" si="21"/>
        <v>2.2119561402349987E-3</v>
      </c>
      <c r="AM28" s="144">
        <f t="shared" si="22"/>
        <v>325.31075269681804</v>
      </c>
      <c r="AN28" s="144">
        <f t="shared" si="23"/>
        <v>1433.8607526968137</v>
      </c>
      <c r="AO28" s="125">
        <f t="shared" si="24"/>
        <v>1067.2099999999991</v>
      </c>
      <c r="AP28" s="145">
        <f t="shared" si="25"/>
        <v>1.9225460092997214E-3</v>
      </c>
      <c r="AQ28" s="41">
        <f t="shared" si="26"/>
        <v>212.27705247112351</v>
      </c>
      <c r="AR28" s="125">
        <f t="shared" si="27"/>
        <v>1279.4870524711228</v>
      </c>
      <c r="AS28" s="164">
        <f t="shared" si="28"/>
        <v>1068.4300000000003</v>
      </c>
      <c r="AT28" s="145">
        <f t="shared" si="29"/>
        <v>2.2010657935385772E-3</v>
      </c>
      <c r="AU28" s="127">
        <f t="shared" si="30"/>
        <v>251.69882885904497</v>
      </c>
      <c r="AV28" s="164">
        <f t="shared" si="31"/>
        <v>1320.1288288590454</v>
      </c>
    </row>
    <row r="29" spans="1:48" ht="27">
      <c r="A29" s="16">
        <v>26</v>
      </c>
      <c r="B29" s="16" t="s">
        <v>83</v>
      </c>
      <c r="C29" s="17" t="s">
        <v>84</v>
      </c>
      <c r="D29" s="21" t="s">
        <v>67</v>
      </c>
      <c r="E29" s="18" t="s">
        <v>83</v>
      </c>
      <c r="F29" s="17" t="s">
        <v>99</v>
      </c>
      <c r="G29" s="17" t="s">
        <v>100</v>
      </c>
      <c r="H29" s="15">
        <v>154489.26</v>
      </c>
      <c r="I29" s="28">
        <v>157194.06</v>
      </c>
      <c r="J29" s="29">
        <v>159615.01</v>
      </c>
      <c r="K29" s="29">
        <v>162350.06</v>
      </c>
      <c r="L29" s="30">
        <f t="shared" si="3"/>
        <v>2704.7999999999884</v>
      </c>
      <c r="M29" s="31">
        <f t="shared" si="4"/>
        <v>5.9293152752274677E-3</v>
      </c>
      <c r="N29" s="30">
        <f t="shared" si="5"/>
        <v>567.91521273818853</v>
      </c>
      <c r="O29" s="29">
        <v>167403.51</v>
      </c>
      <c r="P29" s="137">
        <v>173089.5</v>
      </c>
      <c r="Q29" s="28">
        <v>180187.17</v>
      </c>
      <c r="R29" s="29">
        <v>189935.1</v>
      </c>
      <c r="S29" s="29">
        <v>203432.46</v>
      </c>
      <c r="T29" s="30">
        <f t="shared" si="0"/>
        <v>3272.7152127381769</v>
      </c>
      <c r="U29" s="33">
        <f t="shared" si="1"/>
        <v>2420.9500000000116</v>
      </c>
      <c r="V29" s="31">
        <f t="shared" si="6"/>
        <v>7.0529991539139874E-3</v>
      </c>
      <c r="W29" s="150">
        <f t="shared" si="2"/>
        <v>616.13491266773644</v>
      </c>
      <c r="X29" s="33">
        <f t="shared" si="7"/>
        <v>3037.0849126677481</v>
      </c>
      <c r="Y29" s="125">
        <f t="shared" si="8"/>
        <v>2735.0499999999884</v>
      </c>
      <c r="Z29" s="126">
        <f t="shared" si="9"/>
        <v>7.7232376564516161E-3</v>
      </c>
      <c r="AA29" s="127">
        <f t="shared" si="10"/>
        <v>1054.7349947831631</v>
      </c>
      <c r="AB29" s="144">
        <f t="shared" si="11"/>
        <v>3789.7849947831514</v>
      </c>
      <c r="AC29" s="33">
        <f t="shared" si="12"/>
        <v>5053.4500000000116</v>
      </c>
      <c r="AD29" s="145">
        <f t="shared" si="13"/>
        <v>1.467769299992157E-2</v>
      </c>
      <c r="AE29" s="144">
        <f t="shared" si="14"/>
        <v>1687.8676179339666</v>
      </c>
      <c r="AF29" s="144">
        <f t="shared" si="15"/>
        <v>6741.317617933978</v>
      </c>
      <c r="AG29" s="33">
        <f t="shared" si="16"/>
        <v>5685.9899999999907</v>
      </c>
      <c r="AH29" s="145">
        <f t="shared" si="17"/>
        <v>1.5372073224834639E-2</v>
      </c>
      <c r="AI29" s="144">
        <f t="shared" si="18"/>
        <v>2071.8034502308565</v>
      </c>
      <c r="AJ29" s="144">
        <f t="shared" si="19"/>
        <v>7757.7934502308472</v>
      </c>
      <c r="AK29" s="33">
        <f t="shared" si="20"/>
        <v>7097.6700000000128</v>
      </c>
      <c r="AL29" s="145">
        <f t="shared" si="21"/>
        <v>1.4162405609004405E-2</v>
      </c>
      <c r="AM29" s="144">
        <f t="shared" si="22"/>
        <v>2082.8545127361308</v>
      </c>
      <c r="AN29" s="144">
        <f t="shared" si="23"/>
        <v>9180.5245127361432</v>
      </c>
      <c r="AO29" s="125">
        <f t="shared" si="24"/>
        <v>9747.929999999993</v>
      </c>
      <c r="AP29" s="145">
        <f t="shared" si="25"/>
        <v>1.756059624669281E-2</v>
      </c>
      <c r="AQ29" s="41">
        <f t="shared" si="26"/>
        <v>1938.9453323102662</v>
      </c>
      <c r="AR29" s="125">
        <f t="shared" si="27"/>
        <v>11686.875332310259</v>
      </c>
      <c r="AS29" s="164">
        <f t="shared" si="28"/>
        <v>13497.359999999986</v>
      </c>
      <c r="AT29" s="145">
        <f t="shared" si="29"/>
        <v>2.7805824807498675E-2</v>
      </c>
      <c r="AU29" s="127">
        <f t="shared" si="30"/>
        <v>3179.6839331438791</v>
      </c>
      <c r="AV29" s="164">
        <f t="shared" si="31"/>
        <v>16677.043933143865</v>
      </c>
    </row>
    <row r="30" spans="1:48" ht="27">
      <c r="A30" s="11">
        <v>27</v>
      </c>
      <c r="B30" s="16" t="s">
        <v>83</v>
      </c>
      <c r="C30" s="17" t="s">
        <v>84</v>
      </c>
      <c r="D30" s="21" t="s">
        <v>67</v>
      </c>
      <c r="E30" s="18" t="s">
        <v>83</v>
      </c>
      <c r="F30" s="17" t="s">
        <v>101</v>
      </c>
      <c r="G30" s="17" t="s">
        <v>102</v>
      </c>
      <c r="H30" s="15">
        <v>161042.26999999999</v>
      </c>
      <c r="I30" s="28">
        <v>165659.39000000001</v>
      </c>
      <c r="J30" s="29">
        <v>169814.04</v>
      </c>
      <c r="K30" s="29">
        <v>175801.06</v>
      </c>
      <c r="L30" s="30">
        <f t="shared" si="3"/>
        <v>4617.1200000000244</v>
      </c>
      <c r="M30" s="31">
        <f t="shared" si="4"/>
        <v>1.0121399047455822E-2</v>
      </c>
      <c r="N30" s="30">
        <f t="shared" si="5"/>
        <v>969.43681123845386</v>
      </c>
      <c r="O30" s="29">
        <v>179177.84</v>
      </c>
      <c r="P30" s="137">
        <v>183238.92</v>
      </c>
      <c r="Q30" s="28">
        <v>189372.36</v>
      </c>
      <c r="R30" s="29">
        <v>195189.66</v>
      </c>
      <c r="S30" s="29">
        <v>205046.52</v>
      </c>
      <c r="T30" s="30">
        <f t="shared" si="0"/>
        <v>5586.5568112384781</v>
      </c>
      <c r="U30" s="33">
        <f t="shared" si="1"/>
        <v>4154.6499999999942</v>
      </c>
      <c r="V30" s="31">
        <f t="shared" si="6"/>
        <v>1.2103819961093193E-2</v>
      </c>
      <c r="W30" s="150">
        <f t="shared" si="2"/>
        <v>1057.3638096263844</v>
      </c>
      <c r="X30" s="33">
        <f t="shared" si="7"/>
        <v>5212.0138096263781</v>
      </c>
      <c r="Y30" s="125">
        <f t="shared" si="8"/>
        <v>5987.0199999999895</v>
      </c>
      <c r="Z30" s="126">
        <f t="shared" si="9"/>
        <v>1.690615466405699E-2</v>
      </c>
      <c r="AA30" s="127">
        <f t="shared" si="10"/>
        <v>2308.8131874981113</v>
      </c>
      <c r="AB30" s="144">
        <f t="shared" si="11"/>
        <v>8295.8331874981013</v>
      </c>
      <c r="AC30" s="33">
        <f t="shared" si="12"/>
        <v>3376.7799999999988</v>
      </c>
      <c r="AD30" s="145">
        <f t="shared" si="13"/>
        <v>9.8078224120699779E-3</v>
      </c>
      <c r="AE30" s="144">
        <f t="shared" si="14"/>
        <v>1127.8547556396213</v>
      </c>
      <c r="AF30" s="144">
        <f t="shared" si="15"/>
        <v>4504.6347556396204</v>
      </c>
      <c r="AG30" s="33">
        <f t="shared" si="16"/>
        <v>4061.0800000000163</v>
      </c>
      <c r="AH30" s="145">
        <f t="shared" si="17"/>
        <v>1.0979129251354964E-2</v>
      </c>
      <c r="AI30" s="144">
        <f t="shared" si="18"/>
        <v>1479.7352010227903</v>
      </c>
      <c r="AJ30" s="144">
        <f t="shared" si="19"/>
        <v>5540.8152010228068</v>
      </c>
      <c r="AK30" s="33">
        <f t="shared" si="20"/>
        <v>6133.4399999999732</v>
      </c>
      <c r="AL30" s="145">
        <f t="shared" si="21"/>
        <v>1.2238419799524555E-2</v>
      </c>
      <c r="AM30" s="144">
        <f t="shared" si="22"/>
        <v>1799.8953434854275</v>
      </c>
      <c r="AN30" s="144">
        <f t="shared" si="23"/>
        <v>7933.3353434854007</v>
      </c>
      <c r="AO30" s="125">
        <f t="shared" si="24"/>
        <v>5817.3000000000175</v>
      </c>
      <c r="AP30" s="145">
        <f t="shared" si="25"/>
        <v>1.0479687128024768E-2</v>
      </c>
      <c r="AQ30" s="41">
        <f t="shared" si="26"/>
        <v>1157.1099383816415</v>
      </c>
      <c r="AR30" s="125">
        <f t="shared" si="27"/>
        <v>6974.4099383816592</v>
      </c>
      <c r="AS30" s="164">
        <f t="shared" si="28"/>
        <v>9856.859999999986</v>
      </c>
      <c r="AT30" s="145">
        <f t="shared" si="29"/>
        <v>2.0306054095915148E-2</v>
      </c>
      <c r="AU30" s="127">
        <f t="shared" si="30"/>
        <v>2322.0614529988502</v>
      </c>
      <c r="AV30" s="164">
        <f t="shared" si="31"/>
        <v>12178.921452998837</v>
      </c>
    </row>
    <row r="31" spans="1:48" ht="27">
      <c r="A31" s="16">
        <v>28</v>
      </c>
      <c r="B31" s="16" t="s">
        <v>83</v>
      </c>
      <c r="C31" s="17" t="s">
        <v>84</v>
      </c>
      <c r="D31" s="21" t="s">
        <v>67</v>
      </c>
      <c r="E31" s="18" t="s">
        <v>83</v>
      </c>
      <c r="F31" s="17" t="s">
        <v>103</v>
      </c>
      <c r="G31" s="17" t="s">
        <v>104</v>
      </c>
      <c r="H31" s="15">
        <v>73442.33</v>
      </c>
      <c r="I31" s="28">
        <v>75948.89</v>
      </c>
      <c r="J31" s="29">
        <v>78045.600000000006</v>
      </c>
      <c r="K31" s="29">
        <v>80711.19</v>
      </c>
      <c r="L31" s="30">
        <f t="shared" si="3"/>
        <v>2506.5599999999977</v>
      </c>
      <c r="M31" s="31">
        <f t="shared" si="4"/>
        <v>5.4947443420120569E-3</v>
      </c>
      <c r="N31" s="30">
        <f t="shared" si="5"/>
        <v>526.29161329526721</v>
      </c>
      <c r="O31" s="29">
        <v>83541.789999999994</v>
      </c>
      <c r="P31" s="137">
        <v>86039.42</v>
      </c>
      <c r="Q31" s="28">
        <v>88844.28</v>
      </c>
      <c r="R31" s="29">
        <v>91608.9</v>
      </c>
      <c r="S31" s="29">
        <v>94069.38</v>
      </c>
      <c r="T31" s="30">
        <f t="shared" si="0"/>
        <v>3032.851613295265</v>
      </c>
      <c r="U31" s="33">
        <f t="shared" si="1"/>
        <v>2096.7100000000064</v>
      </c>
      <c r="V31" s="31">
        <f t="shared" si="6"/>
        <v>6.1083846655250913E-3</v>
      </c>
      <c r="W31" s="150">
        <f t="shared" si="2"/>
        <v>533.61541243708768</v>
      </c>
      <c r="X31" s="33">
        <f t="shared" si="7"/>
        <v>2630.3254124370942</v>
      </c>
      <c r="Y31" s="125">
        <f t="shared" si="8"/>
        <v>2665.5899999999965</v>
      </c>
      <c r="Z31" s="126">
        <f t="shared" si="9"/>
        <v>7.5270964204167835E-3</v>
      </c>
      <c r="AA31" s="127">
        <f t="shared" si="10"/>
        <v>1027.9486864020987</v>
      </c>
      <c r="AB31" s="144">
        <f t="shared" si="11"/>
        <v>3693.5386864020952</v>
      </c>
      <c r="AC31" s="33">
        <f t="shared" si="12"/>
        <v>2830.5999999999913</v>
      </c>
      <c r="AD31" s="145">
        <f t="shared" si="13"/>
        <v>8.2214482790129075E-3</v>
      </c>
      <c r="AE31" s="144">
        <f t="shared" si="14"/>
        <v>945.42898006784685</v>
      </c>
      <c r="AF31" s="144">
        <f t="shared" si="15"/>
        <v>3776.0289800678383</v>
      </c>
      <c r="AG31" s="33">
        <f t="shared" si="16"/>
        <v>2497.6300000000047</v>
      </c>
      <c r="AH31" s="145">
        <f t="shared" si="17"/>
        <v>6.7523423798747225E-3</v>
      </c>
      <c r="AI31" s="144">
        <f t="shared" si="18"/>
        <v>910.06112416661176</v>
      </c>
      <c r="AJ31" s="144">
        <f t="shared" si="19"/>
        <v>3407.6911241666166</v>
      </c>
      <c r="AK31" s="33">
        <f t="shared" si="20"/>
        <v>2804.8600000000006</v>
      </c>
      <c r="AL31" s="145">
        <f t="shared" si="21"/>
        <v>5.5967049745158665E-3</v>
      </c>
      <c r="AM31" s="144">
        <f t="shared" si="22"/>
        <v>823.1032590403687</v>
      </c>
      <c r="AN31" s="144">
        <f t="shared" si="23"/>
        <v>3627.9632590403694</v>
      </c>
      <c r="AO31" s="125">
        <f t="shared" si="24"/>
        <v>2764.6199999999953</v>
      </c>
      <c r="AP31" s="145">
        <f t="shared" si="25"/>
        <v>4.9803779464493315E-3</v>
      </c>
      <c r="AQ31" s="41">
        <f t="shared" si="26"/>
        <v>549.90618978712439</v>
      </c>
      <c r="AR31" s="125">
        <f t="shared" si="27"/>
        <v>3314.5261897871196</v>
      </c>
      <c r="AS31" s="164">
        <f t="shared" si="28"/>
        <v>2460.4800000000105</v>
      </c>
      <c r="AT31" s="145">
        <f t="shared" si="29"/>
        <v>5.0688190744230498E-3</v>
      </c>
      <c r="AU31" s="127">
        <f t="shared" si="30"/>
        <v>579.63547862855341</v>
      </c>
      <c r="AV31" s="164">
        <f t="shared" si="31"/>
        <v>3040.1154786285638</v>
      </c>
    </row>
    <row r="32" spans="1:48" ht="13.5">
      <c r="A32" s="11">
        <v>29</v>
      </c>
      <c r="B32" s="16" t="s">
        <v>105</v>
      </c>
      <c r="C32" s="17" t="s">
        <v>106</v>
      </c>
      <c r="D32" s="20" t="s">
        <v>41</v>
      </c>
      <c r="E32" s="20" t="s">
        <v>105</v>
      </c>
      <c r="F32" s="17" t="s">
        <v>107</v>
      </c>
      <c r="G32" s="17" t="s">
        <v>108</v>
      </c>
      <c r="H32" s="15">
        <v>172140.44</v>
      </c>
      <c r="I32" s="28">
        <v>176423.16</v>
      </c>
      <c r="J32" s="29">
        <v>176769.46</v>
      </c>
      <c r="K32" s="29">
        <v>176920.36</v>
      </c>
      <c r="L32" s="30">
        <f t="shared" si="3"/>
        <v>4282.7200000000012</v>
      </c>
      <c r="M32" s="31">
        <f t="shared" si="4"/>
        <v>9.3883455765758263E-3</v>
      </c>
      <c r="N32" s="30">
        <f t="shared" si="5"/>
        <v>899.22428271890931</v>
      </c>
      <c r="O32" s="29">
        <v>177647.3</v>
      </c>
      <c r="P32" s="137">
        <v>177650.66</v>
      </c>
      <c r="Q32" s="28">
        <v>177813.45</v>
      </c>
      <c r="R32" s="29">
        <v>178239.46</v>
      </c>
      <c r="S32" s="29">
        <v>179068.36</v>
      </c>
      <c r="T32" s="30">
        <f t="shared" si="0"/>
        <v>5181.9442827189105</v>
      </c>
      <c r="U32" s="33">
        <f t="shared" si="1"/>
        <v>346.29999999998836</v>
      </c>
      <c r="V32" s="31">
        <f t="shared" si="6"/>
        <v>1.0088823011628989E-3</v>
      </c>
      <c r="W32" s="150">
        <f t="shared" si="2"/>
        <v>88.133798821466343</v>
      </c>
      <c r="X32" s="33">
        <f t="shared" si="7"/>
        <v>434.43379882145473</v>
      </c>
      <c r="Y32" s="125">
        <f t="shared" si="8"/>
        <v>150.89999999999418</v>
      </c>
      <c r="Z32" s="126">
        <f t="shared" si="9"/>
        <v>4.2611161125336239E-4</v>
      </c>
      <c r="AA32" s="127">
        <f t="shared" si="10"/>
        <v>58.192541530419497</v>
      </c>
      <c r="AB32" s="144">
        <f t="shared" si="11"/>
        <v>209.09254153041368</v>
      </c>
      <c r="AC32" s="33">
        <f t="shared" si="12"/>
        <v>726.94000000000233</v>
      </c>
      <c r="AD32" s="145">
        <f t="shared" si="13"/>
        <v>2.1113896742548151E-3</v>
      </c>
      <c r="AE32" s="144">
        <f t="shared" si="14"/>
        <v>242.80016348849176</v>
      </c>
      <c r="AF32" s="144">
        <f t="shared" si="15"/>
        <v>969.74016348849409</v>
      </c>
      <c r="AG32" s="33">
        <f t="shared" si="16"/>
        <v>3.360000000015134</v>
      </c>
      <c r="AH32" s="145">
        <f t="shared" si="17"/>
        <v>9.0837595626578852E-6</v>
      </c>
      <c r="AI32" s="144">
        <f t="shared" si="18"/>
        <v>1.2242827709522957</v>
      </c>
      <c r="AJ32" s="144">
        <f t="shared" si="19"/>
        <v>4.5842827709674294</v>
      </c>
      <c r="AK32" s="33">
        <f t="shared" si="20"/>
        <v>162.79000000000815</v>
      </c>
      <c r="AL32" s="145">
        <f t="shared" si="21"/>
        <v>3.2482462682682323E-4</v>
      </c>
      <c r="AM32" s="144">
        <f t="shared" si="22"/>
        <v>47.771717497197116</v>
      </c>
      <c r="AN32" s="144">
        <f t="shared" si="23"/>
        <v>210.56171749720528</v>
      </c>
      <c r="AO32" s="125">
        <f t="shared" si="24"/>
        <v>426.00999999998021</v>
      </c>
      <c r="AP32" s="145">
        <f t="shared" si="25"/>
        <v>7.6744391958633907E-4</v>
      </c>
      <c r="AQ32" s="41">
        <f t="shared" si="26"/>
        <v>84.736975031361411</v>
      </c>
      <c r="AR32" s="125">
        <f t="shared" si="27"/>
        <v>510.74697503134161</v>
      </c>
      <c r="AS32" s="164">
        <f t="shared" si="28"/>
        <v>828.89999999999418</v>
      </c>
      <c r="AT32" s="145">
        <f t="shared" si="29"/>
        <v>1.7076115761108478E-3</v>
      </c>
      <c r="AU32" s="127">
        <f t="shared" si="30"/>
        <v>195.2707797808568</v>
      </c>
      <c r="AV32" s="164">
        <f t="shared" si="31"/>
        <v>1024.170779780851</v>
      </c>
    </row>
    <row r="33" spans="1:48" ht="13.5">
      <c r="A33" s="16">
        <v>30</v>
      </c>
      <c r="B33" s="16" t="s">
        <v>109</v>
      </c>
      <c r="C33" s="17" t="s">
        <v>110</v>
      </c>
      <c r="D33" s="20" t="s">
        <v>41</v>
      </c>
      <c r="E33" s="20" t="s">
        <v>109</v>
      </c>
      <c r="F33" s="17" t="s">
        <v>111</v>
      </c>
      <c r="G33" s="17" t="s">
        <v>112</v>
      </c>
      <c r="H33" s="15">
        <v>246845.9</v>
      </c>
      <c r="I33" s="28">
        <v>250309.64</v>
      </c>
      <c r="J33" s="29">
        <v>253705</v>
      </c>
      <c r="K33" s="29">
        <v>258780.14</v>
      </c>
      <c r="L33" s="30">
        <f t="shared" si="3"/>
        <v>3463.7400000000198</v>
      </c>
      <c r="M33" s="31">
        <f t="shared" si="4"/>
        <v>7.5930222165840706E-3</v>
      </c>
      <c r="N33" s="30">
        <f t="shared" si="5"/>
        <v>727.266577554641</v>
      </c>
      <c r="O33" s="29">
        <v>263221.15999999997</v>
      </c>
      <c r="P33" s="137">
        <v>266194.24</v>
      </c>
      <c r="Q33" s="28">
        <v>269879.13</v>
      </c>
      <c r="R33" s="29">
        <v>273542.2</v>
      </c>
      <c r="S33" s="29">
        <v>276815.74</v>
      </c>
      <c r="T33" s="30">
        <f t="shared" si="0"/>
        <v>4191.0065775546609</v>
      </c>
      <c r="U33" s="33">
        <f t="shared" si="1"/>
        <v>3395.359999999986</v>
      </c>
      <c r="V33" s="31">
        <f t="shared" si="6"/>
        <v>9.8917661278560814E-3</v>
      </c>
      <c r="W33" s="150">
        <f t="shared" si="2"/>
        <v>864.12352054999349</v>
      </c>
      <c r="X33" s="33">
        <f t="shared" si="7"/>
        <v>4259.4835205499794</v>
      </c>
      <c r="Y33" s="125">
        <f t="shared" si="8"/>
        <v>5075.140000000014</v>
      </c>
      <c r="Z33" s="126">
        <f t="shared" si="9"/>
        <v>1.4331186764323918E-2</v>
      </c>
      <c r="AA33" s="127">
        <f t="shared" si="10"/>
        <v>1957.1590140669678</v>
      </c>
      <c r="AB33" s="144">
        <f t="shared" si="11"/>
        <v>7032.2990140669817</v>
      </c>
      <c r="AC33" s="33">
        <f t="shared" si="12"/>
        <v>4441.0199999999604</v>
      </c>
      <c r="AD33" s="145">
        <f t="shared" si="13"/>
        <v>1.289889643046057E-2</v>
      </c>
      <c r="AE33" s="144">
        <f t="shared" si="14"/>
        <v>1483.3141415462744</v>
      </c>
      <c r="AF33" s="144">
        <f t="shared" si="15"/>
        <v>5924.3341415462346</v>
      </c>
      <c r="AG33" s="33">
        <f t="shared" si="16"/>
        <v>2973.0800000000163</v>
      </c>
      <c r="AH33" s="145">
        <f t="shared" si="17"/>
        <v>8.0377213929837526E-3</v>
      </c>
      <c r="AI33" s="144">
        <f t="shared" si="18"/>
        <v>1083.3007799543084</v>
      </c>
      <c r="AJ33" s="144">
        <f t="shared" si="19"/>
        <v>4056.3807799543247</v>
      </c>
      <c r="AK33" s="33">
        <f t="shared" si="20"/>
        <v>3684.890000000014</v>
      </c>
      <c r="AL33" s="145">
        <f t="shared" si="21"/>
        <v>7.3526814862573701E-3</v>
      </c>
      <c r="AM33" s="144">
        <f t="shared" si="22"/>
        <v>1081.3534251995734</v>
      </c>
      <c r="AN33" s="144">
        <f t="shared" si="23"/>
        <v>4766.2434251995874</v>
      </c>
      <c r="AO33" s="125">
        <f t="shared" si="24"/>
        <v>3663.070000000007</v>
      </c>
      <c r="AP33" s="145">
        <f t="shared" si="25"/>
        <v>6.5989080033784821E-3</v>
      </c>
      <c r="AQ33" s="41">
        <f t="shared" si="26"/>
        <v>728.61545768443</v>
      </c>
      <c r="AR33" s="125">
        <f t="shared" si="27"/>
        <v>4391.6854576844371</v>
      </c>
      <c r="AS33" s="164">
        <f t="shared" si="28"/>
        <v>3273.539999999979</v>
      </c>
      <c r="AT33" s="145">
        <f t="shared" si="29"/>
        <v>6.7437987680804782E-3</v>
      </c>
      <c r="AU33" s="127">
        <f t="shared" si="30"/>
        <v>771.17469953411319</v>
      </c>
      <c r="AV33" s="164">
        <f t="shared" si="31"/>
        <v>4044.7146995340922</v>
      </c>
    </row>
    <row r="34" spans="1:48" ht="27">
      <c r="A34" s="11">
        <v>31</v>
      </c>
      <c r="B34" s="16" t="s">
        <v>49</v>
      </c>
      <c r="C34" s="17" t="s">
        <v>50</v>
      </c>
      <c r="D34" s="18" t="s">
        <v>41</v>
      </c>
      <c r="E34" s="20" t="s">
        <v>49</v>
      </c>
      <c r="F34" s="17" t="s">
        <v>113</v>
      </c>
      <c r="G34" s="17" t="s">
        <v>114</v>
      </c>
      <c r="H34" s="15">
        <v>153165.06</v>
      </c>
      <c r="I34" s="28">
        <v>157167.29999999999</v>
      </c>
      <c r="J34" s="29">
        <v>160735.67999999999</v>
      </c>
      <c r="K34" s="29">
        <v>165598.29</v>
      </c>
      <c r="L34" s="30">
        <f t="shared" si="3"/>
        <v>4002.2399999999907</v>
      </c>
      <c r="M34" s="31">
        <f t="shared" si="4"/>
        <v>8.7734925935841566E-3</v>
      </c>
      <c r="N34" s="30">
        <f t="shared" si="5"/>
        <v>840.33310449175247</v>
      </c>
      <c r="O34" s="29">
        <v>170388.48000000001</v>
      </c>
      <c r="P34" s="137">
        <v>174538.68</v>
      </c>
      <c r="Q34" s="28">
        <v>179498.52</v>
      </c>
      <c r="R34" s="29">
        <v>184885.62</v>
      </c>
      <c r="S34" s="29">
        <v>189486.58</v>
      </c>
      <c r="T34" s="30">
        <f t="shared" si="0"/>
        <v>4842.5731044917429</v>
      </c>
      <c r="U34" s="33">
        <f t="shared" si="1"/>
        <v>3568.3800000000047</v>
      </c>
      <c r="V34" s="31">
        <f t="shared" si="6"/>
        <v>1.0395828546993332E-2</v>
      </c>
      <c r="W34" s="150">
        <f t="shared" si="2"/>
        <v>908.15733479224673</v>
      </c>
      <c r="X34" s="33">
        <f t="shared" si="7"/>
        <v>4476.5373347922514</v>
      </c>
      <c r="Y34" s="125">
        <f t="shared" si="8"/>
        <v>4862.6100000000151</v>
      </c>
      <c r="Z34" s="126">
        <f t="shared" si="9"/>
        <v>1.3731044280959569E-2</v>
      </c>
      <c r="AA34" s="127">
        <f t="shared" si="10"/>
        <v>1875.1996976225644</v>
      </c>
      <c r="AB34" s="144">
        <f t="shared" si="11"/>
        <v>6737.8096976225797</v>
      </c>
      <c r="AC34" s="33">
        <f t="shared" si="12"/>
        <v>4790.1900000000023</v>
      </c>
      <c r="AD34" s="145">
        <f t="shared" si="13"/>
        <v>1.3913057066220934E-2</v>
      </c>
      <c r="AE34" s="144">
        <f t="shared" si="14"/>
        <v>1599.9379799446108</v>
      </c>
      <c r="AF34" s="144">
        <f t="shared" si="15"/>
        <v>6390.1279799446129</v>
      </c>
      <c r="AG34" s="33">
        <f t="shared" si="16"/>
        <v>4150.1999999999825</v>
      </c>
      <c r="AH34" s="145">
        <f t="shared" si="17"/>
        <v>1.1220065159753807E-2</v>
      </c>
      <c r="AI34" s="144">
        <f t="shared" si="18"/>
        <v>1512.2078440426519</v>
      </c>
      <c r="AJ34" s="144">
        <f t="shared" si="19"/>
        <v>5662.4078440426347</v>
      </c>
      <c r="AK34" s="33">
        <f t="shared" si="20"/>
        <v>4959.8399999999965</v>
      </c>
      <c r="AL34" s="145">
        <f t="shared" si="21"/>
        <v>9.8966655023076909E-3</v>
      </c>
      <c r="AM34" s="144">
        <f t="shared" si="22"/>
        <v>1455.4952718919228</v>
      </c>
      <c r="AN34" s="144">
        <f t="shared" si="23"/>
        <v>6415.3352718919195</v>
      </c>
      <c r="AO34" s="125">
        <f t="shared" si="24"/>
        <v>5387.1000000000058</v>
      </c>
      <c r="AP34" s="145">
        <f t="shared" si="25"/>
        <v>9.7046950522376562E-3</v>
      </c>
      <c r="AQ34" s="41">
        <f t="shared" si="26"/>
        <v>1071.539537080042</v>
      </c>
      <c r="AR34" s="125">
        <f t="shared" si="27"/>
        <v>6458.6395370800474</v>
      </c>
      <c r="AS34" s="164">
        <f t="shared" si="28"/>
        <v>4600.9599999999919</v>
      </c>
      <c r="AT34" s="145">
        <f t="shared" si="29"/>
        <v>9.4784082002931681E-3</v>
      </c>
      <c r="AU34" s="127">
        <f t="shared" si="30"/>
        <v>1083.8859294734414</v>
      </c>
      <c r="AV34" s="164">
        <f t="shared" si="31"/>
        <v>5684.845929473433</v>
      </c>
    </row>
    <row r="35" spans="1:48" ht="27">
      <c r="A35" s="16">
        <v>32</v>
      </c>
      <c r="B35" s="16" t="s">
        <v>49</v>
      </c>
      <c r="C35" s="17" t="s">
        <v>50</v>
      </c>
      <c r="D35" s="21" t="s">
        <v>67</v>
      </c>
      <c r="E35" s="20" t="s">
        <v>49</v>
      </c>
      <c r="F35" s="17" t="s">
        <v>115</v>
      </c>
      <c r="G35" s="17" t="s">
        <v>116</v>
      </c>
      <c r="H35" s="15">
        <v>48412</v>
      </c>
      <c r="I35" s="28">
        <v>49330</v>
      </c>
      <c r="J35" s="29">
        <v>50176.5</v>
      </c>
      <c r="K35" s="29">
        <v>51200.5</v>
      </c>
      <c r="L35" s="30">
        <f t="shared" si="3"/>
        <v>918</v>
      </c>
      <c r="M35" s="31">
        <f t="shared" si="4"/>
        <v>2.0123896120448235E-3</v>
      </c>
      <c r="N35" s="30">
        <f t="shared" si="5"/>
        <v>192.74850831620057</v>
      </c>
      <c r="O35" s="29">
        <v>52100</v>
      </c>
      <c r="P35" s="137">
        <v>52984</v>
      </c>
      <c r="Q35" s="28">
        <v>54055</v>
      </c>
      <c r="R35" s="29">
        <v>55124.5</v>
      </c>
      <c r="S35" s="29">
        <v>56157</v>
      </c>
      <c r="T35" s="30">
        <f t="shared" si="0"/>
        <v>1110.7485083162005</v>
      </c>
      <c r="U35" s="33">
        <f t="shared" si="1"/>
        <v>846.5</v>
      </c>
      <c r="V35" s="31">
        <f t="shared" si="6"/>
        <v>2.4661243659671456E-3</v>
      </c>
      <c r="W35" s="150">
        <f t="shared" si="2"/>
        <v>215.43534710474663</v>
      </c>
      <c r="X35" s="33">
        <f t="shared" si="7"/>
        <v>1061.9353471047466</v>
      </c>
      <c r="Y35" s="125">
        <f t="shared" si="8"/>
        <v>1024</v>
      </c>
      <c r="Z35" s="126">
        <f t="shared" si="9"/>
        <v>2.89157249783605E-3</v>
      </c>
      <c r="AA35" s="127">
        <f t="shared" si="10"/>
        <v>394.8917331156519</v>
      </c>
      <c r="AB35" s="144">
        <f t="shared" si="11"/>
        <v>1418.891733115652</v>
      </c>
      <c r="AC35" s="33">
        <f t="shared" si="12"/>
        <v>899.5</v>
      </c>
      <c r="AD35" s="145">
        <f t="shared" si="13"/>
        <v>2.6125884006825877E-3</v>
      </c>
      <c r="AE35" s="144">
        <f t="shared" si="14"/>
        <v>300.43572654950566</v>
      </c>
      <c r="AF35" s="144">
        <f t="shared" si="15"/>
        <v>1199.9357265495057</v>
      </c>
      <c r="AG35" s="33">
        <f t="shared" si="16"/>
        <v>884</v>
      </c>
      <c r="AH35" s="145">
        <f t="shared" si="17"/>
        <v>2.3898938849266078E-3</v>
      </c>
      <c r="AI35" s="144">
        <f t="shared" si="18"/>
        <v>322.10296711814129</v>
      </c>
      <c r="AJ35" s="144">
        <f t="shared" si="19"/>
        <v>1206.1029671181414</v>
      </c>
      <c r="AK35" s="33">
        <f t="shared" si="20"/>
        <v>1071</v>
      </c>
      <c r="AL35" s="145">
        <f t="shared" si="21"/>
        <v>2.1370303785951854E-3</v>
      </c>
      <c r="AM35" s="144">
        <f t="shared" si="22"/>
        <v>314.2914763775143</v>
      </c>
      <c r="AN35" s="144">
        <f t="shared" si="23"/>
        <v>1385.2914763775143</v>
      </c>
      <c r="AO35" s="125">
        <f t="shared" si="24"/>
        <v>1069.5</v>
      </c>
      <c r="AP35" s="145">
        <f t="shared" si="25"/>
        <v>1.9266713739058421E-3</v>
      </c>
      <c r="AQ35" s="41">
        <f t="shared" si="26"/>
        <v>212.73255274769426</v>
      </c>
      <c r="AR35" s="125">
        <f t="shared" si="27"/>
        <v>1282.2325527476942</v>
      </c>
      <c r="AS35" s="164">
        <f t="shared" si="28"/>
        <v>1032.5</v>
      </c>
      <c r="AT35" s="145">
        <f t="shared" si="29"/>
        <v>2.1270466308776245E-3</v>
      </c>
      <c r="AU35" s="127">
        <f t="shared" si="30"/>
        <v>243.23450370821101</v>
      </c>
      <c r="AV35" s="164">
        <f t="shared" si="31"/>
        <v>1275.7345037082109</v>
      </c>
    </row>
    <row r="36" spans="1:48" ht="27">
      <c r="A36" s="11">
        <v>33</v>
      </c>
      <c r="B36" s="16" t="s">
        <v>49</v>
      </c>
      <c r="C36" s="17" t="s">
        <v>50</v>
      </c>
      <c r="D36" s="21" t="s">
        <v>67</v>
      </c>
      <c r="E36" s="20" t="s">
        <v>49</v>
      </c>
      <c r="F36" s="17" t="s">
        <v>117</v>
      </c>
      <c r="G36" s="17" t="s">
        <v>118</v>
      </c>
      <c r="H36" s="15">
        <v>246518.18</v>
      </c>
      <c r="I36" s="28">
        <v>254959.87</v>
      </c>
      <c r="J36" s="29">
        <v>261583.69</v>
      </c>
      <c r="K36" s="29">
        <v>269117.27</v>
      </c>
      <c r="L36" s="30">
        <f t="shared" si="3"/>
        <v>8441.6900000000023</v>
      </c>
      <c r="M36" s="31">
        <f t="shared" si="4"/>
        <v>1.8505413141724044E-2</v>
      </c>
      <c r="N36" s="30">
        <f t="shared" si="5"/>
        <v>1772.4653106402918</v>
      </c>
      <c r="O36" s="29">
        <v>276022.11</v>
      </c>
      <c r="P36" s="137">
        <v>282835.17</v>
      </c>
      <c r="Q36" s="28">
        <v>292748.02</v>
      </c>
      <c r="R36" s="29">
        <v>302191.96000000002</v>
      </c>
      <c r="S36" s="29">
        <v>313200.34000000003</v>
      </c>
      <c r="T36" s="30">
        <f t="shared" ref="T36:T65" si="32">L36+N36</f>
        <v>10214.155310640293</v>
      </c>
      <c r="U36" s="33">
        <f t="shared" ref="U36:U65" si="33">J36-I36</f>
        <v>6623.820000000007</v>
      </c>
      <c r="V36" s="31">
        <f t="shared" si="6"/>
        <v>1.9297299347643848E-2</v>
      </c>
      <c r="W36" s="150">
        <f t="shared" ref="W36:W65" si="34">V36*$U$68</f>
        <v>1685.7707747895624</v>
      </c>
      <c r="X36" s="33">
        <f t="shared" si="7"/>
        <v>8309.590774789569</v>
      </c>
      <c r="Y36" s="125">
        <f t="shared" ref="Y36:Y65" si="35">K36-J36</f>
        <v>7533.5800000000163</v>
      </c>
      <c r="Z36" s="126">
        <f t="shared" si="9"/>
        <v>2.1273332752195076E-2</v>
      </c>
      <c r="AA36" s="127">
        <f t="shared" si="10"/>
        <v>2905.2231081693549</v>
      </c>
      <c r="AB36" s="144">
        <f t="shared" si="11"/>
        <v>10438.803108169372</v>
      </c>
      <c r="AC36" s="33">
        <f t="shared" si="12"/>
        <v>6904.8399999999674</v>
      </c>
      <c r="AD36" s="145">
        <f t="shared" si="13"/>
        <v>2.0055036011749943E-2</v>
      </c>
      <c r="AE36" s="144">
        <f t="shared" si="14"/>
        <v>2306.2374898366638</v>
      </c>
      <c r="AF36" s="144">
        <f t="shared" si="15"/>
        <v>9211.0774898366308</v>
      </c>
      <c r="AG36" s="33">
        <f t="shared" si="16"/>
        <v>6813.0599999999977</v>
      </c>
      <c r="AH36" s="145">
        <f t="shared" si="17"/>
        <v>1.8419106823119986E-2</v>
      </c>
      <c r="AI36" s="144">
        <f t="shared" si="18"/>
        <v>2482.4738022103202</v>
      </c>
      <c r="AJ36" s="144">
        <f t="shared" si="19"/>
        <v>9295.5338022103169</v>
      </c>
      <c r="AK36" s="33">
        <f t="shared" si="20"/>
        <v>9912.8500000000349</v>
      </c>
      <c r="AL36" s="145">
        <f t="shared" si="21"/>
        <v>1.9779702696972323E-2</v>
      </c>
      <c r="AM36" s="144">
        <f t="shared" si="22"/>
        <v>2908.9862386637287</v>
      </c>
      <c r="AN36" s="144">
        <f t="shared" si="23"/>
        <v>12821.836238663764</v>
      </c>
      <c r="AO36" s="125">
        <f t="shared" si="24"/>
        <v>9443.9400000000023</v>
      </c>
      <c r="AP36" s="145">
        <f t="shared" si="25"/>
        <v>1.7012967606249971E-2</v>
      </c>
      <c r="AQ36" s="41">
        <f t="shared" si="26"/>
        <v>1878.4791624086586</v>
      </c>
      <c r="AR36" s="125">
        <f t="shared" si="27"/>
        <v>11322.419162408662</v>
      </c>
      <c r="AS36" s="164">
        <f t="shared" si="28"/>
        <v>11008.380000000005</v>
      </c>
      <c r="AT36" s="145">
        <f t="shared" si="29"/>
        <v>2.2678293065782694E-2</v>
      </c>
      <c r="AU36" s="127">
        <f t="shared" si="30"/>
        <v>2593.3344754783502</v>
      </c>
      <c r="AV36" s="164">
        <f t="shared" si="31"/>
        <v>13601.714475478355</v>
      </c>
    </row>
    <row r="37" spans="1:48" ht="27">
      <c r="A37" s="16">
        <v>34</v>
      </c>
      <c r="B37" s="16" t="s">
        <v>49</v>
      </c>
      <c r="C37" s="17" t="s">
        <v>50</v>
      </c>
      <c r="D37" s="21" t="s">
        <v>67</v>
      </c>
      <c r="E37" s="20" t="s">
        <v>49</v>
      </c>
      <c r="F37" s="17" t="s">
        <v>119</v>
      </c>
      <c r="G37" s="17" t="s">
        <v>120</v>
      </c>
      <c r="H37" s="15">
        <v>170657.08</v>
      </c>
      <c r="I37" s="28">
        <v>174657.74</v>
      </c>
      <c r="J37" s="29">
        <v>178461.8</v>
      </c>
      <c r="K37" s="29">
        <v>183475.08</v>
      </c>
      <c r="L37" s="30">
        <f t="shared" ref="L37:L65" si="36">I37-H37</f>
        <v>4000.6600000000035</v>
      </c>
      <c r="M37" s="31">
        <f t="shared" ref="M37:M65" si="37">L37/$L$66</f>
        <v>8.7700290036200994E-3</v>
      </c>
      <c r="N37" s="30">
        <f t="shared" si="5"/>
        <v>840.00135869312828</v>
      </c>
      <c r="O37" s="29">
        <v>188363.82</v>
      </c>
      <c r="P37" s="137">
        <v>192396.04</v>
      </c>
      <c r="Q37" s="28">
        <v>196824.1</v>
      </c>
      <c r="R37" s="29">
        <v>201483.4</v>
      </c>
      <c r="S37" s="29">
        <v>205863.12</v>
      </c>
      <c r="T37" s="30">
        <f t="shared" si="32"/>
        <v>4840.6613586931317</v>
      </c>
      <c r="U37" s="33">
        <f t="shared" si="33"/>
        <v>3804.0599999999977</v>
      </c>
      <c r="V37" s="31">
        <f t="shared" ref="V37:V65" si="38">U37/$U$66</f>
        <v>1.1082439522269314E-2</v>
      </c>
      <c r="W37" s="150">
        <f t="shared" si="34"/>
        <v>968.13820024486949</v>
      </c>
      <c r="X37" s="33">
        <f t="shared" ref="X37:X65" si="39">W37+U37</f>
        <v>4772.1982002448676</v>
      </c>
      <c r="Y37" s="125">
        <f t="shared" si="35"/>
        <v>5013.2799999999988</v>
      </c>
      <c r="Z37" s="126">
        <f t="shared" si="9"/>
        <v>1.4156506417921396E-2</v>
      </c>
      <c r="AA37" s="127">
        <f t="shared" si="10"/>
        <v>1933.3035427676123</v>
      </c>
      <c r="AB37" s="144">
        <f t="shared" si="11"/>
        <v>6946.5835427676111</v>
      </c>
      <c r="AC37" s="33">
        <f t="shared" si="12"/>
        <v>4888.7400000000198</v>
      </c>
      <c r="AD37" s="145">
        <f t="shared" si="13"/>
        <v>1.4199294516901662E-2</v>
      </c>
      <c r="AE37" s="144">
        <f t="shared" si="14"/>
        <v>1632.8539786677445</v>
      </c>
      <c r="AF37" s="144">
        <f t="shared" si="15"/>
        <v>6521.5939786677645</v>
      </c>
      <c r="AG37" s="33">
        <f t="shared" si="16"/>
        <v>4032.2200000000012</v>
      </c>
      <c r="AH37" s="145">
        <f t="shared" si="17"/>
        <v>1.090110624511173E-2</v>
      </c>
      <c r="AI37" s="144">
        <f t="shared" si="18"/>
        <v>1469.2194865080453</v>
      </c>
      <c r="AJ37" s="144">
        <f t="shared" si="19"/>
        <v>5501.4394865080467</v>
      </c>
      <c r="AK37" s="33">
        <f t="shared" si="20"/>
        <v>4428.0599999999977</v>
      </c>
      <c r="AL37" s="145">
        <f t="shared" si="21"/>
        <v>8.8355730515800122E-3</v>
      </c>
      <c r="AM37" s="144">
        <f t="shared" si="22"/>
        <v>1299.4411903718164</v>
      </c>
      <c r="AN37" s="144">
        <f t="shared" si="23"/>
        <v>5727.5011903718141</v>
      </c>
      <c r="AO37" s="125">
        <f t="shared" si="24"/>
        <v>4659.2999999999884</v>
      </c>
      <c r="AP37" s="145">
        <f t="shared" si="25"/>
        <v>8.3935857245810812E-3</v>
      </c>
      <c r="AQ37" s="41">
        <f t="shared" si="26"/>
        <v>926.77399066603948</v>
      </c>
      <c r="AR37" s="125">
        <f t="shared" si="27"/>
        <v>5586.0739906660274</v>
      </c>
      <c r="AS37" s="164">
        <f t="shared" si="28"/>
        <v>4379.7200000000012</v>
      </c>
      <c r="AT37" s="145">
        <f t="shared" si="29"/>
        <v>9.0226330946124467E-3</v>
      </c>
      <c r="AU37" s="127">
        <f t="shared" si="30"/>
        <v>1031.7666058895168</v>
      </c>
      <c r="AV37" s="164">
        <f t="shared" si="31"/>
        <v>5411.4866058895177</v>
      </c>
    </row>
    <row r="38" spans="1:48" ht="24" customHeight="1">
      <c r="A38" s="11">
        <v>35</v>
      </c>
      <c r="B38" s="16" t="s">
        <v>49</v>
      </c>
      <c r="C38" s="17" t="s">
        <v>50</v>
      </c>
      <c r="D38" s="18" t="s">
        <v>121</v>
      </c>
      <c r="E38" s="20" t="s">
        <v>49</v>
      </c>
      <c r="F38" s="17" t="s">
        <v>122</v>
      </c>
      <c r="G38" s="17" t="s">
        <v>123</v>
      </c>
      <c r="H38" s="15">
        <v>46084.9</v>
      </c>
      <c r="I38" s="28">
        <v>48255.9</v>
      </c>
      <c r="J38" s="29">
        <v>50034.2</v>
      </c>
      <c r="K38" s="29">
        <v>52501</v>
      </c>
      <c r="L38" s="30">
        <f t="shared" si="36"/>
        <v>2171</v>
      </c>
      <c r="M38" s="31">
        <f t="shared" si="37"/>
        <v>4.759147982297725E-3</v>
      </c>
      <c r="N38" s="30">
        <f t="shared" si="5"/>
        <v>455.835524569141</v>
      </c>
      <c r="O38" s="29">
        <v>54907.4</v>
      </c>
      <c r="P38" s="137">
        <v>57505.4</v>
      </c>
      <c r="Q38" s="28">
        <v>60481.599999999999</v>
      </c>
      <c r="R38" s="29">
        <v>63353.1</v>
      </c>
      <c r="S38" s="29">
        <v>66236.5</v>
      </c>
      <c r="T38" s="30">
        <f t="shared" si="32"/>
        <v>2626.8355245691409</v>
      </c>
      <c r="U38" s="33">
        <f t="shared" si="33"/>
        <v>1778.2999999999956</v>
      </c>
      <c r="V38" s="31">
        <f t="shared" si="38"/>
        <v>5.1807548257523503E-3</v>
      </c>
      <c r="W38" s="150">
        <f t="shared" si="34"/>
        <v>452.57965476239815</v>
      </c>
      <c r="X38" s="33">
        <f t="shared" si="39"/>
        <v>2230.8796547623938</v>
      </c>
      <c r="Y38" s="125">
        <f t="shared" si="35"/>
        <v>2466.8000000000029</v>
      </c>
      <c r="Z38" s="126">
        <f t="shared" si="9"/>
        <v>6.9657529664667742E-3</v>
      </c>
      <c r="AA38" s="127">
        <f t="shared" si="10"/>
        <v>951.28801489227658</v>
      </c>
      <c r="AB38" s="144">
        <f t="shared" si="11"/>
        <v>3418.0880148922797</v>
      </c>
      <c r="AC38" s="33">
        <f t="shared" si="12"/>
        <v>2406.4000000000015</v>
      </c>
      <c r="AD38" s="145">
        <f t="shared" si="13"/>
        <v>6.9893637881073738E-3</v>
      </c>
      <c r="AE38" s="144">
        <f t="shared" si="14"/>
        <v>803.74489423983425</v>
      </c>
      <c r="AF38" s="144">
        <f t="shared" si="15"/>
        <v>3210.1448942398356</v>
      </c>
      <c r="AG38" s="33">
        <f t="shared" si="16"/>
        <v>2598</v>
      </c>
      <c r="AH38" s="145">
        <f t="shared" si="17"/>
        <v>7.0236926618091932E-3</v>
      </c>
      <c r="AI38" s="144">
        <f t="shared" si="18"/>
        <v>946.63292824992197</v>
      </c>
      <c r="AJ38" s="144">
        <f t="shared" si="19"/>
        <v>3544.6329282499219</v>
      </c>
      <c r="AK38" s="33">
        <f t="shared" si="20"/>
        <v>2976.1999999999971</v>
      </c>
      <c r="AL38" s="145">
        <f t="shared" si="21"/>
        <v>5.9385899278944767E-3</v>
      </c>
      <c r="AM38" s="144">
        <f t="shared" si="22"/>
        <v>873.38402613889548</v>
      </c>
      <c r="AN38" s="144">
        <f t="shared" si="23"/>
        <v>3849.5840261388926</v>
      </c>
      <c r="AO38" s="125">
        <f t="shared" si="24"/>
        <v>2871.5</v>
      </c>
      <c r="AP38" s="145">
        <f t="shared" si="25"/>
        <v>5.1729189809917022E-3</v>
      </c>
      <c r="AQ38" s="41">
        <f t="shared" si="26"/>
        <v>571.16552147265463</v>
      </c>
      <c r="AR38" s="125">
        <f t="shared" si="27"/>
        <v>3442.6655214726547</v>
      </c>
      <c r="AS38" s="164">
        <f t="shared" si="28"/>
        <v>2883.4000000000015</v>
      </c>
      <c r="AT38" s="145">
        <f t="shared" si="29"/>
        <v>5.9400738551792205E-3</v>
      </c>
      <c r="AU38" s="127">
        <f t="shared" si="30"/>
        <v>679.26621597312919</v>
      </c>
      <c r="AV38" s="164">
        <f t="shared" si="31"/>
        <v>3562.6662159731304</v>
      </c>
    </row>
    <row r="39" spans="1:48" ht="27">
      <c r="A39" s="16">
        <v>36</v>
      </c>
      <c r="B39" s="16" t="s">
        <v>39</v>
      </c>
      <c r="C39" s="17" t="s">
        <v>40</v>
      </c>
      <c r="D39" s="18" t="s">
        <v>121</v>
      </c>
      <c r="E39" s="18" t="s">
        <v>124</v>
      </c>
      <c r="F39" s="17" t="s">
        <v>125</v>
      </c>
      <c r="G39" s="17" t="s">
        <v>126</v>
      </c>
      <c r="H39" s="15">
        <v>6233.3</v>
      </c>
      <c r="I39" s="28">
        <v>6602.6</v>
      </c>
      <c r="J39" s="29">
        <v>6888.9</v>
      </c>
      <c r="K39" s="29">
        <v>7264</v>
      </c>
      <c r="L39" s="30">
        <f t="shared" si="36"/>
        <v>369.30000000000018</v>
      </c>
      <c r="M39" s="31">
        <f t="shared" si="37"/>
        <v>8.0955935046639837E-4</v>
      </c>
      <c r="N39" s="30">
        <f t="shared" si="5"/>
        <v>77.540331286680725</v>
      </c>
      <c r="O39" s="29">
        <v>7601.7</v>
      </c>
      <c r="P39" s="137">
        <v>7916.5</v>
      </c>
      <c r="Q39" s="28">
        <v>8237.4</v>
      </c>
      <c r="R39" s="29">
        <v>8550.6</v>
      </c>
      <c r="S39" s="29">
        <v>8864.9</v>
      </c>
      <c r="T39" s="30">
        <f t="shared" si="32"/>
        <v>446.84033128668091</v>
      </c>
      <c r="U39" s="33">
        <f t="shared" si="33"/>
        <v>286.29999999999927</v>
      </c>
      <c r="V39" s="31">
        <f t="shared" si="38"/>
        <v>8.3408317303767512E-4</v>
      </c>
      <c r="W39" s="150">
        <f t="shared" si="34"/>
        <v>72.863721058580992</v>
      </c>
      <c r="X39" s="33">
        <f t="shared" si="39"/>
        <v>359.16372105858028</v>
      </c>
      <c r="Y39" s="125">
        <f t="shared" si="35"/>
        <v>375.10000000000036</v>
      </c>
      <c r="Z39" s="126">
        <f t="shared" si="9"/>
        <v>1.0592078554084994E-3</v>
      </c>
      <c r="AA39" s="127">
        <f t="shared" si="10"/>
        <v>144.65223544109489</v>
      </c>
      <c r="AB39" s="144">
        <f t="shared" si="11"/>
        <v>519.75223544109531</v>
      </c>
      <c r="AC39" s="33">
        <f t="shared" si="12"/>
        <v>337.69999999999982</v>
      </c>
      <c r="AD39" s="145">
        <f t="shared" si="13"/>
        <v>9.8084613997833172E-4</v>
      </c>
      <c r="AE39" s="144">
        <f t="shared" si="14"/>
        <v>112.79282363064816</v>
      </c>
      <c r="AF39" s="144">
        <f t="shared" si="15"/>
        <v>450.49282363064799</v>
      </c>
      <c r="AG39" s="33">
        <f t="shared" si="16"/>
        <v>314.80000000000018</v>
      </c>
      <c r="AH39" s="145">
        <f t="shared" si="17"/>
        <v>8.510617590213762E-4</v>
      </c>
      <c r="AI39" s="144">
        <f t="shared" si="18"/>
        <v>114.70363580179971</v>
      </c>
      <c r="AJ39" s="144">
        <f t="shared" si="19"/>
        <v>429.50363580179987</v>
      </c>
      <c r="AK39" s="33">
        <f t="shared" si="20"/>
        <v>320.89999999999964</v>
      </c>
      <c r="AL39" s="145">
        <f t="shared" si="21"/>
        <v>6.4031096964630644E-4</v>
      </c>
      <c r="AM39" s="144">
        <f t="shared" si="22"/>
        <v>94.170060475764899</v>
      </c>
      <c r="AN39" s="144">
        <f t="shared" si="23"/>
        <v>415.07006047576454</v>
      </c>
      <c r="AO39" s="125">
        <f t="shared" si="24"/>
        <v>313.20000000000073</v>
      </c>
      <c r="AP39" s="145">
        <f t="shared" si="25"/>
        <v>5.6422017233035164E-4</v>
      </c>
      <c r="AQ39" s="41">
        <f t="shared" si="26"/>
        <v>62.298116428777924</v>
      </c>
      <c r="AR39" s="125">
        <f t="shared" si="27"/>
        <v>375.49811642877864</v>
      </c>
      <c r="AS39" s="164">
        <f t="shared" si="28"/>
        <v>314.29999999999927</v>
      </c>
      <c r="AT39" s="145">
        <f t="shared" si="29"/>
        <v>6.4748741509427197E-4</v>
      </c>
      <c r="AU39" s="127">
        <f t="shared" si="30"/>
        <v>74.042231976262016</v>
      </c>
      <c r="AV39" s="164">
        <f t="shared" si="31"/>
        <v>388.3422319762613</v>
      </c>
    </row>
    <row r="40" spans="1:48" ht="27">
      <c r="A40" s="11">
        <v>37</v>
      </c>
      <c r="B40" s="16" t="s">
        <v>49</v>
      </c>
      <c r="C40" s="17" t="s">
        <v>50</v>
      </c>
      <c r="D40" s="18" t="s">
        <v>121</v>
      </c>
      <c r="E40" s="20" t="s">
        <v>49</v>
      </c>
      <c r="F40" s="17" t="s">
        <v>128</v>
      </c>
      <c r="G40" s="17" t="s">
        <v>129</v>
      </c>
      <c r="H40" s="15">
        <v>29939.7</v>
      </c>
      <c r="I40" s="28">
        <v>32471.599999999999</v>
      </c>
      <c r="J40" s="29">
        <v>34300.699999999997</v>
      </c>
      <c r="K40" s="29">
        <v>35839.9</v>
      </c>
      <c r="L40" s="30">
        <f t="shared" si="36"/>
        <v>2531.8999999999978</v>
      </c>
      <c r="M40" s="31">
        <f t="shared" si="37"/>
        <v>5.5502933101702441E-3</v>
      </c>
      <c r="N40" s="30">
        <f t="shared" si="5"/>
        <v>531.61214401501934</v>
      </c>
      <c r="O40" s="29">
        <v>36602.300000000003</v>
      </c>
      <c r="P40" s="137">
        <v>38869.5</v>
      </c>
      <c r="Q40" s="28">
        <v>42788.4</v>
      </c>
      <c r="R40" s="29">
        <v>46483.9</v>
      </c>
      <c r="S40" s="29">
        <v>50279.5</v>
      </c>
      <c r="T40" s="30">
        <f t="shared" si="32"/>
        <v>3063.5121440150169</v>
      </c>
      <c r="U40" s="33">
        <f t="shared" si="33"/>
        <v>1829.0999999999985</v>
      </c>
      <c r="V40" s="31">
        <f t="shared" si="38"/>
        <v>5.3287514208984086E-3</v>
      </c>
      <c r="W40" s="150">
        <f t="shared" si="34"/>
        <v>465.50832060164419</v>
      </c>
      <c r="X40" s="33">
        <f t="shared" si="39"/>
        <v>2294.6083206016428</v>
      </c>
      <c r="Y40" s="125">
        <f t="shared" si="35"/>
        <v>1539.2000000000044</v>
      </c>
      <c r="Z40" s="126">
        <f t="shared" si="9"/>
        <v>4.3463949108098251E-3</v>
      </c>
      <c r="AA40" s="127">
        <f t="shared" si="10"/>
        <v>593.57163633946595</v>
      </c>
      <c r="AB40" s="144">
        <f t="shared" si="11"/>
        <v>2132.7716363394702</v>
      </c>
      <c r="AC40" s="33">
        <f t="shared" si="12"/>
        <v>762.40000000000146</v>
      </c>
      <c r="AD40" s="145">
        <f t="shared" si="13"/>
        <v>2.214382875686947E-3</v>
      </c>
      <c r="AE40" s="144">
        <f t="shared" si="14"/>
        <v>254.64391097425636</v>
      </c>
      <c r="AF40" s="144">
        <f t="shared" si="15"/>
        <v>1017.0439109742579</v>
      </c>
      <c r="AG40" s="33">
        <f t="shared" si="16"/>
        <v>2267.1999999999971</v>
      </c>
      <c r="AH40" s="145">
        <f t="shared" si="17"/>
        <v>6.1293749048705864E-3</v>
      </c>
      <c r="AI40" s="144">
        <f t="shared" si="18"/>
        <v>826.09937449123197</v>
      </c>
      <c r="AJ40" s="144">
        <f t="shared" si="19"/>
        <v>3093.2993744912292</v>
      </c>
      <c r="AK40" s="33">
        <f t="shared" si="20"/>
        <v>3918.9000000000015</v>
      </c>
      <c r="AL40" s="145">
        <f t="shared" si="21"/>
        <v>7.8196156402209858E-3</v>
      </c>
      <c r="AM40" s="144">
        <f t="shared" si="22"/>
        <v>1150.0250856917285</v>
      </c>
      <c r="AN40" s="144">
        <f t="shared" si="23"/>
        <v>5068.9250856917297</v>
      </c>
      <c r="AO40" s="125">
        <f t="shared" si="24"/>
        <v>3695.5</v>
      </c>
      <c r="AP40" s="145">
        <f t="shared" si="25"/>
        <v>6.6573296514904528E-3</v>
      </c>
      <c r="AQ40" s="41">
        <f t="shared" si="26"/>
        <v>735.06605767097165</v>
      </c>
      <c r="AR40" s="125">
        <f t="shared" si="27"/>
        <v>4430.5660576709715</v>
      </c>
      <c r="AS40" s="164">
        <f t="shared" si="28"/>
        <v>3795.5999999999985</v>
      </c>
      <c r="AT40" s="145">
        <f t="shared" si="29"/>
        <v>7.8192912272727431E-3</v>
      </c>
      <c r="AU40" s="127">
        <f t="shared" si="30"/>
        <v>894.16066079892028</v>
      </c>
      <c r="AV40" s="164">
        <f t="shared" si="31"/>
        <v>4689.7606607989192</v>
      </c>
    </row>
    <row r="41" spans="1:48" ht="27">
      <c r="A41" s="16">
        <v>38</v>
      </c>
      <c r="B41" s="16" t="s">
        <v>49</v>
      </c>
      <c r="C41" s="17" t="s">
        <v>50</v>
      </c>
      <c r="D41" s="18" t="s">
        <v>121</v>
      </c>
      <c r="E41" s="20" t="s">
        <v>49</v>
      </c>
      <c r="F41" s="17" t="s">
        <v>130</v>
      </c>
      <c r="G41" s="17" t="s">
        <v>131</v>
      </c>
      <c r="H41" s="15">
        <v>12291.1</v>
      </c>
      <c r="I41" s="28">
        <v>12945.8</v>
      </c>
      <c r="J41" s="29">
        <v>13590.3</v>
      </c>
      <c r="K41" s="29">
        <v>14571.6</v>
      </c>
      <c r="L41" s="30">
        <f t="shared" si="36"/>
        <v>654.69999999999891</v>
      </c>
      <c r="M41" s="31">
        <f t="shared" si="37"/>
        <v>1.4351976895487404E-3</v>
      </c>
      <c r="N41" s="30">
        <f t="shared" si="5"/>
        <v>137.46454073487615</v>
      </c>
      <c r="O41" s="29">
        <v>15251.3</v>
      </c>
      <c r="P41" s="137">
        <v>16070.7</v>
      </c>
      <c r="Q41" s="28">
        <v>16622.099999999999</v>
      </c>
      <c r="R41" s="29">
        <v>17191.3</v>
      </c>
      <c r="S41" s="29">
        <v>17792.2</v>
      </c>
      <c r="T41" s="30">
        <f t="shared" si="32"/>
        <v>792.16454073487512</v>
      </c>
      <c r="U41" s="33">
        <f t="shared" si="33"/>
        <v>644.5</v>
      </c>
      <c r="V41" s="31">
        <f t="shared" si="38"/>
        <v>1.8776339679454524E-3</v>
      </c>
      <c r="W41" s="150">
        <f t="shared" si="34"/>
        <v>164.02608530302328</v>
      </c>
      <c r="X41" s="33">
        <f t="shared" si="39"/>
        <v>808.52608530302325</v>
      </c>
      <c r="Y41" s="125">
        <f t="shared" si="35"/>
        <v>981.30000000000109</v>
      </c>
      <c r="Z41" s="126">
        <f t="shared" si="9"/>
        <v>2.7709961837173035E-3</v>
      </c>
      <c r="AA41" s="127">
        <f t="shared" si="10"/>
        <v>378.42505635389608</v>
      </c>
      <c r="AB41" s="144">
        <f t="shared" si="11"/>
        <v>1359.7250563538971</v>
      </c>
      <c r="AC41" s="33">
        <f t="shared" si="12"/>
        <v>679.69999999999891</v>
      </c>
      <c r="AD41" s="145">
        <f t="shared" si="13"/>
        <v>1.9741815852628705E-3</v>
      </c>
      <c r="AE41" s="144">
        <f t="shared" si="14"/>
        <v>227.02186029538487</v>
      </c>
      <c r="AF41" s="144">
        <f t="shared" si="15"/>
        <v>906.72186029538375</v>
      </c>
      <c r="AG41" s="33">
        <f t="shared" si="16"/>
        <v>819.40000000000146</v>
      </c>
      <c r="AH41" s="145">
        <f t="shared" si="17"/>
        <v>2.2152477933358211E-3</v>
      </c>
      <c r="AI41" s="144">
        <f t="shared" si="18"/>
        <v>298.56467336720073</v>
      </c>
      <c r="AJ41" s="144">
        <f t="shared" si="19"/>
        <v>1117.9646733672021</v>
      </c>
      <c r="AK41" s="33">
        <f t="shared" si="20"/>
        <v>551.39999999999782</v>
      </c>
      <c r="AL41" s="145">
        <f t="shared" si="21"/>
        <v>1.1002414106044637E-3</v>
      </c>
      <c r="AM41" s="144">
        <f t="shared" si="22"/>
        <v>161.81169007895488</v>
      </c>
      <c r="AN41" s="144">
        <f t="shared" si="23"/>
        <v>713.21169007895264</v>
      </c>
      <c r="AO41" s="125">
        <f t="shared" si="24"/>
        <v>569.20000000000073</v>
      </c>
      <c r="AP41" s="145">
        <f t="shared" si="25"/>
        <v>1.0253963029707403E-3</v>
      </c>
      <c r="AQ41" s="41">
        <f t="shared" si="26"/>
        <v>113.21867136417741</v>
      </c>
      <c r="AR41" s="125">
        <f t="shared" si="27"/>
        <v>682.41867136417818</v>
      </c>
      <c r="AS41" s="164">
        <f t="shared" si="28"/>
        <v>600.90000000000146</v>
      </c>
      <c r="AT41" s="145">
        <f t="shared" si="29"/>
        <v>1.2379102377669418E-3</v>
      </c>
      <c r="AU41" s="127">
        <f t="shared" si="30"/>
        <v>141.55894748500177</v>
      </c>
      <c r="AV41" s="164">
        <f t="shared" si="31"/>
        <v>742.45894748500325</v>
      </c>
    </row>
    <row r="42" spans="1:48" ht="27">
      <c r="A42" s="11">
        <v>39</v>
      </c>
      <c r="B42" s="16" t="s">
        <v>49</v>
      </c>
      <c r="C42" s="17" t="s">
        <v>50</v>
      </c>
      <c r="D42" s="18" t="s">
        <v>121</v>
      </c>
      <c r="E42" s="20" t="s">
        <v>49</v>
      </c>
      <c r="F42" s="17" t="s">
        <v>132</v>
      </c>
      <c r="G42" s="17" t="s">
        <v>133</v>
      </c>
      <c r="H42" s="15">
        <v>12209.8</v>
      </c>
      <c r="I42" s="28">
        <v>12809.9</v>
      </c>
      <c r="J42" s="29">
        <v>13455.5</v>
      </c>
      <c r="K42" s="29">
        <v>13814</v>
      </c>
      <c r="L42" s="30">
        <f t="shared" si="36"/>
        <v>600.10000000000036</v>
      </c>
      <c r="M42" s="31">
        <f t="shared" si="37"/>
        <v>1.3155065426885613E-3</v>
      </c>
      <c r="N42" s="30">
        <f t="shared" si="5"/>
        <v>126.00041376966452</v>
      </c>
      <c r="O42" s="29">
        <v>14107.3</v>
      </c>
      <c r="P42" s="137">
        <v>14450.5</v>
      </c>
      <c r="Q42" s="28">
        <v>15289.3</v>
      </c>
      <c r="R42" s="29">
        <v>15943.3</v>
      </c>
      <c r="S42" s="29">
        <v>16602.099999999999</v>
      </c>
      <c r="T42" s="30">
        <f t="shared" si="32"/>
        <v>726.1004137696649</v>
      </c>
      <c r="U42" s="33">
        <f t="shared" si="33"/>
        <v>645.60000000000036</v>
      </c>
      <c r="V42" s="31">
        <f t="shared" si="38"/>
        <v>1.8808386186277498E-3</v>
      </c>
      <c r="W42" s="150">
        <f t="shared" si="34"/>
        <v>164.30603672867633</v>
      </c>
      <c r="X42" s="33">
        <f t="shared" si="39"/>
        <v>809.90603672867667</v>
      </c>
      <c r="Y42" s="125">
        <f t="shared" si="35"/>
        <v>358.5</v>
      </c>
      <c r="Z42" s="126">
        <f t="shared" si="9"/>
        <v>1.0123327543693592E-3</v>
      </c>
      <c r="AA42" s="127">
        <f t="shared" si="10"/>
        <v>138.25067023629023</v>
      </c>
      <c r="AB42" s="144">
        <f t="shared" si="11"/>
        <v>496.75067023629026</v>
      </c>
      <c r="AC42" s="33">
        <f t="shared" si="12"/>
        <v>293.29999999999927</v>
      </c>
      <c r="AD42" s="145">
        <f t="shared" si="13"/>
        <v>8.518868014677054E-4</v>
      </c>
      <c r="AE42" s="144">
        <f t="shared" si="14"/>
        <v>97.963089046103164</v>
      </c>
      <c r="AF42" s="144">
        <f t="shared" si="15"/>
        <v>391.26308904610244</v>
      </c>
      <c r="AG42" s="33">
        <f t="shared" si="16"/>
        <v>343.20000000000073</v>
      </c>
      <c r="AH42" s="145">
        <f t="shared" si="17"/>
        <v>9.278411553244497E-4</v>
      </c>
      <c r="AI42" s="144">
        <f t="shared" si="18"/>
        <v>125.05174017527865</v>
      </c>
      <c r="AJ42" s="144">
        <f t="shared" si="19"/>
        <v>468.25174017527939</v>
      </c>
      <c r="AK42" s="33">
        <f t="shared" si="20"/>
        <v>838.79999999999927</v>
      </c>
      <c r="AL42" s="145">
        <f t="shared" si="21"/>
        <v>1.6737078259249673E-3</v>
      </c>
      <c r="AM42" s="144">
        <f t="shared" si="22"/>
        <v>246.15097141499416</v>
      </c>
      <c r="AN42" s="144">
        <f t="shared" si="23"/>
        <v>1084.9509714149935</v>
      </c>
      <c r="AO42" s="125">
        <f t="shared" si="24"/>
        <v>654</v>
      </c>
      <c r="AP42" s="145">
        <f t="shared" si="25"/>
        <v>1.1781608962453676E-3</v>
      </c>
      <c r="AQ42" s="41">
        <f t="shared" si="26"/>
        <v>130.08610518652833</v>
      </c>
      <c r="AR42" s="125">
        <f t="shared" si="27"/>
        <v>784.08610518652836</v>
      </c>
      <c r="AS42" s="164">
        <f t="shared" si="28"/>
        <v>658.79999999999927</v>
      </c>
      <c r="AT42" s="145">
        <f t="shared" si="29"/>
        <v>1.3571896565832227E-3</v>
      </c>
      <c r="AU42" s="127">
        <f t="shared" si="30"/>
        <v>155.198925949607</v>
      </c>
      <c r="AV42" s="164">
        <f t="shared" si="31"/>
        <v>813.99892594960625</v>
      </c>
    </row>
    <row r="43" spans="1:48" ht="27">
      <c r="A43" s="16">
        <v>40</v>
      </c>
      <c r="B43" s="16" t="s">
        <v>49</v>
      </c>
      <c r="C43" s="17" t="s">
        <v>50</v>
      </c>
      <c r="D43" s="18" t="s">
        <v>121</v>
      </c>
      <c r="E43" s="20" t="s">
        <v>49</v>
      </c>
      <c r="F43" s="17" t="s">
        <v>134</v>
      </c>
      <c r="G43" s="17" t="s">
        <v>135</v>
      </c>
      <c r="H43" s="15">
        <v>35121.800000000003</v>
      </c>
      <c r="I43" s="28">
        <v>36738</v>
      </c>
      <c r="J43" s="29">
        <v>38302.5</v>
      </c>
      <c r="K43" s="29">
        <v>39697.800000000003</v>
      </c>
      <c r="L43" s="30">
        <f t="shared" si="36"/>
        <v>1616.1999999999971</v>
      </c>
      <c r="M43" s="31">
        <f t="shared" si="37"/>
        <v>3.5429456328832658E-3</v>
      </c>
      <c r="N43" s="30">
        <f t="shared" si="5"/>
        <v>339.34655679808583</v>
      </c>
      <c r="O43" s="29">
        <v>40707.4</v>
      </c>
      <c r="P43" s="137">
        <v>41797.699999999997</v>
      </c>
      <c r="Q43" s="28">
        <v>43834.5</v>
      </c>
      <c r="R43" s="29">
        <v>45699.199999999997</v>
      </c>
      <c r="S43" s="29">
        <v>47283.3</v>
      </c>
      <c r="T43" s="30">
        <f t="shared" si="32"/>
        <v>1955.546556798083</v>
      </c>
      <c r="U43" s="33">
        <f t="shared" si="33"/>
        <v>1564.5</v>
      </c>
      <c r="V43" s="31">
        <f t="shared" si="38"/>
        <v>4.5578872658660358E-3</v>
      </c>
      <c r="W43" s="150">
        <f t="shared" si="34"/>
        <v>398.16727766730787</v>
      </c>
      <c r="X43" s="33">
        <f t="shared" si="39"/>
        <v>1962.6672776673079</v>
      </c>
      <c r="Y43" s="125">
        <f t="shared" si="35"/>
        <v>1395.3000000000029</v>
      </c>
      <c r="Z43" s="126">
        <f t="shared" si="9"/>
        <v>3.9400499084283683E-3</v>
      </c>
      <c r="AA43" s="127">
        <f t="shared" si="10"/>
        <v>538.07855001588894</v>
      </c>
      <c r="AB43" s="144">
        <f t="shared" si="11"/>
        <v>1933.378550015892</v>
      </c>
      <c r="AC43" s="33">
        <f t="shared" si="12"/>
        <v>1009.5999999999985</v>
      </c>
      <c r="AD43" s="145">
        <f t="shared" si="13"/>
        <v>2.9323727063136594E-3</v>
      </c>
      <c r="AE43" s="144">
        <f t="shared" si="14"/>
        <v>337.20946028280213</v>
      </c>
      <c r="AF43" s="144">
        <f t="shared" si="15"/>
        <v>1346.8094602828007</v>
      </c>
      <c r="AG43" s="33">
        <f t="shared" si="16"/>
        <v>1090.2999999999956</v>
      </c>
      <c r="AH43" s="145">
        <f t="shared" si="17"/>
        <v>2.9476259080717985E-3</v>
      </c>
      <c r="AI43" s="144">
        <f t="shared" si="18"/>
        <v>397.27247177478284</v>
      </c>
      <c r="AJ43" s="144">
        <f t="shared" si="19"/>
        <v>1487.5724717747785</v>
      </c>
      <c r="AK43" s="33">
        <f t="shared" si="20"/>
        <v>2036.8000000000029</v>
      </c>
      <c r="AL43" s="145">
        <f t="shared" si="21"/>
        <v>4.0641489030090383E-3</v>
      </c>
      <c r="AM43" s="144">
        <f t="shared" si="22"/>
        <v>597.711371695352</v>
      </c>
      <c r="AN43" s="144">
        <f t="shared" si="23"/>
        <v>2634.5113716953547</v>
      </c>
      <c r="AO43" s="125">
        <f t="shared" si="24"/>
        <v>1864.6999999999971</v>
      </c>
      <c r="AP43" s="145">
        <f t="shared" si="25"/>
        <v>3.3591997297075437E-3</v>
      </c>
      <c r="AQ43" s="41">
        <f t="shared" si="26"/>
        <v>370.90452651577829</v>
      </c>
      <c r="AR43" s="125">
        <f t="shared" si="27"/>
        <v>2235.6045265157754</v>
      </c>
      <c r="AS43" s="164">
        <f t="shared" si="28"/>
        <v>1584.1000000000058</v>
      </c>
      <c r="AT43" s="145">
        <f t="shared" si="29"/>
        <v>3.2633942546956484E-3</v>
      </c>
      <c r="AU43" s="127">
        <f t="shared" si="30"/>
        <v>373.17944535029386</v>
      </c>
      <c r="AV43" s="164">
        <f t="shared" si="31"/>
        <v>1957.2794453502997</v>
      </c>
    </row>
    <row r="44" spans="1:48" ht="27">
      <c r="A44" s="11">
        <v>41</v>
      </c>
      <c r="B44" s="16" t="s">
        <v>49</v>
      </c>
      <c r="C44" s="17" t="s">
        <v>50</v>
      </c>
      <c r="D44" s="18" t="s">
        <v>121</v>
      </c>
      <c r="E44" s="20" t="s">
        <v>49</v>
      </c>
      <c r="F44" s="17" t="s">
        <v>136</v>
      </c>
      <c r="G44" s="17" t="s">
        <v>137</v>
      </c>
      <c r="H44" s="15">
        <v>1157.5999999999999</v>
      </c>
      <c r="I44" s="28">
        <v>1215.3</v>
      </c>
      <c r="J44" s="29">
        <v>1266.9000000000001</v>
      </c>
      <c r="K44" s="29">
        <v>1323</v>
      </c>
      <c r="L44" s="30">
        <f t="shared" si="36"/>
        <v>57.700000000000045</v>
      </c>
      <c r="M44" s="31">
        <f t="shared" si="37"/>
        <v>1.2648679805554074E-4</v>
      </c>
      <c r="N44" s="30">
        <f t="shared" si="5"/>
        <v>12.115020620745948</v>
      </c>
      <c r="O44" s="29">
        <v>1378.1</v>
      </c>
      <c r="P44" s="137">
        <v>1431.4</v>
      </c>
      <c r="Q44" s="28">
        <v>1492.2</v>
      </c>
      <c r="R44" s="29">
        <v>1551.6</v>
      </c>
      <c r="S44" s="29">
        <v>1611.8</v>
      </c>
      <c r="T44" s="30">
        <f t="shared" si="32"/>
        <v>69.815020620745997</v>
      </c>
      <c r="U44" s="33">
        <f t="shared" si="33"/>
        <v>51.600000000000136</v>
      </c>
      <c r="V44" s="31">
        <f t="shared" si="38"/>
        <v>1.5032725018772008E-4</v>
      </c>
      <c r="W44" s="150">
        <f t="shared" si="34"/>
        <v>13.132266876083822</v>
      </c>
      <c r="X44" s="33">
        <f t="shared" si="39"/>
        <v>64.732266876083955</v>
      </c>
      <c r="Y44" s="125">
        <f t="shared" si="35"/>
        <v>56.099999999999909</v>
      </c>
      <c r="Z44" s="126">
        <f t="shared" si="9"/>
        <v>1.5841525110215054E-4</v>
      </c>
      <c r="AA44" s="127">
        <f t="shared" si="10"/>
        <v>21.634205300574255</v>
      </c>
      <c r="AB44" s="144">
        <f t="shared" si="11"/>
        <v>77.73420530057416</v>
      </c>
      <c r="AC44" s="33">
        <f t="shared" si="12"/>
        <v>55.099999999999909</v>
      </c>
      <c r="AD44" s="145">
        <f t="shared" si="13"/>
        <v>1.6003737729584252E-4</v>
      </c>
      <c r="AE44" s="144">
        <f t="shared" si="14"/>
        <v>18.4035670182076</v>
      </c>
      <c r="AF44" s="144">
        <f t="shared" si="15"/>
        <v>73.503567018207505</v>
      </c>
      <c r="AG44" s="33">
        <f t="shared" si="16"/>
        <v>53.300000000000182</v>
      </c>
      <c r="AH44" s="145">
        <f t="shared" si="17"/>
        <v>1.4409654306175184E-4</v>
      </c>
      <c r="AI44" s="144">
        <f t="shared" si="18"/>
        <v>19.420914193887999</v>
      </c>
      <c r="AJ44" s="144">
        <f t="shared" si="19"/>
        <v>72.720914193888177</v>
      </c>
      <c r="AK44" s="33">
        <f t="shared" si="20"/>
        <v>60.799999999999955</v>
      </c>
      <c r="AL44" s="145">
        <f t="shared" si="21"/>
        <v>1.2131787770176208E-4</v>
      </c>
      <c r="AM44" s="144">
        <f t="shared" si="22"/>
        <v>17.842130498368679</v>
      </c>
      <c r="AN44" s="144">
        <f t="shared" si="23"/>
        <v>78.64213049836863</v>
      </c>
      <c r="AO44" s="125">
        <f t="shared" si="24"/>
        <v>59.399999999999864</v>
      </c>
      <c r="AP44" s="145">
        <f t="shared" si="25"/>
        <v>1.0700727406265241E-4</v>
      </c>
      <c r="AQ44" s="41">
        <f t="shared" si="26"/>
        <v>11.815160012354381</v>
      </c>
      <c r="AR44" s="125">
        <f t="shared" si="27"/>
        <v>71.215160012354247</v>
      </c>
      <c r="AS44" s="164">
        <f t="shared" si="28"/>
        <v>60.200000000000045</v>
      </c>
      <c r="AT44" s="145">
        <f t="shared" si="29"/>
        <v>1.2401763407150903E-4</v>
      </c>
      <c r="AU44" s="127">
        <f t="shared" si="30"/>
        <v>14.181808351800786</v>
      </c>
      <c r="AV44" s="164">
        <f t="shared" si="31"/>
        <v>74.381808351800828</v>
      </c>
    </row>
    <row r="45" spans="1:48" ht="27">
      <c r="A45" s="16">
        <v>42</v>
      </c>
      <c r="B45" s="16" t="s">
        <v>49</v>
      </c>
      <c r="C45" s="17" t="s">
        <v>50</v>
      </c>
      <c r="D45" s="119" t="s">
        <v>138</v>
      </c>
      <c r="E45" s="20" t="s">
        <v>49</v>
      </c>
      <c r="F45" s="17" t="s">
        <v>139</v>
      </c>
      <c r="G45" s="17" t="s">
        <v>140</v>
      </c>
      <c r="H45" s="15">
        <v>988.3</v>
      </c>
      <c r="I45" s="28">
        <v>1033</v>
      </c>
      <c r="J45" s="29">
        <v>1066.5</v>
      </c>
      <c r="K45" s="29">
        <v>1119.0999999999999</v>
      </c>
      <c r="L45" s="30">
        <f t="shared" si="36"/>
        <v>44.700000000000045</v>
      </c>
      <c r="M45" s="31">
        <f t="shared" si="37"/>
        <v>9.7988905945973538E-5</v>
      </c>
      <c r="N45" s="30">
        <f t="shared" si="5"/>
        <v>9.3854665814097764</v>
      </c>
      <c r="O45" s="29">
        <v>1168.5</v>
      </c>
      <c r="P45" s="137">
        <v>1216.2</v>
      </c>
      <c r="Q45" s="28">
        <v>1269.4000000000001</v>
      </c>
      <c r="R45" s="29">
        <v>1320.9</v>
      </c>
      <c r="S45" s="29">
        <v>1372.9</v>
      </c>
      <c r="T45" s="30">
        <f t="shared" si="32"/>
        <v>54.085466581409818</v>
      </c>
      <c r="U45" s="33">
        <f t="shared" si="33"/>
        <v>33.5</v>
      </c>
      <c r="V45" s="31">
        <f t="shared" si="38"/>
        <v>9.7596179869934301E-5</v>
      </c>
      <c r="W45" s="150">
        <f t="shared" si="34"/>
        <v>8.5257934176125367</v>
      </c>
      <c r="X45" s="33">
        <f t="shared" si="39"/>
        <v>42.025793417612533</v>
      </c>
      <c r="Y45" s="125">
        <f t="shared" si="35"/>
        <v>52.599999999999909</v>
      </c>
      <c r="Z45" s="126">
        <f t="shared" si="9"/>
        <v>1.4853194666618748E-4</v>
      </c>
      <c r="AA45" s="127">
        <f t="shared" si="10"/>
        <v>20.284477697151615</v>
      </c>
      <c r="AB45" s="144">
        <f t="shared" si="11"/>
        <v>72.884477697151524</v>
      </c>
      <c r="AC45" s="33">
        <f t="shared" si="12"/>
        <v>49.400000000000091</v>
      </c>
      <c r="AD45" s="145">
        <f t="shared" si="13"/>
        <v>1.4348178654110069E-4</v>
      </c>
      <c r="AE45" s="144">
        <f t="shared" si="14"/>
        <v>16.499749740462043</v>
      </c>
      <c r="AF45" s="144">
        <f t="shared" si="15"/>
        <v>65.899749740462141</v>
      </c>
      <c r="AG45" s="33">
        <f t="shared" si="16"/>
        <v>47.700000000000045</v>
      </c>
      <c r="AH45" s="145">
        <f t="shared" si="17"/>
        <v>1.289569437907232E-4</v>
      </c>
      <c r="AI45" s="144">
        <f t="shared" si="18"/>
        <v>17.380442908976647</v>
      </c>
      <c r="AJ45" s="144">
        <f t="shared" si="19"/>
        <v>65.080442908976693</v>
      </c>
      <c r="AK45" s="33">
        <f t="shared" si="20"/>
        <v>53.200000000000045</v>
      </c>
      <c r="AL45" s="145">
        <f t="shared" si="21"/>
        <v>1.0615314298904199E-4</v>
      </c>
      <c r="AM45" s="144">
        <f t="shared" si="22"/>
        <v>15.611864186072619</v>
      </c>
      <c r="AN45" s="144">
        <f t="shared" si="23"/>
        <v>68.811864186072668</v>
      </c>
      <c r="AO45" s="125">
        <f t="shared" si="24"/>
        <v>51.5</v>
      </c>
      <c r="AP45" s="145">
        <f t="shared" si="25"/>
        <v>9.2775666906171921E-5</v>
      </c>
      <c r="AQ45" s="41">
        <f t="shared" si="26"/>
        <v>10.243783512394815</v>
      </c>
      <c r="AR45" s="125">
        <f t="shared" si="27"/>
        <v>61.743783512394813</v>
      </c>
      <c r="AS45" s="164">
        <f t="shared" si="28"/>
        <v>52</v>
      </c>
      <c r="AT45" s="145">
        <f t="shared" si="29"/>
        <v>1.0712486663984161E-4</v>
      </c>
      <c r="AU45" s="127">
        <f t="shared" si="30"/>
        <v>12.250067014844523</v>
      </c>
      <c r="AV45" s="164">
        <f t="shared" si="31"/>
        <v>64.250067014844518</v>
      </c>
    </row>
    <row r="46" spans="1:48" ht="13.5">
      <c r="A46" s="11">
        <v>43</v>
      </c>
      <c r="B46" s="16" t="s">
        <v>39</v>
      </c>
      <c r="C46" s="17" t="s">
        <v>40</v>
      </c>
      <c r="D46" s="18" t="s">
        <v>121</v>
      </c>
      <c r="E46" s="18" t="s">
        <v>124</v>
      </c>
      <c r="F46" s="19" t="s">
        <v>141</v>
      </c>
      <c r="G46" s="19" t="s">
        <v>142</v>
      </c>
      <c r="H46" s="15">
        <v>3143.4</v>
      </c>
      <c r="I46" s="28">
        <v>3354.1</v>
      </c>
      <c r="J46" s="29">
        <v>3439.2</v>
      </c>
      <c r="K46" s="29">
        <v>3566.7</v>
      </c>
      <c r="L46" s="30">
        <f t="shared" si="36"/>
        <v>210.69999999999982</v>
      </c>
      <c r="M46" s="31">
        <f t="shared" si="37"/>
        <v>4.6188506672967749E-4</v>
      </c>
      <c r="N46" s="30">
        <f t="shared" si="5"/>
        <v>44.239772006779333</v>
      </c>
      <c r="O46" s="29">
        <v>3638.3</v>
      </c>
      <c r="P46" s="137">
        <v>3856.9</v>
      </c>
      <c r="Q46" s="28">
        <v>4271.1000000000004</v>
      </c>
      <c r="R46" s="29">
        <v>4684.3</v>
      </c>
      <c r="S46" s="29">
        <v>5058.8999999999996</v>
      </c>
      <c r="T46" s="30">
        <f t="shared" si="32"/>
        <v>254.93977200677915</v>
      </c>
      <c r="U46" s="33">
        <f t="shared" si="33"/>
        <v>85.099999999999909</v>
      </c>
      <c r="V46" s="31">
        <f t="shared" si="38"/>
        <v>2.479234300576537E-4</v>
      </c>
      <c r="W46" s="150">
        <f t="shared" si="34"/>
        <v>21.658060293696302</v>
      </c>
      <c r="X46" s="33">
        <f t="shared" si="39"/>
        <v>106.75806029369622</v>
      </c>
      <c r="Y46" s="125">
        <f t="shared" si="35"/>
        <v>127.5</v>
      </c>
      <c r="Z46" s="126">
        <f t="shared" si="9"/>
        <v>3.6003466159579726E-4</v>
      </c>
      <c r="AA46" s="127">
        <f t="shared" si="10"/>
        <v>49.168648410396109</v>
      </c>
      <c r="AB46" s="144">
        <f t="shared" si="11"/>
        <v>176.66864841039612</v>
      </c>
      <c r="AC46" s="33">
        <f t="shared" si="12"/>
        <v>71.600000000000364</v>
      </c>
      <c r="AD46" s="145">
        <f t="shared" si="13"/>
        <v>2.0796145579641382E-4</v>
      </c>
      <c r="AE46" s="144">
        <f t="shared" si="14"/>
        <v>23.914617032734537</v>
      </c>
      <c r="AF46" s="144">
        <f t="shared" si="15"/>
        <v>95.514617032734904</v>
      </c>
      <c r="AG46" s="33">
        <f t="shared" si="16"/>
        <v>218.59999999999991</v>
      </c>
      <c r="AH46" s="145">
        <f t="shared" si="17"/>
        <v>5.9098507154406812E-4</v>
      </c>
      <c r="AI46" s="144">
        <f t="shared" si="18"/>
        <v>79.65125408600187</v>
      </c>
      <c r="AJ46" s="144">
        <f t="shared" si="19"/>
        <v>298.25125408600178</v>
      </c>
      <c r="AK46" s="33">
        <f t="shared" si="20"/>
        <v>414.20000000000027</v>
      </c>
      <c r="AL46" s="145">
        <f t="shared" si="21"/>
        <v>8.2647804184325527E-4</v>
      </c>
      <c r="AM46" s="144">
        <f t="shared" si="22"/>
        <v>121.54951402013678</v>
      </c>
      <c r="AN46" s="144">
        <f t="shared" si="23"/>
        <v>535.7495140201371</v>
      </c>
      <c r="AO46" s="125">
        <f t="shared" si="24"/>
        <v>413.19999999999982</v>
      </c>
      <c r="AP46" s="145">
        <f t="shared" si="25"/>
        <v>7.4436709836175181E-4</v>
      </c>
      <c r="AQ46" s="41">
        <f t="shared" si="26"/>
        <v>82.18895820041817</v>
      </c>
      <c r="AR46" s="125">
        <f t="shared" si="27"/>
        <v>495.38895820041796</v>
      </c>
      <c r="AS46" s="164">
        <f t="shared" si="28"/>
        <v>374.59999999999945</v>
      </c>
      <c r="AT46" s="145">
        <f t="shared" si="29"/>
        <v>7.7171105852470397E-4</v>
      </c>
      <c r="AU46" s="127">
        <f t="shared" si="30"/>
        <v>88.247598149245221</v>
      </c>
      <c r="AV46" s="164">
        <f t="shared" si="31"/>
        <v>462.84759814924467</v>
      </c>
    </row>
    <row r="47" spans="1:48" ht="13.5">
      <c r="A47" s="16">
        <v>44</v>
      </c>
      <c r="B47" s="16" t="s">
        <v>39</v>
      </c>
      <c r="C47" s="17" t="s">
        <v>40</v>
      </c>
      <c r="D47" s="18" t="s">
        <v>121</v>
      </c>
      <c r="E47" s="18" t="s">
        <v>124</v>
      </c>
      <c r="F47" s="19" t="s">
        <v>43</v>
      </c>
      <c r="G47" s="19" t="s">
        <v>44</v>
      </c>
      <c r="H47" s="15">
        <v>2584.4</v>
      </c>
      <c r="I47" s="28">
        <v>2624.6</v>
      </c>
      <c r="J47" s="29">
        <v>2665.1</v>
      </c>
      <c r="K47" s="29">
        <v>2709.8</v>
      </c>
      <c r="L47" s="30">
        <f t="shared" si="36"/>
        <v>40.199999999999818</v>
      </c>
      <c r="M47" s="31">
        <f t="shared" si="37"/>
        <v>8.8124250984968999E-5</v>
      </c>
      <c r="N47" s="30">
        <f t="shared" si="5"/>
        <v>8.4406209524087448</v>
      </c>
      <c r="O47" s="29">
        <v>2752.7</v>
      </c>
      <c r="P47" s="137">
        <v>2792.5</v>
      </c>
      <c r="Q47" s="28">
        <v>2838.7</v>
      </c>
      <c r="R47" s="29">
        <v>2884.6</v>
      </c>
      <c r="S47" s="29">
        <v>2948</v>
      </c>
      <c r="T47" s="30">
        <f t="shared" si="32"/>
        <v>48.640620952408561</v>
      </c>
      <c r="U47" s="33">
        <f t="shared" si="33"/>
        <v>40.5</v>
      </c>
      <c r="V47" s="31">
        <f t="shared" si="38"/>
        <v>1.1798941148454743E-4</v>
      </c>
      <c r="W47" s="150">
        <f t="shared" si="34"/>
        <v>10.307302489949485</v>
      </c>
      <c r="X47" s="33">
        <f t="shared" si="39"/>
        <v>50.807302489949485</v>
      </c>
      <c r="Y47" s="125">
        <f t="shared" si="35"/>
        <v>44.700000000000273</v>
      </c>
      <c r="Z47" s="126">
        <f t="shared" si="9"/>
        <v>1.2622391665358617E-4</v>
      </c>
      <c r="AA47" s="127">
        <f t="shared" si="10"/>
        <v>17.237949677997801</v>
      </c>
      <c r="AB47" s="144">
        <f t="shared" si="11"/>
        <v>61.937949677998077</v>
      </c>
      <c r="AC47" s="33">
        <f t="shared" si="12"/>
        <v>42.899999999999636</v>
      </c>
      <c r="AD47" s="145">
        <f t="shared" si="13"/>
        <v>1.2460260410148089E-4</v>
      </c>
      <c r="AE47" s="144">
        <f t="shared" si="14"/>
        <v>14.328730037769521</v>
      </c>
      <c r="AF47" s="144">
        <f t="shared" si="15"/>
        <v>57.228730037769154</v>
      </c>
      <c r="AG47" s="33">
        <f t="shared" si="16"/>
        <v>39.800000000000182</v>
      </c>
      <c r="AH47" s="145">
        <f t="shared" si="17"/>
        <v>1.0759929481909437E-4</v>
      </c>
      <c r="AI47" s="144">
        <f t="shared" si="18"/>
        <v>14.501920917762536</v>
      </c>
      <c r="AJ47" s="144">
        <f t="shared" si="19"/>
        <v>54.301920917762715</v>
      </c>
      <c r="AK47" s="33">
        <f t="shared" si="20"/>
        <v>46.199999999999818</v>
      </c>
      <c r="AL47" s="145">
        <f t="shared" si="21"/>
        <v>9.2185624174693918E-5</v>
      </c>
      <c r="AM47" s="144">
        <f t="shared" si="22"/>
        <v>13.557671530010367</v>
      </c>
      <c r="AN47" s="144">
        <f t="shared" si="23"/>
        <v>59.757671530010185</v>
      </c>
      <c r="AO47" s="125">
        <f t="shared" si="24"/>
        <v>45.900000000000091</v>
      </c>
      <c r="AP47" s="145">
        <f t="shared" si="25"/>
        <v>8.2687439048413581E-5</v>
      </c>
      <c r="AQ47" s="41">
        <f t="shared" si="26"/>
        <v>9.1298963731829694</v>
      </c>
      <c r="AR47" s="125">
        <f t="shared" si="27"/>
        <v>55.029896373183064</v>
      </c>
      <c r="AS47" s="164">
        <f t="shared" si="28"/>
        <v>63.400000000000091</v>
      </c>
      <c r="AT47" s="145">
        <f t="shared" si="29"/>
        <v>1.3060993355703784E-4</v>
      </c>
      <c r="AU47" s="127">
        <f t="shared" si="30"/>
        <v>14.935658629637382</v>
      </c>
      <c r="AV47" s="164">
        <f t="shared" si="31"/>
        <v>78.335658629637479</v>
      </c>
    </row>
    <row r="48" spans="1:48" ht="27">
      <c r="A48" s="11">
        <v>45</v>
      </c>
      <c r="B48" s="16" t="s">
        <v>49</v>
      </c>
      <c r="C48" s="17" t="s">
        <v>50</v>
      </c>
      <c r="D48" s="18" t="s">
        <v>121</v>
      </c>
      <c r="E48" s="20" t="s">
        <v>49</v>
      </c>
      <c r="F48" s="17" t="s">
        <v>191</v>
      </c>
      <c r="G48" s="17" t="s">
        <v>192</v>
      </c>
      <c r="H48" s="15">
        <v>43858.400000000001</v>
      </c>
      <c r="I48" s="28">
        <v>46896.6</v>
      </c>
      <c r="J48" s="29">
        <v>48568.800000000003</v>
      </c>
      <c r="K48" s="29">
        <v>49727.4</v>
      </c>
      <c r="L48" s="30">
        <f t="shared" si="36"/>
        <v>3038.1999999999971</v>
      </c>
      <c r="M48" s="31">
        <f t="shared" si="37"/>
        <v>6.6601766005605417E-3</v>
      </c>
      <c r="N48" s="30">
        <f t="shared" si="5"/>
        <v>637.91777556239663</v>
      </c>
      <c r="O48" s="29">
        <v>50793.4</v>
      </c>
      <c r="P48" s="137">
        <v>53455.199999999997</v>
      </c>
      <c r="Q48" s="28">
        <v>57934.6</v>
      </c>
      <c r="R48" s="29">
        <v>63325.2</v>
      </c>
      <c r="S48" s="29">
        <v>67132</v>
      </c>
      <c r="T48" s="30">
        <f t="shared" si="32"/>
        <v>3676.1177755623939</v>
      </c>
      <c r="U48" s="33">
        <f t="shared" si="33"/>
        <v>1672.2000000000044</v>
      </c>
      <c r="V48" s="31">
        <f t="shared" si="38"/>
        <v>4.8716517008508819E-3</v>
      </c>
      <c r="W48" s="150">
        <f t="shared" si="34"/>
        <v>425.57706725169317</v>
      </c>
      <c r="X48" s="33">
        <f t="shared" si="39"/>
        <v>2097.7770672516976</v>
      </c>
      <c r="Y48" s="125">
        <f t="shared" si="35"/>
        <v>1158.5999999999985</v>
      </c>
      <c r="Z48" s="126">
        <f t="shared" si="9"/>
        <v>3.2716561484305109E-3</v>
      </c>
      <c r="AA48" s="127">
        <f t="shared" si="10"/>
        <v>446.79840037870474</v>
      </c>
      <c r="AB48" s="144">
        <f t="shared" si="11"/>
        <v>1605.3984003787032</v>
      </c>
      <c r="AC48" s="33">
        <f t="shared" si="12"/>
        <v>1066</v>
      </c>
      <c r="AD48" s="145">
        <f t="shared" si="13"/>
        <v>3.0961859200974301E-3</v>
      </c>
      <c r="AE48" s="144">
        <f t="shared" si="14"/>
        <v>356.04723124154867</v>
      </c>
      <c r="AF48" s="144">
        <f t="shared" si="15"/>
        <v>1422.0472312415486</v>
      </c>
      <c r="AG48" s="33">
        <f t="shared" si="16"/>
        <v>2661.7999999999956</v>
      </c>
      <c r="AH48" s="145">
        <f t="shared" si="17"/>
        <v>7.1961759535041107E-3</v>
      </c>
      <c r="AI48" s="144">
        <f t="shared" si="18"/>
        <v>969.87972610301699</v>
      </c>
      <c r="AJ48" s="144">
        <f t="shared" si="19"/>
        <v>3631.6797261030124</v>
      </c>
      <c r="AK48" s="33">
        <f t="shared" si="20"/>
        <v>4479.4000000000015</v>
      </c>
      <c r="AL48" s="145">
        <f t="shared" si="21"/>
        <v>8.938014825284106E-3</v>
      </c>
      <c r="AM48" s="144">
        <f t="shared" si="22"/>
        <v>1314.5072262235649</v>
      </c>
      <c r="AN48" s="144">
        <f t="shared" si="23"/>
        <v>5793.9072262235659</v>
      </c>
      <c r="AO48" s="125">
        <f t="shared" si="24"/>
        <v>5390.5999999999985</v>
      </c>
      <c r="AP48" s="145">
        <f t="shared" si="25"/>
        <v>9.7110001946487425E-3</v>
      </c>
      <c r="AQ48" s="41">
        <f t="shared" si="26"/>
        <v>1072.2357165420481</v>
      </c>
      <c r="AR48" s="125">
        <f t="shared" si="27"/>
        <v>6462.8357165420466</v>
      </c>
      <c r="AS48" s="164">
        <f t="shared" si="28"/>
        <v>3806.8000000000029</v>
      </c>
      <c r="AT48" s="145">
        <f t="shared" si="29"/>
        <v>7.8423642754721027E-3</v>
      </c>
      <c r="AU48" s="127">
        <f t="shared" si="30"/>
        <v>896.79913677134937</v>
      </c>
      <c r="AV48" s="164">
        <f t="shared" si="31"/>
        <v>4703.5991367713523</v>
      </c>
    </row>
    <row r="49" spans="1:48" ht="27">
      <c r="A49" s="16">
        <v>46</v>
      </c>
      <c r="B49" s="16" t="s">
        <v>49</v>
      </c>
      <c r="C49" s="17" t="s">
        <v>50</v>
      </c>
      <c r="D49" s="18" t="s">
        <v>121</v>
      </c>
      <c r="E49" s="20" t="s">
        <v>49</v>
      </c>
      <c r="F49" s="17" t="s">
        <v>193</v>
      </c>
      <c r="G49" s="17" t="s">
        <v>145</v>
      </c>
      <c r="H49" s="15">
        <v>265353.59999999998</v>
      </c>
      <c r="I49" s="28">
        <v>279632.09999999998</v>
      </c>
      <c r="J49" s="29">
        <v>291436</v>
      </c>
      <c r="K49" s="29">
        <v>307139.90000000002</v>
      </c>
      <c r="L49" s="30">
        <f t="shared" si="36"/>
        <v>14278.5</v>
      </c>
      <c r="M49" s="31">
        <f t="shared" si="37"/>
        <v>3.1300550191265812E-2</v>
      </c>
      <c r="N49" s="30">
        <f t="shared" si="5"/>
        <v>2997.9951808201199</v>
      </c>
      <c r="O49" s="29">
        <v>321863.59999999998</v>
      </c>
      <c r="P49" s="137">
        <v>336544.5</v>
      </c>
      <c r="Q49" s="28">
        <v>354121.6</v>
      </c>
      <c r="R49" s="29">
        <v>372888.4</v>
      </c>
      <c r="S49" s="29">
        <v>391662.8</v>
      </c>
      <c r="T49" s="30">
        <f t="shared" si="32"/>
        <v>17276.495180820119</v>
      </c>
      <c r="U49" s="33">
        <f t="shared" si="33"/>
        <v>11803.900000000023</v>
      </c>
      <c r="V49" s="31">
        <f t="shared" si="38"/>
        <v>3.4388523807961785E-2</v>
      </c>
      <c r="W49" s="150">
        <f t="shared" si="34"/>
        <v>3004.1078484225918</v>
      </c>
      <c r="X49" s="33">
        <f t="shared" si="39"/>
        <v>14808.007848422614</v>
      </c>
      <c r="Y49" s="125">
        <f t="shared" si="35"/>
        <v>15703.900000000023</v>
      </c>
      <c r="Z49" s="126">
        <f t="shared" si="9"/>
        <v>4.4344692723405868E-2</v>
      </c>
      <c r="AA49" s="127">
        <f t="shared" si="10"/>
        <v>6055.9963746825142</v>
      </c>
      <c r="AB49" s="144">
        <f t="shared" si="11"/>
        <v>21759.896374682539</v>
      </c>
      <c r="AC49" s="33">
        <f t="shared" si="12"/>
        <v>14723.699999999953</v>
      </c>
      <c r="AD49" s="145">
        <f t="shared" si="13"/>
        <v>4.2764833613263026E-2</v>
      </c>
      <c r="AE49" s="144">
        <f t="shared" si="14"/>
        <v>4917.7604302356231</v>
      </c>
      <c r="AF49" s="144">
        <f t="shared" si="15"/>
        <v>19641.460430235576</v>
      </c>
      <c r="AG49" s="33">
        <f t="shared" si="16"/>
        <v>14680.900000000023</v>
      </c>
      <c r="AH49" s="145">
        <f t="shared" si="17"/>
        <v>3.9689811238935627E-2</v>
      </c>
      <c r="AI49" s="144">
        <f t="shared" si="18"/>
        <v>5349.2776583311406</v>
      </c>
      <c r="AJ49" s="144">
        <f t="shared" si="19"/>
        <v>20030.177658331166</v>
      </c>
      <c r="AK49" s="33">
        <f t="shared" si="20"/>
        <v>17577.099999999977</v>
      </c>
      <c r="AL49" s="145">
        <f t="shared" si="21"/>
        <v>3.5072639278809881E-2</v>
      </c>
      <c r="AM49" s="144">
        <f t="shared" si="22"/>
        <v>5158.1071049815109</v>
      </c>
      <c r="AN49" s="144">
        <f t="shared" si="23"/>
        <v>22735.207104981488</v>
      </c>
      <c r="AO49" s="125">
        <f t="shared" si="24"/>
        <v>18766.800000000047</v>
      </c>
      <c r="AP49" s="145">
        <f t="shared" si="25"/>
        <v>3.3807813314461192E-2</v>
      </c>
      <c r="AQ49" s="41">
        <f t="shared" si="26"/>
        <v>3732.8744936002231</v>
      </c>
      <c r="AR49" s="125">
        <f t="shared" si="27"/>
        <v>22499.674493600269</v>
      </c>
      <c r="AS49" s="164">
        <f t="shared" si="28"/>
        <v>18774.399999999965</v>
      </c>
      <c r="AT49" s="145">
        <f t="shared" si="29"/>
        <v>3.8677021081596895E-2</v>
      </c>
      <c r="AU49" s="127">
        <f t="shared" si="30"/>
        <v>4422.8395800672424</v>
      </c>
      <c r="AV49" s="164">
        <f t="shared" si="31"/>
        <v>23197.239580067209</v>
      </c>
    </row>
    <row r="50" spans="1:48" ht="27">
      <c r="A50" s="11">
        <v>47</v>
      </c>
      <c r="B50" s="16" t="s">
        <v>49</v>
      </c>
      <c r="C50" s="17" t="s">
        <v>50</v>
      </c>
      <c r="D50" s="119" t="s">
        <v>138</v>
      </c>
      <c r="E50" s="20" t="s">
        <v>49</v>
      </c>
      <c r="F50" s="17" t="s">
        <v>61</v>
      </c>
      <c r="G50" s="17" t="s">
        <v>62</v>
      </c>
      <c r="H50" s="15">
        <v>55946.9</v>
      </c>
      <c r="I50" s="28">
        <v>59849.4</v>
      </c>
      <c r="J50" s="29">
        <v>61699.9</v>
      </c>
      <c r="K50" s="29">
        <v>63664.7</v>
      </c>
      <c r="L50" s="30">
        <f t="shared" si="36"/>
        <v>3902.5</v>
      </c>
      <c r="M50" s="31">
        <f t="shared" si="37"/>
        <v>8.5548479967373896E-3</v>
      </c>
      <c r="N50" s="30">
        <f t="shared" si="5"/>
        <v>819.39112603918602</v>
      </c>
      <c r="O50" s="29">
        <v>64893.2</v>
      </c>
      <c r="P50" s="137">
        <v>68460.600000000006</v>
      </c>
      <c r="Q50" s="28">
        <v>74760.2</v>
      </c>
      <c r="R50" s="29">
        <v>80973.399999999994</v>
      </c>
      <c r="S50" s="29">
        <v>87097.1</v>
      </c>
      <c r="T50" s="30">
        <f t="shared" si="32"/>
        <v>4721.891126039186</v>
      </c>
      <c r="U50" s="33">
        <f t="shared" si="33"/>
        <v>1850.5</v>
      </c>
      <c r="V50" s="31">
        <f t="shared" si="38"/>
        <v>5.3910964432630866E-3</v>
      </c>
      <c r="W50" s="150">
        <f t="shared" si="34"/>
        <v>470.95464833707456</v>
      </c>
      <c r="X50" s="33">
        <f t="shared" si="39"/>
        <v>2321.4546483370746</v>
      </c>
      <c r="Y50" s="125">
        <f t="shared" si="35"/>
        <v>1964.7999999999956</v>
      </c>
      <c r="Z50" s="126">
        <f t="shared" si="9"/>
        <v>5.5482047302229083E-3</v>
      </c>
      <c r="AA50" s="127">
        <f t="shared" si="10"/>
        <v>757.69851291565533</v>
      </c>
      <c r="AB50" s="144">
        <f t="shared" si="11"/>
        <v>2722.4985129156512</v>
      </c>
      <c r="AC50" s="33">
        <f t="shared" si="12"/>
        <v>1228.5</v>
      </c>
      <c r="AD50" s="145">
        <f t="shared" si="13"/>
        <v>3.5681654810878921E-3</v>
      </c>
      <c r="AE50" s="144">
        <f t="shared" si="14"/>
        <v>410.32272380885797</v>
      </c>
      <c r="AF50" s="144">
        <f t="shared" si="15"/>
        <v>1638.822723808858</v>
      </c>
      <c r="AG50" s="33">
        <f t="shared" si="16"/>
        <v>3567.4000000000087</v>
      </c>
      <c r="AH50" s="145">
        <f t="shared" si="17"/>
        <v>9.6444654356190058E-3</v>
      </c>
      <c r="AI50" s="144">
        <f t="shared" si="18"/>
        <v>1299.8530824629638</v>
      </c>
      <c r="AJ50" s="144">
        <f t="shared" si="19"/>
        <v>4867.2530824629721</v>
      </c>
      <c r="AK50" s="33">
        <f t="shared" si="20"/>
        <v>6299.5999999999913</v>
      </c>
      <c r="AL50" s="145">
        <f t="shared" si="21"/>
        <v>1.256996878898059E-2</v>
      </c>
      <c r="AM50" s="144">
        <f t="shared" si="22"/>
        <v>1848.6560080184745</v>
      </c>
      <c r="AN50" s="144">
        <f t="shared" si="23"/>
        <v>8148.2560080184658</v>
      </c>
      <c r="AO50" s="125">
        <f t="shared" si="24"/>
        <v>6213.1999999999971</v>
      </c>
      <c r="AP50" s="145">
        <f t="shared" si="25"/>
        <v>1.119288880818305E-2</v>
      </c>
      <c r="AQ50" s="41">
        <f t="shared" si="26"/>
        <v>1235.8577809555618</v>
      </c>
      <c r="AR50" s="125">
        <f t="shared" si="27"/>
        <v>7449.0577809555589</v>
      </c>
      <c r="AS50" s="164">
        <f t="shared" si="28"/>
        <v>6123.7000000000116</v>
      </c>
      <c r="AT50" s="145">
        <f t="shared" si="29"/>
        <v>1.2615395112353833E-2</v>
      </c>
      <c r="AU50" s="127">
        <f t="shared" si="30"/>
        <v>1442.6102957462222</v>
      </c>
      <c r="AV50" s="164">
        <f t="shared" si="31"/>
        <v>7566.3102957462343</v>
      </c>
    </row>
    <row r="51" spans="1:48" ht="13.5">
      <c r="A51" s="16">
        <v>48</v>
      </c>
      <c r="B51" s="16" t="s">
        <v>39</v>
      </c>
      <c r="C51" s="17" t="s">
        <v>40</v>
      </c>
      <c r="D51" s="18" t="s">
        <v>121</v>
      </c>
      <c r="E51" s="18" t="s">
        <v>124</v>
      </c>
      <c r="F51" s="19" t="s">
        <v>146</v>
      </c>
      <c r="G51" s="19" t="s">
        <v>147</v>
      </c>
      <c r="H51" s="15">
        <v>7463.1</v>
      </c>
      <c r="I51" s="28">
        <v>7725.2</v>
      </c>
      <c r="J51" s="29">
        <v>7925.8</v>
      </c>
      <c r="K51" s="29">
        <v>8241.9</v>
      </c>
      <c r="L51" s="30">
        <f t="shared" si="36"/>
        <v>262.09999999999945</v>
      </c>
      <c r="M51" s="31">
        <f t="shared" si="37"/>
        <v>5.7456134783981166E-4</v>
      </c>
      <c r="N51" s="30">
        <f t="shared" si="5"/>
        <v>55.032008746923815</v>
      </c>
      <c r="O51" s="29">
        <v>8491.6</v>
      </c>
      <c r="P51" s="137">
        <v>8775.6</v>
      </c>
      <c r="Q51" s="28">
        <v>9137.7000000000007</v>
      </c>
      <c r="R51" s="29">
        <v>9445.9</v>
      </c>
      <c r="S51" s="29">
        <v>9747.2999999999993</v>
      </c>
      <c r="T51" s="30">
        <f t="shared" si="32"/>
        <v>317.13200874692325</v>
      </c>
      <c r="U51" s="33">
        <f t="shared" si="33"/>
        <v>200.60000000000036</v>
      </c>
      <c r="V51" s="31">
        <f t="shared" si="38"/>
        <v>5.8441175169877176E-4</v>
      </c>
      <c r="W51" s="150">
        <f t="shared" si="34"/>
        <v>51.05295998725606</v>
      </c>
      <c r="X51" s="33">
        <f t="shared" si="39"/>
        <v>251.65295998725642</v>
      </c>
      <c r="Y51" s="125">
        <f t="shared" si="35"/>
        <v>316.09999999999945</v>
      </c>
      <c r="Z51" s="126">
        <f t="shared" si="9"/>
        <v>8.9260358063083384E-4</v>
      </c>
      <c r="AA51" s="127">
        <f t="shared" si="10"/>
        <v>121.89968441197007</v>
      </c>
      <c r="AB51" s="144">
        <f t="shared" si="11"/>
        <v>437.9996844119695</v>
      </c>
      <c r="AC51" s="33">
        <f t="shared" si="12"/>
        <v>249.70000000000073</v>
      </c>
      <c r="AD51" s="145">
        <f t="shared" si="13"/>
        <v>7.2525105464196109E-4</v>
      </c>
      <c r="AE51" s="144">
        <f t="shared" si="14"/>
        <v>83.400556886505598</v>
      </c>
      <c r="AF51" s="144">
        <f t="shared" si="15"/>
        <v>333.1005568865063</v>
      </c>
      <c r="AG51" s="33">
        <f t="shared" si="16"/>
        <v>284</v>
      </c>
      <c r="AH51" s="145">
        <f t="shared" si="17"/>
        <v>7.6779396303072018E-4</v>
      </c>
      <c r="AI51" s="144">
        <f t="shared" si="18"/>
        <v>103.48104373478748</v>
      </c>
      <c r="AJ51" s="144">
        <f t="shared" si="19"/>
        <v>387.48104373478748</v>
      </c>
      <c r="AK51" s="33">
        <f t="shared" si="20"/>
        <v>362.10000000000036</v>
      </c>
      <c r="AL51" s="145">
        <f t="shared" si="21"/>
        <v>7.2251979466789672E-4</v>
      </c>
      <c r="AM51" s="144">
        <f t="shared" si="22"/>
        <v>106.2604515371597</v>
      </c>
      <c r="AN51" s="144">
        <f t="shared" si="23"/>
        <v>468.36045153716009</v>
      </c>
      <c r="AO51" s="125">
        <f t="shared" si="24"/>
        <v>308.19999999999891</v>
      </c>
      <c r="AP51" s="145">
        <f t="shared" si="25"/>
        <v>5.5521282602877828E-4</v>
      </c>
      <c r="AQ51" s="41">
        <f t="shared" si="26"/>
        <v>61.303574340195546</v>
      </c>
      <c r="AR51" s="125">
        <f t="shared" si="27"/>
        <v>369.50357434019446</v>
      </c>
      <c r="AS51" s="164">
        <f t="shared" si="28"/>
        <v>301.39999999999964</v>
      </c>
      <c r="AT51" s="145">
        <f t="shared" si="29"/>
        <v>6.2091220779323503E-4</v>
      </c>
      <c r="AU51" s="127">
        <f t="shared" si="30"/>
        <v>71.003273043733358</v>
      </c>
      <c r="AV51" s="164">
        <f t="shared" si="31"/>
        <v>372.40327304373301</v>
      </c>
    </row>
    <row r="52" spans="1:48" ht="27">
      <c r="A52" s="11">
        <v>49</v>
      </c>
      <c r="B52" s="16" t="s">
        <v>49</v>
      </c>
      <c r="C52" s="17" t="s">
        <v>50</v>
      </c>
      <c r="D52" s="18" t="s">
        <v>121</v>
      </c>
      <c r="E52" s="20" t="s">
        <v>49</v>
      </c>
      <c r="F52" s="17" t="s">
        <v>148</v>
      </c>
      <c r="G52" s="17" t="s">
        <v>149</v>
      </c>
      <c r="H52" s="15">
        <v>199773.6</v>
      </c>
      <c r="I52" s="28">
        <v>207841.5</v>
      </c>
      <c r="J52" s="29">
        <v>223549</v>
      </c>
      <c r="K52" s="29">
        <v>223850.5</v>
      </c>
      <c r="L52" s="30">
        <f t="shared" si="36"/>
        <v>8067.8999999999942</v>
      </c>
      <c r="M52" s="31">
        <f t="shared" si="37"/>
        <v>1.7686011057752093E-2</v>
      </c>
      <c r="N52" s="30">
        <f t="shared" si="5"/>
        <v>1693.9822333815616</v>
      </c>
      <c r="O52" s="29">
        <v>233396.1</v>
      </c>
      <c r="P52" s="137">
        <v>254146.2</v>
      </c>
      <c r="Q52" s="28">
        <v>290286.09999999998</v>
      </c>
      <c r="R52" s="29">
        <v>323281.5</v>
      </c>
      <c r="S52" s="29">
        <v>358009.59999999998</v>
      </c>
      <c r="T52" s="30">
        <f t="shared" si="32"/>
        <v>9761.8822333815551</v>
      </c>
      <c r="U52" s="33">
        <f t="shared" si="33"/>
        <v>15707.5</v>
      </c>
      <c r="V52" s="31">
        <f t="shared" si="38"/>
        <v>4.5760955083790834E-2</v>
      </c>
      <c r="W52" s="150">
        <f t="shared" si="34"/>
        <v>3997.5791076760875</v>
      </c>
      <c r="X52" s="33">
        <f t="shared" si="39"/>
        <v>19705.079107676087</v>
      </c>
      <c r="Y52" s="125">
        <f t="shared" si="35"/>
        <v>301.5</v>
      </c>
      <c r="Z52" s="126">
        <f t="shared" si="9"/>
        <v>8.5137608212653229E-4</v>
      </c>
      <c r="AA52" s="127">
        <f t="shared" si="10"/>
        <v>116.26939212340727</v>
      </c>
      <c r="AB52" s="144">
        <f t="shared" si="11"/>
        <v>417.76939212340727</v>
      </c>
      <c r="AC52" s="33">
        <f t="shared" si="12"/>
        <v>9545.6000000000058</v>
      </c>
      <c r="AD52" s="145">
        <f t="shared" si="13"/>
        <v>2.7725095983941885E-2</v>
      </c>
      <c r="AE52" s="144">
        <f t="shared" si="14"/>
        <v>3188.2593344646621</v>
      </c>
      <c r="AF52" s="144">
        <f t="shared" si="15"/>
        <v>12733.859334464669</v>
      </c>
      <c r="AG52" s="33">
        <f t="shared" si="16"/>
        <v>20750.100000000006</v>
      </c>
      <c r="AH52" s="145">
        <f t="shared" si="17"/>
        <v>5.6097892648886448E-2</v>
      </c>
      <c r="AI52" s="144">
        <f t="shared" si="18"/>
        <v>7560.7112873282194</v>
      </c>
      <c r="AJ52" s="144">
        <f t="shared" si="19"/>
        <v>28310.811287328226</v>
      </c>
      <c r="AK52" s="33">
        <f t="shared" si="20"/>
        <v>36139.899999999965</v>
      </c>
      <c r="AL52" s="145">
        <f t="shared" si="21"/>
        <v>7.2112104742662997E-2</v>
      </c>
      <c r="AM52" s="144">
        <f t="shared" si="22"/>
        <v>10605.473881545955</v>
      </c>
      <c r="AN52" s="144">
        <f t="shared" si="23"/>
        <v>46745.373881545922</v>
      </c>
      <c r="AO52" s="125">
        <f t="shared" si="24"/>
        <v>32995.400000000023</v>
      </c>
      <c r="AP52" s="145">
        <f t="shared" si="25"/>
        <v>5.9440198831765184E-2</v>
      </c>
      <c r="AQ52" s="41">
        <f t="shared" si="26"/>
        <v>6563.0628059198471</v>
      </c>
      <c r="AR52" s="125">
        <f t="shared" si="27"/>
        <v>39558.462805919873</v>
      </c>
      <c r="AS52" s="164">
        <f t="shared" si="28"/>
        <v>34728.099999999977</v>
      </c>
      <c r="AT52" s="145">
        <f t="shared" si="29"/>
        <v>7.1543136176059244E-2</v>
      </c>
      <c r="AU52" s="127">
        <f t="shared" si="30"/>
        <v>8181.183698042727</v>
      </c>
      <c r="AV52" s="164">
        <f t="shared" si="31"/>
        <v>42909.283698042702</v>
      </c>
    </row>
    <row r="53" spans="1:48" ht="27">
      <c r="A53" s="16">
        <v>50</v>
      </c>
      <c r="B53" s="16" t="s">
        <v>49</v>
      </c>
      <c r="C53" s="17" t="s">
        <v>50</v>
      </c>
      <c r="D53" s="18" t="s">
        <v>121</v>
      </c>
      <c r="E53" s="20" t="s">
        <v>49</v>
      </c>
      <c r="F53" s="17" t="s">
        <v>150</v>
      </c>
      <c r="G53" s="17" t="s">
        <v>151</v>
      </c>
      <c r="H53" s="15">
        <v>182539.1</v>
      </c>
      <c r="I53" s="28">
        <v>201468.9</v>
      </c>
      <c r="J53" s="29">
        <v>201470.5</v>
      </c>
      <c r="K53" s="29">
        <v>217057.5</v>
      </c>
      <c r="L53" s="30">
        <f t="shared" si="36"/>
        <v>18929.799999999988</v>
      </c>
      <c r="M53" s="31">
        <f t="shared" si="37"/>
        <v>4.1496876773514248E-2</v>
      </c>
      <c r="N53" s="30">
        <f t="shared" si="5"/>
        <v>3974.6086195250673</v>
      </c>
      <c r="O53" s="29">
        <v>219628.5</v>
      </c>
      <c r="P53" s="137">
        <v>219975.9</v>
      </c>
      <c r="Q53" s="28">
        <v>220513.1</v>
      </c>
      <c r="R53" s="29">
        <v>220540.1</v>
      </c>
      <c r="S53" s="29">
        <v>220941.9</v>
      </c>
      <c r="T53" s="30">
        <f t="shared" si="32"/>
        <v>22904.408619525057</v>
      </c>
      <c r="U53" s="33">
        <f t="shared" si="33"/>
        <v>1.6000000000058208</v>
      </c>
      <c r="V53" s="31">
        <f t="shared" si="38"/>
        <v>4.6613100833571032E-6</v>
      </c>
      <c r="W53" s="150">
        <f t="shared" si="34"/>
        <v>0.40720207367849809</v>
      </c>
      <c r="X53" s="33">
        <f t="shared" si="39"/>
        <v>2.007202073684319</v>
      </c>
      <c r="Y53" s="125">
        <f t="shared" si="35"/>
        <v>15587</v>
      </c>
      <c r="Z53" s="126">
        <f t="shared" si="9"/>
        <v>4.4014590355244639E-2</v>
      </c>
      <c r="AA53" s="127">
        <f t="shared" si="10"/>
        <v>6010.9154727281893</v>
      </c>
      <c r="AB53" s="144">
        <f t="shared" si="11"/>
        <v>21597.915472728189</v>
      </c>
      <c r="AC53" s="33">
        <f t="shared" si="12"/>
        <v>2571</v>
      </c>
      <c r="AD53" s="145">
        <f t="shared" si="13"/>
        <v>7.467442777270631E-3</v>
      </c>
      <c r="AE53" s="144">
        <f t="shared" si="14"/>
        <v>858.72179317262817</v>
      </c>
      <c r="AF53" s="144">
        <f t="shared" si="15"/>
        <v>3429.7217931726282</v>
      </c>
      <c r="AG53" s="33">
        <f t="shared" si="16"/>
        <v>347.39999999999418</v>
      </c>
      <c r="AH53" s="145">
        <f t="shared" si="17"/>
        <v>9.3919585477770324E-4</v>
      </c>
      <c r="AI53" s="144">
        <f t="shared" si="18"/>
        <v>126.58209363895975</v>
      </c>
      <c r="AJ53" s="144">
        <f t="shared" si="19"/>
        <v>473.98209363895393</v>
      </c>
      <c r="AK53" s="33">
        <f t="shared" si="20"/>
        <v>537.20000000001164</v>
      </c>
      <c r="AL53" s="145">
        <f t="shared" si="21"/>
        <v>1.0719073010096718E-3</v>
      </c>
      <c r="AM53" s="144">
        <f t="shared" si="22"/>
        <v>157.64461354808995</v>
      </c>
      <c r="AN53" s="144">
        <f t="shared" si="23"/>
        <v>694.84461354810162</v>
      </c>
      <c r="AO53" s="125">
        <f t="shared" si="24"/>
        <v>27</v>
      </c>
      <c r="AP53" s="145">
        <f t="shared" si="25"/>
        <v>4.863967002847848E-5</v>
      </c>
      <c r="AQ53" s="41">
        <f t="shared" si="26"/>
        <v>5.3705272783429123</v>
      </c>
      <c r="AR53" s="125">
        <f t="shared" si="27"/>
        <v>32.370527278342912</v>
      </c>
      <c r="AS53" s="164">
        <f t="shared" si="28"/>
        <v>401.79999999998836</v>
      </c>
      <c r="AT53" s="145">
        <f t="shared" si="29"/>
        <v>8.2774560415167526E-4</v>
      </c>
      <c r="AU53" s="127">
        <f t="shared" si="30"/>
        <v>94.655325510853601</v>
      </c>
      <c r="AV53" s="164">
        <f t="shared" si="31"/>
        <v>496.45532551084193</v>
      </c>
    </row>
    <row r="54" spans="1:48" ht="13.5">
      <c r="A54" s="11">
        <v>51</v>
      </c>
      <c r="B54" s="16" t="s">
        <v>39</v>
      </c>
      <c r="C54" s="17" t="s">
        <v>40</v>
      </c>
      <c r="D54" s="18" t="s">
        <v>121</v>
      </c>
      <c r="E54" s="18" t="s">
        <v>124</v>
      </c>
      <c r="F54" s="19" t="s">
        <v>152</v>
      </c>
      <c r="G54" s="19" t="s">
        <v>153</v>
      </c>
      <c r="H54" s="15">
        <v>273236.3</v>
      </c>
      <c r="I54" s="28">
        <v>290382</v>
      </c>
      <c r="J54" s="29">
        <v>298692.2</v>
      </c>
      <c r="K54" s="29">
        <v>309221.3</v>
      </c>
      <c r="L54" s="30">
        <f t="shared" si="36"/>
        <v>17145.700000000012</v>
      </c>
      <c r="M54" s="31">
        <f t="shared" si="37"/>
        <v>3.7585869903308228E-2</v>
      </c>
      <c r="N54" s="30">
        <f t="shared" si="5"/>
        <v>3600.0088224804817</v>
      </c>
      <c r="O54" s="29">
        <v>310649.40000000002</v>
      </c>
      <c r="P54" s="137">
        <v>327813.3</v>
      </c>
      <c r="Q54" s="28">
        <v>359171.8</v>
      </c>
      <c r="R54" s="29">
        <v>387758.1</v>
      </c>
      <c r="S54" s="29">
        <v>421600.8</v>
      </c>
      <c r="T54" s="30">
        <f t="shared" si="32"/>
        <v>20745.708822480494</v>
      </c>
      <c r="U54" s="33">
        <f t="shared" si="33"/>
        <v>8310.2000000000116</v>
      </c>
      <c r="V54" s="31">
        <f t="shared" si="38"/>
        <v>2.4210261909108331E-2</v>
      </c>
      <c r="W54" s="150">
        <f t="shared" si="34"/>
        <v>2114.956670419218</v>
      </c>
      <c r="X54" s="33">
        <f t="shared" si="39"/>
        <v>10425.15667041923</v>
      </c>
      <c r="Y54" s="125">
        <f t="shared" si="35"/>
        <v>10529.099999999977</v>
      </c>
      <c r="Z54" s="126">
        <f t="shared" si="9"/>
        <v>2.9732085924770984E-2</v>
      </c>
      <c r="AA54" s="127">
        <f t="shared" si="10"/>
        <v>4060.4048311992201</v>
      </c>
      <c r="AB54" s="144">
        <f t="shared" si="11"/>
        <v>14589.504831199196</v>
      </c>
      <c r="AC54" s="33">
        <f t="shared" si="12"/>
        <v>1428.1000000000349</v>
      </c>
      <c r="AD54" s="145">
        <f t="shared" si="13"/>
        <v>4.1479016064645859E-3</v>
      </c>
      <c r="AE54" s="144">
        <f t="shared" si="14"/>
        <v>476.9897288330846</v>
      </c>
      <c r="AF54" s="144">
        <f t="shared" si="15"/>
        <v>1905.0897288331196</v>
      </c>
      <c r="AG54" s="33">
        <f t="shared" si="16"/>
        <v>17163.899999999965</v>
      </c>
      <c r="AH54" s="145">
        <f t="shared" si="17"/>
        <v>4.6402601415714617E-2</v>
      </c>
      <c r="AI54" s="144">
        <f t="shared" si="18"/>
        <v>6254.0080512658988</v>
      </c>
      <c r="AJ54" s="144">
        <f t="shared" si="19"/>
        <v>23417.908051265862</v>
      </c>
      <c r="AK54" s="33">
        <f t="shared" si="20"/>
        <v>31358.5</v>
      </c>
      <c r="AL54" s="145">
        <f t="shared" si="21"/>
        <v>6.2571491248531397E-2</v>
      </c>
      <c r="AM54" s="144">
        <f t="shared" si="22"/>
        <v>9202.3429150180036</v>
      </c>
      <c r="AN54" s="144">
        <f t="shared" si="23"/>
        <v>40560.842915018002</v>
      </c>
      <c r="AO54" s="125">
        <f t="shared" si="24"/>
        <v>28586.299999999988</v>
      </c>
      <c r="AP54" s="145">
        <f t="shared" si="25"/>
        <v>5.1497340716114587E-2</v>
      </c>
      <c r="AQ54" s="41">
        <f t="shared" si="26"/>
        <v>5686.055701366442</v>
      </c>
      <c r="AR54" s="125">
        <f t="shared" si="27"/>
        <v>34272.355701366432</v>
      </c>
      <c r="AS54" s="164">
        <f t="shared" si="28"/>
        <v>33842.700000000012</v>
      </c>
      <c r="AT54" s="145">
        <f t="shared" si="29"/>
        <v>6.9719129312157097E-2</v>
      </c>
      <c r="AU54" s="127">
        <f t="shared" si="30"/>
        <v>7972.6027492938256</v>
      </c>
      <c r="AV54" s="164">
        <f t="shared" si="31"/>
        <v>41815.302749293834</v>
      </c>
    </row>
    <row r="55" spans="1:48" ht="13.5">
      <c r="A55" s="16">
        <v>52</v>
      </c>
      <c r="B55" s="16" t="s">
        <v>39</v>
      </c>
      <c r="C55" s="17" t="s">
        <v>40</v>
      </c>
      <c r="D55" s="18" t="s">
        <v>121</v>
      </c>
      <c r="E55" s="18" t="s">
        <v>124</v>
      </c>
      <c r="F55" s="19" t="s">
        <v>154</v>
      </c>
      <c r="G55" s="19" t="s">
        <v>155</v>
      </c>
      <c r="H55" s="15">
        <v>36120.199999999997</v>
      </c>
      <c r="I55" s="28">
        <v>37951.300000000003</v>
      </c>
      <c r="J55" s="29">
        <v>38619.4</v>
      </c>
      <c r="K55" s="29">
        <v>38627.1</v>
      </c>
      <c r="L55" s="30">
        <f t="shared" si="36"/>
        <v>1831.1000000000058</v>
      </c>
      <c r="M55" s="31">
        <f t="shared" si="37"/>
        <v>4.0140377109099002E-3</v>
      </c>
      <c r="N55" s="30">
        <f t="shared" si="5"/>
        <v>384.46818472526797</v>
      </c>
      <c r="O55" s="29">
        <v>38637.9</v>
      </c>
      <c r="P55" s="137">
        <v>38643.9</v>
      </c>
      <c r="Q55" s="28">
        <v>39299.300000000003</v>
      </c>
      <c r="R55" s="29">
        <v>40517.9</v>
      </c>
      <c r="S55" s="29">
        <v>41859.4</v>
      </c>
      <c r="T55" s="30">
        <f t="shared" si="32"/>
        <v>2215.5681847252736</v>
      </c>
      <c r="U55" s="33">
        <f t="shared" si="33"/>
        <v>668.09999999999854</v>
      </c>
      <c r="V55" s="31">
        <f t="shared" si="38"/>
        <v>1.9463882916747153E-3</v>
      </c>
      <c r="W55" s="150">
        <f t="shared" si="34"/>
        <v>170.03231588975891</v>
      </c>
      <c r="X55" s="33">
        <f t="shared" si="39"/>
        <v>838.13231588975748</v>
      </c>
      <c r="Y55" s="125">
        <f t="shared" si="35"/>
        <v>7.6999999999970896</v>
      </c>
      <c r="Z55" s="126">
        <f t="shared" si="9"/>
        <v>2.1743269759110518E-5</v>
      </c>
      <c r="AA55" s="127">
        <f t="shared" si="10"/>
        <v>2.969400727528682</v>
      </c>
      <c r="AB55" s="144">
        <f t="shared" si="11"/>
        <v>10.669400727525773</v>
      </c>
      <c r="AC55" s="33">
        <f t="shared" si="12"/>
        <v>10.80000000000291</v>
      </c>
      <c r="AD55" s="145">
        <f t="shared" si="13"/>
        <v>3.1368487745836079E-5</v>
      </c>
      <c r="AE55" s="144">
        <f t="shared" si="14"/>
        <v>3.6072327367821413</v>
      </c>
      <c r="AF55" s="144">
        <f t="shared" si="15"/>
        <v>14.407232736785051</v>
      </c>
      <c r="AG55" s="33">
        <f t="shared" si="16"/>
        <v>6</v>
      </c>
      <c r="AH55" s="145">
        <f t="shared" si="17"/>
        <v>1.6220999218958877E-5</v>
      </c>
      <c r="AI55" s="144">
        <f t="shared" si="18"/>
        <v>2.1862192338335382</v>
      </c>
      <c r="AJ55" s="144">
        <f t="shared" si="19"/>
        <v>8.1862192338335387</v>
      </c>
      <c r="AK55" s="33">
        <f t="shared" si="20"/>
        <v>655.40000000000146</v>
      </c>
      <c r="AL55" s="145">
        <f t="shared" si="21"/>
        <v>1.3077588329890642E-3</v>
      </c>
      <c r="AM55" s="144">
        <f t="shared" si="22"/>
        <v>192.33112382616559</v>
      </c>
      <c r="AN55" s="144">
        <f t="shared" si="23"/>
        <v>847.73112382616705</v>
      </c>
      <c r="AO55" s="125">
        <f t="shared" si="24"/>
        <v>1218.5999999999985</v>
      </c>
      <c r="AP55" s="145">
        <f t="shared" si="25"/>
        <v>2.1952704406186596E-3</v>
      </c>
      <c r="AQ55" s="41">
        <f t="shared" si="26"/>
        <v>242.38979782920984</v>
      </c>
      <c r="AR55" s="125">
        <f t="shared" si="27"/>
        <v>1460.9897978292083</v>
      </c>
      <c r="AS55" s="164">
        <f t="shared" si="28"/>
        <v>1341.5</v>
      </c>
      <c r="AT55" s="145">
        <f t="shared" si="29"/>
        <v>2.7636155499489909E-3</v>
      </c>
      <c r="AU55" s="127">
        <f t="shared" si="30"/>
        <v>316.02817116180631</v>
      </c>
      <c r="AV55" s="164">
        <f t="shared" si="31"/>
        <v>1657.5281711618063</v>
      </c>
    </row>
    <row r="56" spans="1:48" ht="13.5">
      <c r="A56" s="11">
        <v>53</v>
      </c>
      <c r="B56" s="16" t="s">
        <v>39</v>
      </c>
      <c r="C56" s="17" t="s">
        <v>40</v>
      </c>
      <c r="D56" s="18" t="s">
        <v>121</v>
      </c>
      <c r="E56" s="18" t="s">
        <v>124</v>
      </c>
      <c r="F56" s="19" t="s">
        <v>156</v>
      </c>
      <c r="G56" s="19" t="s">
        <v>157</v>
      </c>
      <c r="H56" s="15">
        <v>453507.2</v>
      </c>
      <c r="I56" s="28">
        <v>488045.8</v>
      </c>
      <c r="J56" s="29">
        <v>500968.6</v>
      </c>
      <c r="K56" s="29">
        <v>501032.5</v>
      </c>
      <c r="L56" s="30">
        <f t="shared" si="36"/>
        <v>34538.599999999977</v>
      </c>
      <c r="M56" s="31">
        <f t="shared" si="37"/>
        <v>7.5713638185807508E-2</v>
      </c>
      <c r="N56" s="30">
        <f t="shared" si="5"/>
        <v>7251.9211648474075</v>
      </c>
      <c r="O56" s="29">
        <v>501090.2</v>
      </c>
      <c r="P56" s="137">
        <v>501218.8</v>
      </c>
      <c r="Q56" s="28">
        <v>530623.1</v>
      </c>
      <c r="R56" s="29">
        <v>588348.5</v>
      </c>
      <c r="S56" s="29">
        <v>629143</v>
      </c>
      <c r="T56" s="30">
        <f t="shared" si="32"/>
        <v>41790.521164847385</v>
      </c>
      <c r="U56" s="33">
        <f t="shared" si="33"/>
        <v>12922.799999999988</v>
      </c>
      <c r="V56" s="31">
        <f t="shared" si="38"/>
        <v>3.7648236215617484E-2</v>
      </c>
      <c r="W56" s="150">
        <f t="shared" si="34"/>
        <v>3288.8693485708413</v>
      </c>
      <c r="X56" s="33">
        <f t="shared" si="39"/>
        <v>16211.669348570829</v>
      </c>
      <c r="Y56" s="125">
        <f t="shared" si="35"/>
        <v>63.900000000023283</v>
      </c>
      <c r="Z56" s="126">
        <f t="shared" si="9"/>
        <v>1.8044090098807706E-4</v>
      </c>
      <c r="AA56" s="127">
        <f t="shared" si="10"/>
        <v>24.642169673925146</v>
      </c>
      <c r="AB56" s="144">
        <f t="shared" si="11"/>
        <v>88.542169673948422</v>
      </c>
      <c r="AC56" s="33">
        <f t="shared" si="12"/>
        <v>57.700000000011642</v>
      </c>
      <c r="AD56" s="145">
        <f t="shared" si="13"/>
        <v>1.6758905027172398E-4</v>
      </c>
      <c r="AE56" s="144">
        <f t="shared" si="14"/>
        <v>19.271974899288466</v>
      </c>
      <c r="AF56" s="144">
        <f t="shared" si="15"/>
        <v>76.971974899300108</v>
      </c>
      <c r="AG56" s="33">
        <f t="shared" si="16"/>
        <v>128.59999999997672</v>
      </c>
      <c r="AH56" s="145">
        <f t="shared" si="17"/>
        <v>3.476700832596223E-4</v>
      </c>
      <c r="AI56" s="144">
        <f t="shared" si="18"/>
        <v>46.857965578490351</v>
      </c>
      <c r="AJ56" s="144">
        <f t="shared" si="19"/>
        <v>175.45796557846705</v>
      </c>
      <c r="AK56" s="33">
        <f t="shared" si="20"/>
        <v>29404.299999999988</v>
      </c>
      <c r="AL56" s="145">
        <f t="shared" si="21"/>
        <v>5.8672159067531642E-2</v>
      </c>
      <c r="AM56" s="144">
        <f t="shared" si="22"/>
        <v>8628.8710166641831</v>
      </c>
      <c r="AN56" s="144">
        <f t="shared" si="23"/>
        <v>38033.171016664171</v>
      </c>
      <c r="AO56" s="125">
        <f t="shared" si="24"/>
        <v>57725.400000000023</v>
      </c>
      <c r="AP56" s="145">
        <f t="shared" si="25"/>
        <v>0.10399053363933085</v>
      </c>
      <c r="AQ56" s="41">
        <f t="shared" si="26"/>
        <v>11482.067976046523</v>
      </c>
      <c r="AR56" s="125">
        <f t="shared" si="27"/>
        <v>69207.467976046551</v>
      </c>
      <c r="AS56" s="164">
        <f t="shared" si="28"/>
        <v>40794.5</v>
      </c>
      <c r="AT56" s="145">
        <f t="shared" si="29"/>
        <v>8.4040487925750362E-2</v>
      </c>
      <c r="AU56" s="127">
        <f t="shared" si="30"/>
        <v>9610.2953622514415</v>
      </c>
      <c r="AV56" s="164">
        <f t="shared" si="31"/>
        <v>50404.79536225144</v>
      </c>
    </row>
    <row r="57" spans="1:48" ht="13.5">
      <c r="A57" s="16">
        <v>54</v>
      </c>
      <c r="B57" s="16" t="s">
        <v>39</v>
      </c>
      <c r="C57" s="17" t="s">
        <v>40</v>
      </c>
      <c r="D57" s="18" t="s">
        <v>121</v>
      </c>
      <c r="E57" s="18" t="s">
        <v>124</v>
      </c>
      <c r="F57" s="19" t="s">
        <v>158</v>
      </c>
      <c r="G57" s="19" t="s">
        <v>159</v>
      </c>
      <c r="H57" s="15">
        <v>123910.7</v>
      </c>
      <c r="I57" s="28">
        <v>131267.4</v>
      </c>
      <c r="J57" s="29">
        <v>133627.20000000001</v>
      </c>
      <c r="K57" s="29">
        <v>133657.79999999999</v>
      </c>
      <c r="L57" s="30">
        <f t="shared" si="36"/>
        <v>7356.6999999999971</v>
      </c>
      <c r="M57" s="31">
        <f t="shared" si="37"/>
        <v>1.6126957144804083E-2</v>
      </c>
      <c r="N57" s="30">
        <f t="shared" si="5"/>
        <v>1544.6546308603401</v>
      </c>
      <c r="O57" s="29">
        <v>133665.4</v>
      </c>
      <c r="P57" s="137">
        <v>133721.60000000001</v>
      </c>
      <c r="Q57" s="28">
        <v>141537.9</v>
      </c>
      <c r="R57" s="29">
        <v>154987.79999999999</v>
      </c>
      <c r="S57" s="29">
        <v>170462.1</v>
      </c>
      <c r="T57" s="30">
        <f t="shared" si="32"/>
        <v>8901.3546308603363</v>
      </c>
      <c r="U57" s="33">
        <f t="shared" si="33"/>
        <v>2359.8000000000175</v>
      </c>
      <c r="V57" s="31">
        <f t="shared" si="38"/>
        <v>6.8748497091663478E-3</v>
      </c>
      <c r="W57" s="150">
        <f t="shared" si="34"/>
        <v>600.57215841439438</v>
      </c>
      <c r="X57" s="33">
        <f t="shared" si="39"/>
        <v>2960.3721584144118</v>
      </c>
      <c r="Y57" s="125">
        <f t="shared" si="35"/>
        <v>30.599999999976717</v>
      </c>
      <c r="Z57" s="126">
        <f t="shared" si="9"/>
        <v>8.6408318782925584E-5</v>
      </c>
      <c r="AA57" s="127">
        <f t="shared" si="10"/>
        <v>11.800475618486086</v>
      </c>
      <c r="AB57" s="144">
        <f t="shared" si="11"/>
        <v>42.400475618462806</v>
      </c>
      <c r="AC57" s="33">
        <f t="shared" si="12"/>
        <v>7.6000000000058208</v>
      </c>
      <c r="AD57" s="145">
        <f t="shared" si="13"/>
        <v>2.2074121006340048E-5</v>
      </c>
      <c r="AE57" s="144">
        <f t="shared" si="14"/>
        <v>2.5384230369960998</v>
      </c>
      <c r="AF57" s="144">
        <f t="shared" si="15"/>
        <v>10.138423037001921</v>
      </c>
      <c r="AG57" s="33">
        <f t="shared" si="16"/>
        <v>56.200000000011642</v>
      </c>
      <c r="AH57" s="145">
        <f t="shared" si="17"/>
        <v>1.5193669268427962E-4</v>
      </c>
      <c r="AI57" s="144">
        <f t="shared" si="18"/>
        <v>20.477586823578385</v>
      </c>
      <c r="AJ57" s="144">
        <f t="shared" si="19"/>
        <v>76.677586823590019</v>
      </c>
      <c r="AK57" s="33">
        <f t="shared" si="20"/>
        <v>7816.2999999999884</v>
      </c>
      <c r="AL57" s="145">
        <f t="shared" si="21"/>
        <v>1.5596331044083589E-2</v>
      </c>
      <c r="AM57" s="144">
        <f t="shared" si="22"/>
        <v>2293.7408653684047</v>
      </c>
      <c r="AN57" s="144">
        <f t="shared" si="23"/>
        <v>10110.040865368393</v>
      </c>
      <c r="AO57" s="125">
        <f t="shared" si="24"/>
        <v>13449.899999999994</v>
      </c>
      <c r="AP57" s="145">
        <f t="shared" si="25"/>
        <v>2.4229581404297498E-2</v>
      </c>
      <c r="AQ57" s="41">
        <f t="shared" si="26"/>
        <v>2675.2983274438634</v>
      </c>
      <c r="AR57" s="125">
        <f t="shared" si="27"/>
        <v>16125.198327443857</v>
      </c>
      <c r="AS57" s="164">
        <f t="shared" si="28"/>
        <v>15474.300000000017</v>
      </c>
      <c r="AT57" s="145">
        <f t="shared" si="29"/>
        <v>3.1878506227786596E-2</v>
      </c>
      <c r="AU57" s="127">
        <f t="shared" si="30"/>
        <v>3645.4079232270929</v>
      </c>
      <c r="AV57" s="164">
        <f t="shared" si="31"/>
        <v>19119.70792322711</v>
      </c>
    </row>
    <row r="58" spans="1:48" ht="13.5">
      <c r="A58" s="11">
        <v>55</v>
      </c>
      <c r="B58" s="16" t="s">
        <v>39</v>
      </c>
      <c r="C58" s="17" t="s">
        <v>40</v>
      </c>
      <c r="D58" s="18" t="s">
        <v>121</v>
      </c>
      <c r="E58" s="18" t="s">
        <v>124</v>
      </c>
      <c r="F58" s="19" t="s">
        <v>160</v>
      </c>
      <c r="G58" s="19" t="s">
        <v>161</v>
      </c>
      <c r="H58" s="15">
        <v>222644.6</v>
      </c>
      <c r="I58" s="28">
        <v>237320.5</v>
      </c>
      <c r="J58" s="29">
        <v>247263.8</v>
      </c>
      <c r="K58" s="29">
        <v>255733.5</v>
      </c>
      <c r="L58" s="30">
        <f t="shared" si="36"/>
        <v>14675.899999999994</v>
      </c>
      <c r="M58" s="31">
        <f t="shared" si="37"/>
        <v>3.2171708831599796E-2</v>
      </c>
      <c r="N58" s="30">
        <f t="shared" si="5"/>
        <v>3081.4355481456719</v>
      </c>
      <c r="O58" s="29">
        <v>264257.40000000002</v>
      </c>
      <c r="P58" s="137">
        <v>283004.7</v>
      </c>
      <c r="Q58" s="28">
        <v>311991.3</v>
      </c>
      <c r="R58" s="29">
        <v>340855.3</v>
      </c>
      <c r="S58" s="29">
        <v>361210.4</v>
      </c>
      <c r="T58" s="30">
        <f t="shared" si="32"/>
        <v>17757.335548145667</v>
      </c>
      <c r="U58" s="33">
        <f t="shared" si="33"/>
        <v>9943.2999999999884</v>
      </c>
      <c r="V58" s="31">
        <f t="shared" si="38"/>
        <v>2.8968002844797509E-2</v>
      </c>
      <c r="W58" s="150">
        <f t="shared" si="34"/>
        <v>2530.5827369954222</v>
      </c>
      <c r="X58" s="33">
        <f t="shared" si="39"/>
        <v>12473.882736995411</v>
      </c>
      <c r="Y58" s="125">
        <f t="shared" si="35"/>
        <v>8469.7000000000116</v>
      </c>
      <c r="Z58" s="126">
        <f t="shared" si="9"/>
        <v>2.3916749594650417E-2</v>
      </c>
      <c r="AA58" s="127">
        <f t="shared" si="10"/>
        <v>3266.2251093453528</v>
      </c>
      <c r="AB58" s="144">
        <f t="shared" si="11"/>
        <v>11735.925109345364</v>
      </c>
      <c r="AC58" s="33">
        <f t="shared" si="12"/>
        <v>8523.9000000000233</v>
      </c>
      <c r="AD58" s="145">
        <f t="shared" si="13"/>
        <v>2.4757578953394518E-2</v>
      </c>
      <c r="AE58" s="144">
        <f t="shared" si="14"/>
        <v>2847.0084375045453</v>
      </c>
      <c r="AF58" s="144">
        <f t="shared" si="15"/>
        <v>11370.908437504568</v>
      </c>
      <c r="AG58" s="33">
        <f t="shared" si="16"/>
        <v>18747.299999999988</v>
      </c>
      <c r="AH58" s="145">
        <f t="shared" si="17"/>
        <v>5.0683323109597923E-2</v>
      </c>
      <c r="AI58" s="144">
        <f t="shared" si="18"/>
        <v>6830.951307074577</v>
      </c>
      <c r="AJ58" s="144">
        <f t="shared" si="19"/>
        <v>25578.251307074566</v>
      </c>
      <c r="AK58" s="33">
        <f t="shared" si="20"/>
        <v>28986.599999999977</v>
      </c>
      <c r="AL58" s="145">
        <f t="shared" si="21"/>
        <v>5.7838697266281193E-2</v>
      </c>
      <c r="AM58" s="144">
        <f t="shared" si="22"/>
        <v>8506.2944063160121</v>
      </c>
      <c r="AN58" s="144">
        <f t="shared" si="23"/>
        <v>37492.894406315987</v>
      </c>
      <c r="AO58" s="125">
        <f t="shared" si="24"/>
        <v>28864</v>
      </c>
      <c r="AP58" s="145">
        <f t="shared" si="25"/>
        <v>5.1997608729703812E-2</v>
      </c>
      <c r="AQ58" s="41">
        <f t="shared" si="26"/>
        <v>5741.2925689662898</v>
      </c>
      <c r="AR58" s="125">
        <f t="shared" si="27"/>
        <v>34605.292568966288</v>
      </c>
      <c r="AS58" s="164">
        <f t="shared" si="28"/>
        <v>20355.100000000035</v>
      </c>
      <c r="AT58" s="145">
        <f t="shared" si="29"/>
        <v>4.1933411018089305E-2</v>
      </c>
      <c r="AU58" s="127">
        <f t="shared" si="30"/>
        <v>4795.2180594973497</v>
      </c>
      <c r="AV58" s="164">
        <f t="shared" si="31"/>
        <v>25150.318059497386</v>
      </c>
    </row>
    <row r="59" spans="1:48" ht="27">
      <c r="A59" s="16">
        <v>56</v>
      </c>
      <c r="B59" s="16" t="s">
        <v>39</v>
      </c>
      <c r="C59" s="17" t="s">
        <v>40</v>
      </c>
      <c r="D59" s="18" t="s">
        <v>121</v>
      </c>
      <c r="E59" s="18" t="s">
        <v>124</v>
      </c>
      <c r="F59" s="19" t="s">
        <v>194</v>
      </c>
      <c r="G59" s="19" t="s">
        <v>163</v>
      </c>
      <c r="H59" s="15">
        <v>59315.4</v>
      </c>
      <c r="I59" s="28">
        <v>64794.2</v>
      </c>
      <c r="J59" s="29">
        <v>68007.8</v>
      </c>
      <c r="K59" s="29">
        <v>70543.100000000006</v>
      </c>
      <c r="L59" s="30">
        <f t="shared" si="36"/>
        <v>5478.7999999999956</v>
      </c>
      <c r="M59" s="31">
        <f t="shared" si="37"/>
        <v>1.201032702229975E-2</v>
      </c>
      <c r="N59" s="30">
        <f t="shared" si="5"/>
        <v>1150.3600515934629</v>
      </c>
      <c r="O59" s="29">
        <v>71914.899999999994</v>
      </c>
      <c r="P59" s="137">
        <v>76843.5</v>
      </c>
      <c r="Q59" s="28">
        <v>83522.100000000006</v>
      </c>
      <c r="R59" s="29">
        <v>92584.3</v>
      </c>
      <c r="S59" s="29">
        <v>97440.5</v>
      </c>
      <c r="T59" s="30">
        <f t="shared" si="32"/>
        <v>6629.1600515934588</v>
      </c>
      <c r="U59" s="33">
        <f t="shared" si="33"/>
        <v>3213.6000000000058</v>
      </c>
      <c r="V59" s="31">
        <f t="shared" si="38"/>
        <v>9.3622413023886995E-3</v>
      </c>
      <c r="W59" s="150">
        <f t="shared" si="34"/>
        <v>817.86536498028954</v>
      </c>
      <c r="X59" s="33">
        <f t="shared" si="39"/>
        <v>4031.4653649802954</v>
      </c>
      <c r="Y59" s="125">
        <f t="shared" si="35"/>
        <v>2535.3000000000029</v>
      </c>
      <c r="Z59" s="126">
        <f t="shared" si="9"/>
        <v>7.1591833532849078E-3</v>
      </c>
      <c r="AA59" s="127">
        <f t="shared" si="10"/>
        <v>977.70411227354816</v>
      </c>
      <c r="AB59" s="144">
        <f t="shared" si="11"/>
        <v>3513.0041122735511</v>
      </c>
      <c r="AC59" s="33">
        <f t="shared" si="12"/>
        <v>1371.7999999999884</v>
      </c>
      <c r="AD59" s="145">
        <f t="shared" si="13"/>
        <v>3.9843788416412933E-3</v>
      </c>
      <c r="AE59" s="144">
        <f t="shared" si="14"/>
        <v>458.18535817744123</v>
      </c>
      <c r="AF59" s="144">
        <f t="shared" si="15"/>
        <v>1829.9853581774296</v>
      </c>
      <c r="AG59" s="33">
        <f t="shared" si="16"/>
        <v>4928.6000000000058</v>
      </c>
      <c r="AH59" s="145">
        <f t="shared" si="17"/>
        <v>1.3324469458426802E-2</v>
      </c>
      <c r="AI59" s="144">
        <f t="shared" si="18"/>
        <v>1795.8333526453316</v>
      </c>
      <c r="AJ59" s="144">
        <f t="shared" si="19"/>
        <v>6724.4333526453374</v>
      </c>
      <c r="AK59" s="33">
        <f t="shared" si="20"/>
        <v>6678.6000000000058</v>
      </c>
      <c r="AL59" s="145">
        <f t="shared" si="21"/>
        <v>1.3326210164786011E-2</v>
      </c>
      <c r="AM59" s="144">
        <f t="shared" si="22"/>
        <v>1959.87586753956</v>
      </c>
      <c r="AN59" s="144">
        <f t="shared" si="23"/>
        <v>8638.475867539566</v>
      </c>
      <c r="AO59" s="125">
        <f t="shared" si="24"/>
        <v>9062.1999999999971</v>
      </c>
      <c r="AP59" s="145">
        <f t="shared" si="25"/>
        <v>1.6325274730817688E-2</v>
      </c>
      <c r="AQ59" s="41">
        <f t="shared" si="26"/>
        <v>1802.5478630295975</v>
      </c>
      <c r="AR59" s="125">
        <f t="shared" si="27"/>
        <v>10864.747863029595</v>
      </c>
      <c r="AS59" s="164">
        <f t="shared" si="28"/>
        <v>4856.1999999999971</v>
      </c>
      <c r="AT59" s="145">
        <f t="shared" si="29"/>
        <v>1.0004226488007664E-2</v>
      </c>
      <c r="AU59" s="127">
        <f t="shared" si="30"/>
        <v>1144.0149122593834</v>
      </c>
      <c r="AV59" s="164">
        <f t="shared" si="31"/>
        <v>6000.2149122593801</v>
      </c>
    </row>
    <row r="60" spans="1:48" ht="27">
      <c r="A60" s="11">
        <v>57</v>
      </c>
      <c r="B60" s="16" t="s">
        <v>83</v>
      </c>
      <c r="C60" s="17" t="s">
        <v>84</v>
      </c>
      <c r="D60" s="119" t="s">
        <v>138</v>
      </c>
      <c r="E60" s="18" t="s">
        <v>83</v>
      </c>
      <c r="F60" s="17" t="s">
        <v>164</v>
      </c>
      <c r="G60" s="17" t="s">
        <v>165</v>
      </c>
      <c r="H60" s="15">
        <v>14362.8</v>
      </c>
      <c r="I60" s="28">
        <v>15219.2</v>
      </c>
      <c r="J60" s="29">
        <v>16107.3</v>
      </c>
      <c r="K60" s="29">
        <v>17492.3</v>
      </c>
      <c r="L60" s="30">
        <f t="shared" si="36"/>
        <v>856.40000000000146</v>
      </c>
      <c r="M60" s="31">
        <f t="shared" si="37"/>
        <v>1.8773534463564158E-3</v>
      </c>
      <c r="N60" s="30">
        <f t="shared" si="5"/>
        <v>179.81462148365409</v>
      </c>
      <c r="O60" s="29">
        <v>18571.900000000001</v>
      </c>
      <c r="P60" s="137">
        <v>19542.099999999999</v>
      </c>
      <c r="Q60" s="28">
        <v>20746.599999999999</v>
      </c>
      <c r="R60" s="29">
        <v>22678.5</v>
      </c>
      <c r="S60" s="29">
        <v>24103.8</v>
      </c>
      <c r="T60" s="30">
        <f t="shared" si="32"/>
        <v>1036.2146214836555</v>
      </c>
      <c r="U60" s="33">
        <f t="shared" si="33"/>
        <v>888.09999999999854</v>
      </c>
      <c r="V60" s="31">
        <f t="shared" si="38"/>
        <v>2.5873184281339852E-3</v>
      </c>
      <c r="W60" s="150">
        <f t="shared" si="34"/>
        <v>226.0226010203487</v>
      </c>
      <c r="X60" s="33">
        <f t="shared" si="39"/>
        <v>1114.1226010203472</v>
      </c>
      <c r="Y60" s="125">
        <f t="shared" si="35"/>
        <v>1385</v>
      </c>
      <c r="Z60" s="126">
        <f t="shared" si="9"/>
        <v>3.9109647553739546E-3</v>
      </c>
      <c r="AA60" s="127">
        <f t="shared" si="10"/>
        <v>534.10649449724406</v>
      </c>
      <c r="AB60" s="144">
        <f t="shared" si="11"/>
        <v>1919.1064944972441</v>
      </c>
      <c r="AC60" s="33">
        <f t="shared" si="12"/>
        <v>1079.6000000000022</v>
      </c>
      <c r="AD60" s="145">
        <f t="shared" si="13"/>
        <v>3.1356869787403305E-3</v>
      </c>
      <c r="AE60" s="144">
        <f t="shared" si="14"/>
        <v>360.58967246564424</v>
      </c>
      <c r="AF60" s="144">
        <f t="shared" si="15"/>
        <v>1440.1896724656465</v>
      </c>
      <c r="AG60" s="33">
        <f t="shared" si="16"/>
        <v>970.19999999999709</v>
      </c>
      <c r="AH60" s="145">
        <f t="shared" si="17"/>
        <v>2.6229355737056423E-3</v>
      </c>
      <c r="AI60" s="144">
        <f t="shared" si="18"/>
        <v>353.51165011088204</v>
      </c>
      <c r="AJ60" s="144">
        <f t="shared" si="19"/>
        <v>1323.7116501108792</v>
      </c>
      <c r="AK60" s="33">
        <f t="shared" si="20"/>
        <v>1204.5</v>
      </c>
      <c r="AL60" s="145">
        <f t="shared" si="21"/>
        <v>2.4034109159831009E-3</v>
      </c>
      <c r="AM60" s="144">
        <f t="shared" si="22"/>
        <v>353.4678648895574</v>
      </c>
      <c r="AN60" s="144">
        <f t="shared" si="23"/>
        <v>1557.9678648895574</v>
      </c>
      <c r="AO60" s="125">
        <f t="shared" si="24"/>
        <v>1931.9000000000015</v>
      </c>
      <c r="AP60" s="145">
        <f t="shared" si="25"/>
        <v>3.4802584640006534E-3</v>
      </c>
      <c r="AQ60" s="41">
        <f t="shared" si="26"/>
        <v>384.27117218632151</v>
      </c>
      <c r="AR60" s="125">
        <f t="shared" si="27"/>
        <v>2316.171172186323</v>
      </c>
      <c r="AS60" s="164">
        <f t="shared" si="28"/>
        <v>1425.2999999999993</v>
      </c>
      <c r="AT60" s="145">
        <f t="shared" si="29"/>
        <v>2.9362513927262725E-3</v>
      </c>
      <c r="AU60" s="127">
        <f t="shared" si="30"/>
        <v>335.76962531265173</v>
      </c>
      <c r="AV60" s="164">
        <f t="shared" si="31"/>
        <v>1761.0696253126509</v>
      </c>
    </row>
    <row r="61" spans="1:48" ht="27">
      <c r="A61" s="16">
        <v>58</v>
      </c>
      <c r="B61" s="16" t="s">
        <v>49</v>
      </c>
      <c r="C61" s="17" t="s">
        <v>50</v>
      </c>
      <c r="D61" s="119" t="s">
        <v>138</v>
      </c>
      <c r="E61" s="18" t="s">
        <v>49</v>
      </c>
      <c r="F61" s="17" t="s">
        <v>166</v>
      </c>
      <c r="G61" s="17" t="s">
        <v>167</v>
      </c>
      <c r="H61" s="15">
        <v>715943.7</v>
      </c>
      <c r="I61" s="28">
        <v>736111.6</v>
      </c>
      <c r="J61" s="29">
        <v>756046.5</v>
      </c>
      <c r="K61" s="29">
        <v>780421.4</v>
      </c>
      <c r="L61" s="30">
        <f t="shared" si="36"/>
        <v>20167.900000000023</v>
      </c>
      <c r="M61" s="31">
        <f t="shared" si="37"/>
        <v>4.4210972175118567E-2</v>
      </c>
      <c r="N61" s="30">
        <f t="shared" si="5"/>
        <v>4234.567146917545</v>
      </c>
      <c r="O61" s="29">
        <v>806476.5</v>
      </c>
      <c r="P61" s="137">
        <v>831467.3</v>
      </c>
      <c r="Q61" s="28">
        <v>858593.6</v>
      </c>
      <c r="R61" s="29">
        <v>886070.3</v>
      </c>
      <c r="S61" s="29">
        <v>913727.5</v>
      </c>
      <c r="T61" s="30">
        <f t="shared" si="32"/>
        <v>24402.467146917566</v>
      </c>
      <c r="U61" s="33">
        <f t="shared" si="33"/>
        <v>19934.900000000023</v>
      </c>
      <c r="V61" s="31">
        <f t="shared" si="38"/>
        <v>5.8076718987735983E-2</v>
      </c>
      <c r="W61" s="150">
        <f t="shared" si="34"/>
        <v>5073.4578865899812</v>
      </c>
      <c r="X61" s="33">
        <f t="shared" si="39"/>
        <v>25008.357886590005</v>
      </c>
      <c r="Y61" s="125">
        <f t="shared" si="35"/>
        <v>24374.900000000023</v>
      </c>
      <c r="Z61" s="126">
        <f t="shared" si="9"/>
        <v>6.8829873513187506E-2</v>
      </c>
      <c r="AA61" s="127">
        <f t="shared" si="10"/>
        <v>9399.8501030475709</v>
      </c>
      <c r="AB61" s="144">
        <f t="shared" si="11"/>
        <v>33774.750103047598</v>
      </c>
      <c r="AC61" s="33">
        <f t="shared" si="12"/>
        <v>26055.099999999977</v>
      </c>
      <c r="AD61" s="145">
        <f t="shared" si="13"/>
        <v>7.5676767135769679E-2</v>
      </c>
      <c r="AE61" s="144">
        <f t="shared" si="14"/>
        <v>8702.4823777876809</v>
      </c>
      <c r="AF61" s="144">
        <f t="shared" si="15"/>
        <v>34757.582377787658</v>
      </c>
      <c r="AG61" s="33">
        <f t="shared" si="16"/>
        <v>24990.800000000047</v>
      </c>
      <c r="AH61" s="145">
        <f t="shared" si="17"/>
        <v>6.7562624546859712E-2</v>
      </c>
      <c r="AI61" s="144">
        <f t="shared" si="18"/>
        <v>9105.8946048145481</v>
      </c>
      <c r="AJ61" s="144">
        <f t="shared" si="19"/>
        <v>34096.694604814591</v>
      </c>
      <c r="AK61" s="33">
        <f t="shared" si="20"/>
        <v>27126.29999999993</v>
      </c>
      <c r="AL61" s="145">
        <f t="shared" si="21"/>
        <v>5.4126729373376689E-2</v>
      </c>
      <c r="AM61" s="144">
        <f t="shared" si="22"/>
        <v>7960.3780351627865</v>
      </c>
      <c r="AN61" s="144">
        <f t="shared" si="23"/>
        <v>35086.678035162717</v>
      </c>
      <c r="AO61" s="125">
        <f t="shared" si="24"/>
        <v>27476.70000000007</v>
      </c>
      <c r="AP61" s="145">
        <f t="shared" si="25"/>
        <v>4.9498430424870295E-2</v>
      </c>
      <c r="AQ61" s="41">
        <f t="shared" si="26"/>
        <v>5465.3469210683361</v>
      </c>
      <c r="AR61" s="125">
        <f t="shared" si="27"/>
        <v>32942.04692106841</v>
      </c>
      <c r="AS61" s="164">
        <f t="shared" si="28"/>
        <v>27657.199999999953</v>
      </c>
      <c r="AT61" s="145">
        <f t="shared" si="29"/>
        <v>5.6976420415988896E-2</v>
      </c>
      <c r="AU61" s="127">
        <f t="shared" si="30"/>
        <v>6515.4337200568734</v>
      </c>
      <c r="AV61" s="164">
        <f t="shared" si="31"/>
        <v>34172.633720056823</v>
      </c>
    </row>
    <row r="62" spans="1:48" ht="27">
      <c r="A62" s="11">
        <v>59</v>
      </c>
      <c r="B62" s="16" t="s">
        <v>49</v>
      </c>
      <c r="C62" s="17" t="s">
        <v>50</v>
      </c>
      <c r="D62" s="119" t="s">
        <v>138</v>
      </c>
      <c r="E62" s="18" t="s">
        <v>49</v>
      </c>
      <c r="F62" s="17" t="s">
        <v>168</v>
      </c>
      <c r="G62" s="17" t="s">
        <v>169</v>
      </c>
      <c r="H62" s="15">
        <v>875337.1</v>
      </c>
      <c r="I62" s="28">
        <v>906540.9</v>
      </c>
      <c r="J62" s="29">
        <v>934819.6</v>
      </c>
      <c r="K62" s="29">
        <v>967834.3</v>
      </c>
      <c r="L62" s="30">
        <f t="shared" si="36"/>
        <v>31203.800000000047</v>
      </c>
      <c r="M62" s="31">
        <f t="shared" si="37"/>
        <v>6.8403271216039604E-2</v>
      </c>
      <c r="N62" s="30">
        <f t="shared" si="5"/>
        <v>6551.7275640490943</v>
      </c>
      <c r="O62" s="29">
        <v>995789.9</v>
      </c>
      <c r="P62" s="137">
        <v>1021463.6</v>
      </c>
      <c r="Q62" s="28">
        <v>1051810.8999999999</v>
      </c>
      <c r="R62" s="29">
        <v>1087147.1000000001</v>
      </c>
      <c r="S62" s="29">
        <v>1124158.3</v>
      </c>
      <c r="T62" s="30">
        <f t="shared" si="32"/>
        <v>37755.527564049138</v>
      </c>
      <c r="U62" s="33">
        <f t="shared" si="33"/>
        <v>28278.699999999953</v>
      </c>
      <c r="V62" s="31">
        <f t="shared" si="38"/>
        <v>8.2384868408594228E-2</v>
      </c>
      <c r="W62" s="150">
        <f t="shared" si="34"/>
        <v>7196.9658005563961</v>
      </c>
      <c r="X62" s="33">
        <f t="shared" si="39"/>
        <v>35475.665800556351</v>
      </c>
      <c r="Y62" s="125">
        <f t="shared" si="35"/>
        <v>33014.70000000007</v>
      </c>
      <c r="Z62" s="126">
        <f t="shared" si="9"/>
        <v>9.322695170342582E-2</v>
      </c>
      <c r="AA62" s="127">
        <f t="shared" si="10"/>
        <v>12731.671973919278</v>
      </c>
      <c r="AB62" s="144">
        <f t="shared" si="11"/>
        <v>45746.371973919348</v>
      </c>
      <c r="AC62" s="33">
        <f t="shared" si="12"/>
        <v>27955.599999999977</v>
      </c>
      <c r="AD62" s="145">
        <f t="shared" si="13"/>
        <v>8.1196749632153509E-2</v>
      </c>
      <c r="AE62" s="144">
        <f t="shared" si="14"/>
        <v>9337.2551385518109</v>
      </c>
      <c r="AF62" s="144">
        <f t="shared" si="15"/>
        <v>37292.855138551786</v>
      </c>
      <c r="AG62" s="33">
        <f t="shared" si="16"/>
        <v>25673.699999999953</v>
      </c>
      <c r="AH62" s="145">
        <f t="shared" si="17"/>
        <v>6.9408844607963954E-2</v>
      </c>
      <c r="AI62" s="144">
        <f t="shared" si="18"/>
        <v>9354.7227906120006</v>
      </c>
      <c r="AJ62" s="144">
        <f t="shared" si="19"/>
        <v>35028.422790611956</v>
      </c>
      <c r="AK62" s="33">
        <f t="shared" si="20"/>
        <v>30347.29999999993</v>
      </c>
      <c r="AL62" s="145">
        <f t="shared" si="21"/>
        <v>6.055378338780721E-2</v>
      </c>
      <c r="AM62" s="144">
        <f t="shared" si="22"/>
        <v>8905.6001130451132</v>
      </c>
      <c r="AN62" s="144">
        <f t="shared" si="23"/>
        <v>39252.900113045042</v>
      </c>
      <c r="AO62" s="125">
        <f t="shared" si="24"/>
        <v>35336.200000000186</v>
      </c>
      <c r="AP62" s="145">
        <f t="shared" si="25"/>
        <v>6.3657078076308535E-2</v>
      </c>
      <c r="AQ62" s="41">
        <f t="shared" si="26"/>
        <v>7028.667630110438</v>
      </c>
      <c r="AR62" s="125">
        <f t="shared" si="27"/>
        <v>42364.867630110624</v>
      </c>
      <c r="AS62" s="164">
        <f t="shared" si="28"/>
        <v>37011.199999999953</v>
      </c>
      <c r="AT62" s="145">
        <f t="shared" si="29"/>
        <v>7.6246535849625013E-2</v>
      </c>
      <c r="AU62" s="127">
        <f t="shared" si="30"/>
        <v>8719.032313457943</v>
      </c>
      <c r="AV62" s="164">
        <f t="shared" si="31"/>
        <v>45730.232313457898</v>
      </c>
    </row>
    <row r="63" spans="1:48" ht="40.5">
      <c r="A63" s="16">
        <v>60</v>
      </c>
      <c r="B63" s="16" t="s">
        <v>49</v>
      </c>
      <c r="C63" s="17" t="s">
        <v>50</v>
      </c>
      <c r="D63" s="18" t="s">
        <v>121</v>
      </c>
      <c r="E63" s="20" t="s">
        <v>49</v>
      </c>
      <c r="F63" s="17" t="s">
        <v>170</v>
      </c>
      <c r="G63" s="17" t="s">
        <v>171</v>
      </c>
      <c r="H63" s="15">
        <v>120195.9</v>
      </c>
      <c r="I63" s="28">
        <v>126819.9</v>
      </c>
      <c r="J63" s="29">
        <v>132123.20000000001</v>
      </c>
      <c r="K63" s="29">
        <v>139825.1</v>
      </c>
      <c r="L63" s="30">
        <f t="shared" si="36"/>
        <v>6624</v>
      </c>
      <c r="M63" s="31">
        <f t="shared" si="37"/>
        <v>1.4520772102597942E-2</v>
      </c>
      <c r="N63" s="34">
        <f t="shared" si="5"/>
        <v>1390.8127658894473</v>
      </c>
      <c r="O63" s="29">
        <v>146353</v>
      </c>
      <c r="P63" s="137">
        <v>150655.6</v>
      </c>
      <c r="Q63" s="28">
        <v>157106.4</v>
      </c>
      <c r="R63" s="29">
        <v>162633.60000000001</v>
      </c>
      <c r="S63" s="29">
        <v>169212.5</v>
      </c>
      <c r="T63" s="138">
        <f t="shared" si="32"/>
        <v>8014.8127658894473</v>
      </c>
      <c r="U63" s="33">
        <f t="shared" si="33"/>
        <v>5303.3000000000175</v>
      </c>
      <c r="V63" s="31">
        <f t="shared" si="38"/>
        <v>1.5450203603111171E-2</v>
      </c>
      <c r="W63" s="150">
        <f t="shared" si="34"/>
        <v>1349.6967233320811</v>
      </c>
      <c r="X63" s="33">
        <f t="shared" si="39"/>
        <v>6652.9967233320986</v>
      </c>
      <c r="Y63" s="125">
        <f t="shared" si="35"/>
        <v>7701.8999999999942</v>
      </c>
      <c r="Z63" s="126">
        <f t="shared" si="9"/>
        <v>2.1748634981526814E-2</v>
      </c>
      <c r="AA63" s="127">
        <f t="shared" si="10"/>
        <v>2970.1334368002317</v>
      </c>
      <c r="AB63" s="144">
        <f t="shared" si="11"/>
        <v>10672.033436800226</v>
      </c>
      <c r="AC63" s="33">
        <f t="shared" si="12"/>
        <v>6527.8999999999942</v>
      </c>
      <c r="AD63" s="145">
        <f t="shared" si="13"/>
        <v>1.8960217699628513E-2</v>
      </c>
      <c r="AE63" s="144">
        <f t="shared" si="14"/>
        <v>2180.3383872623858</v>
      </c>
      <c r="AF63" s="144">
        <f t="shared" si="15"/>
        <v>8708.2383872623795</v>
      </c>
      <c r="AG63" s="33">
        <f t="shared" si="16"/>
        <v>4302.6000000000058</v>
      </c>
      <c r="AH63" s="145">
        <f t="shared" si="17"/>
        <v>1.1632078539915425E-2</v>
      </c>
      <c r="AI63" s="144">
        <f t="shared" si="18"/>
        <v>1567.7378125820323</v>
      </c>
      <c r="AJ63" s="144">
        <f t="shared" si="19"/>
        <v>5870.3378125820382</v>
      </c>
      <c r="AK63" s="33">
        <f t="shared" si="20"/>
        <v>6450.7999999999884</v>
      </c>
      <c r="AL63" s="145">
        <f t="shared" si="21"/>
        <v>1.2871667195370492E-2</v>
      </c>
      <c r="AM63" s="144">
        <f t="shared" si="22"/>
        <v>1893.0265693894169</v>
      </c>
      <c r="AN63" s="144">
        <f t="shared" si="23"/>
        <v>8343.8265693894045</v>
      </c>
      <c r="AO63" s="125">
        <f t="shared" si="24"/>
        <v>5527.2000000000116</v>
      </c>
      <c r="AP63" s="145">
        <f t="shared" si="25"/>
        <v>9.9570808956076593E-3</v>
      </c>
      <c r="AQ63" s="41">
        <f t="shared" si="26"/>
        <v>1099.4066064021113</v>
      </c>
      <c r="AR63" s="125">
        <f t="shared" si="27"/>
        <v>6626.6066064021234</v>
      </c>
      <c r="AS63" s="164">
        <f t="shared" si="28"/>
        <v>6578.8999999999942</v>
      </c>
      <c r="AT63" s="145">
        <f t="shared" si="29"/>
        <v>1.3553149714170256E-2</v>
      </c>
      <c r="AU63" s="127">
        <f t="shared" si="30"/>
        <v>1549.8454977684723</v>
      </c>
      <c r="AV63" s="164">
        <f t="shared" si="31"/>
        <v>8128.7454977684665</v>
      </c>
    </row>
    <row r="64" spans="1:48" ht="27">
      <c r="A64" s="11">
        <v>61</v>
      </c>
      <c r="B64" s="16" t="s">
        <v>49</v>
      </c>
      <c r="C64" s="17" t="s">
        <v>50</v>
      </c>
      <c r="D64" s="18" t="s">
        <v>172</v>
      </c>
      <c r="E64" s="20" t="s">
        <v>49</v>
      </c>
      <c r="F64" s="17" t="s">
        <v>173</v>
      </c>
      <c r="G64" s="17" t="s">
        <v>174</v>
      </c>
      <c r="H64" s="15">
        <v>1767.8</v>
      </c>
      <c r="I64" s="28">
        <v>1846.7</v>
      </c>
      <c r="J64" s="29">
        <v>1915.4</v>
      </c>
      <c r="K64" s="29">
        <v>2000.9</v>
      </c>
      <c r="L64" s="30">
        <f t="shared" si="36"/>
        <v>78.900000000000091</v>
      </c>
      <c r="M64" s="31">
        <f t="shared" si="37"/>
        <v>1.7296028364960432E-4</v>
      </c>
      <c r="N64" s="30">
        <f t="shared" si="5"/>
        <v>16.566293361817259</v>
      </c>
      <c r="O64" s="29">
        <v>2096.3000000000002</v>
      </c>
      <c r="P64" s="137">
        <v>2227.6</v>
      </c>
      <c r="Q64" s="28">
        <v>2292.3000000000002</v>
      </c>
      <c r="R64" s="29">
        <v>2406.6</v>
      </c>
      <c r="S64" s="29">
        <v>2573.6</v>
      </c>
      <c r="T64" s="30">
        <f t="shared" si="32"/>
        <v>95.46629336181735</v>
      </c>
      <c r="U64" s="33">
        <f t="shared" si="33"/>
        <v>68.700000000000045</v>
      </c>
      <c r="V64" s="31">
        <f t="shared" si="38"/>
        <v>2.0014500170341761E-4</v>
      </c>
      <c r="W64" s="150">
        <f t="shared" si="34"/>
        <v>17.484239038506914</v>
      </c>
      <c r="X64" s="33">
        <f t="shared" si="39"/>
        <v>86.184239038506959</v>
      </c>
      <c r="Y64" s="125">
        <f t="shared" si="35"/>
        <v>85.5</v>
      </c>
      <c r="Z64" s="126">
        <f t="shared" si="9"/>
        <v>2.414350083642405E-4</v>
      </c>
      <c r="AA64" s="127">
        <f t="shared" si="10"/>
        <v>32.971917169324449</v>
      </c>
      <c r="AB64" s="144">
        <f t="shared" si="11"/>
        <v>118.47191716932446</v>
      </c>
      <c r="AC64" s="33">
        <f t="shared" si="12"/>
        <v>95.400000000000091</v>
      </c>
      <c r="AD64" s="145">
        <f t="shared" si="13"/>
        <v>2.7708830842147758E-4</v>
      </c>
      <c r="AE64" s="144">
        <f t="shared" si="14"/>
        <v>31.863889174900354</v>
      </c>
      <c r="AF64" s="144">
        <f t="shared" si="15"/>
        <v>127.26388917490044</v>
      </c>
      <c r="AG64" s="33">
        <f t="shared" si="16"/>
        <v>131.29999999999973</v>
      </c>
      <c r="AH64" s="145">
        <f t="shared" si="17"/>
        <v>3.5496953290821599E-4</v>
      </c>
      <c r="AI64" s="144">
        <f t="shared" si="18"/>
        <v>47.841764233723829</v>
      </c>
      <c r="AJ64" s="144">
        <f t="shared" si="19"/>
        <v>179.14176423372356</v>
      </c>
      <c r="AK64" s="33">
        <f t="shared" si="20"/>
        <v>64.700000000000273</v>
      </c>
      <c r="AL64" s="145">
        <f t="shared" si="21"/>
        <v>1.2909978104118497E-4</v>
      </c>
      <c r="AM64" s="144">
        <f t="shared" si="22"/>
        <v>18.986609263889132</v>
      </c>
      <c r="AN64" s="144">
        <f t="shared" si="23"/>
        <v>83.686609263889409</v>
      </c>
      <c r="AO64" s="125">
        <f t="shared" si="24"/>
        <v>114.29999999999973</v>
      </c>
      <c r="AP64" s="145">
        <f t="shared" si="25"/>
        <v>2.0590793645389175E-4</v>
      </c>
      <c r="AQ64" s="41">
        <f t="shared" si="26"/>
        <v>22.735232144984941</v>
      </c>
      <c r="AR64" s="125">
        <f t="shared" si="27"/>
        <v>137.03523214498466</v>
      </c>
      <c r="AS64" s="164">
        <f t="shared" si="28"/>
        <v>167</v>
      </c>
      <c r="AT64" s="145">
        <f t="shared" si="29"/>
        <v>3.440356294010298E-4</v>
      </c>
      <c r="AU64" s="127">
        <f t="shared" si="30"/>
        <v>39.341561374596836</v>
      </c>
      <c r="AV64" s="164">
        <f t="shared" si="31"/>
        <v>206.34156137459684</v>
      </c>
    </row>
    <row r="65" spans="1:48" ht="24.95" customHeight="1">
      <c r="A65" s="35">
        <v>62</v>
      </c>
      <c r="B65" s="36" t="s">
        <v>105</v>
      </c>
      <c r="C65" s="37" t="s">
        <v>106</v>
      </c>
      <c r="D65" s="120" t="s">
        <v>138</v>
      </c>
      <c r="E65" s="38" t="s">
        <v>105</v>
      </c>
      <c r="F65" s="39" t="s">
        <v>195</v>
      </c>
      <c r="G65" s="17" t="s">
        <v>196</v>
      </c>
      <c r="H65" s="40">
        <v>4.2</v>
      </c>
      <c r="I65" s="28">
        <v>60.8</v>
      </c>
      <c r="J65" s="29">
        <v>126.1</v>
      </c>
      <c r="K65" s="29">
        <v>232.5</v>
      </c>
      <c r="L65" s="30">
        <f t="shared" si="36"/>
        <v>56.599999999999994</v>
      </c>
      <c r="M65" s="31">
        <f t="shared" si="37"/>
        <v>1.2407543795396188E-4</v>
      </c>
      <c r="N65" s="30">
        <f t="shared" si="5"/>
        <v>11.884058355879032</v>
      </c>
      <c r="O65" s="29">
        <v>344.4</v>
      </c>
      <c r="P65" s="137">
        <v>463.6</v>
      </c>
      <c r="Q65" s="28">
        <v>604.5</v>
      </c>
      <c r="R65" s="29">
        <v>741.1</v>
      </c>
      <c r="S65" s="29">
        <v>893.5</v>
      </c>
      <c r="T65" s="30">
        <f t="shared" si="32"/>
        <v>68.484058355879029</v>
      </c>
      <c r="U65" s="33">
        <f t="shared" si="33"/>
        <v>65.3</v>
      </c>
      <c r="V65" s="31">
        <f t="shared" si="38"/>
        <v>1.9023971777631967E-4</v>
      </c>
      <c r="W65" s="150">
        <f t="shared" si="34"/>
        <v>16.618934631943244</v>
      </c>
      <c r="X65" s="33">
        <f t="shared" si="39"/>
        <v>81.918934631943245</v>
      </c>
      <c r="Y65" s="125">
        <f t="shared" si="35"/>
        <v>106.4</v>
      </c>
      <c r="Z65" s="126">
        <f t="shared" si="9"/>
        <v>3.004524548532771E-4</v>
      </c>
      <c r="AA65" s="127">
        <f t="shared" si="10"/>
        <v>41.031719144048211</v>
      </c>
      <c r="AB65" s="144">
        <f t="shared" si="11"/>
        <v>147.4317191440482</v>
      </c>
      <c r="AC65" s="33">
        <f t="shared" si="12"/>
        <v>111.89999999999998</v>
      </c>
      <c r="AD65" s="145">
        <f t="shared" si="13"/>
        <v>3.2501238692204726E-4</v>
      </c>
      <c r="AE65" s="144">
        <f t="shared" si="14"/>
        <v>37.374939189427103</v>
      </c>
      <c r="AF65" s="144">
        <f t="shared" si="15"/>
        <v>149.27493918942707</v>
      </c>
      <c r="AG65" s="33">
        <f t="shared" si="16"/>
        <v>119.20000000000005</v>
      </c>
      <c r="AH65" s="145">
        <f t="shared" si="17"/>
        <v>3.2225718448331648E-4</v>
      </c>
      <c r="AI65" s="144">
        <f t="shared" si="18"/>
        <v>43.43288877882631</v>
      </c>
      <c r="AJ65" s="144">
        <f>AI65+AG65</f>
        <v>162.63288877882636</v>
      </c>
      <c r="AK65" s="33">
        <f t="shared" si="20"/>
        <v>140.89999999999998</v>
      </c>
      <c r="AL65" s="145">
        <f t="shared" si="21"/>
        <v>2.8114620013451131E-4</v>
      </c>
      <c r="AM65" s="144">
        <f t="shared" si="22"/>
        <v>41.347963605594543</v>
      </c>
      <c r="AN65" s="144">
        <f t="shared" si="23"/>
        <v>182.24796360559452</v>
      </c>
      <c r="AO65" s="125">
        <f t="shared" si="24"/>
        <v>136.60000000000002</v>
      </c>
      <c r="AP65" s="145">
        <f t="shared" si="25"/>
        <v>2.4608070095889485E-4</v>
      </c>
      <c r="AQ65" s="41">
        <f t="shared" si="26"/>
        <v>27.170889860060811</v>
      </c>
      <c r="AR65" s="125">
        <f t="shared" si="27"/>
        <v>163.77088986006083</v>
      </c>
      <c r="AS65" s="164">
        <f t="shared" si="28"/>
        <v>152.39999999999998</v>
      </c>
      <c r="AT65" s="145">
        <f t="shared" si="29"/>
        <v>3.1395826299830497E-4</v>
      </c>
      <c r="AU65" s="127">
        <f t="shared" si="30"/>
        <v>35.902119481967404</v>
      </c>
      <c r="AV65" s="164">
        <f t="shared" si="31"/>
        <v>188.3021194819674</v>
      </c>
    </row>
    <row r="66" spans="1:48">
      <c r="G66" s="5"/>
      <c r="L66" s="44">
        <f>SUM(L4:L65)</f>
        <v>456174.08999999979</v>
      </c>
      <c r="M66" s="1"/>
      <c r="N66" s="1"/>
      <c r="O66" s="1"/>
      <c r="P66" s="1"/>
      <c r="Q66" s="1"/>
      <c r="R66" s="1"/>
      <c r="S66" s="1"/>
      <c r="T66" s="140">
        <f>SUM(T4:T65)</f>
        <v>551954.99999999988</v>
      </c>
      <c r="U66" s="141">
        <f>SUM(U4:U65)</f>
        <v>343251.14</v>
      </c>
      <c r="V66" s="3"/>
      <c r="W66" s="3"/>
      <c r="X66" s="141">
        <f>SUM(X4:X65)</f>
        <v>430608.99999999983</v>
      </c>
      <c r="Y66" s="141">
        <f>SUM(Y4:Y65)</f>
        <v>354132.57000000007</v>
      </c>
      <c r="Z66" s="3"/>
      <c r="AA66" s="3"/>
      <c r="AB66" s="141">
        <f>SUM(AB4:AB65)</f>
        <v>490699.00000000006</v>
      </c>
      <c r="AC66" s="142">
        <f>SUM(AC4:AC65)</f>
        <v>344294.5700000003</v>
      </c>
      <c r="AF66" s="142">
        <f>SUM(AF4:AF65)</f>
        <v>459289.99999999988</v>
      </c>
      <c r="AG66" s="142">
        <f>SUM(AG4:AG65)</f>
        <v>369890.90000000026</v>
      </c>
      <c r="AJ66" s="142">
        <f>SUM(AJ4:AJ65)</f>
        <v>504667.99999999983</v>
      </c>
      <c r="AK66" s="142">
        <f>SUM(AK4:AK65)</f>
        <v>501162.73999999976</v>
      </c>
      <c r="AN66" s="143">
        <f>SUM(AN4:AN65)</f>
        <v>648231.99999999977</v>
      </c>
      <c r="AO66" s="130">
        <f>SUM(AO4:AO65)</f>
        <v>555102.45000000054</v>
      </c>
      <c r="AR66" s="130">
        <f>SUM(AR4:AR65)</f>
        <v>665517.00000000012</v>
      </c>
      <c r="AS66" s="130">
        <f>SUM(AS4:AS65)</f>
        <v>485414.8399999995</v>
      </c>
      <c r="AV66" s="130">
        <f>SUM(AV4:AV65)</f>
        <v>599768.00000000023</v>
      </c>
    </row>
    <row r="67" spans="1:48">
      <c r="G67" s="5"/>
    </row>
    <row r="68" spans="1:48">
      <c r="A68" s="41" t="s">
        <v>176</v>
      </c>
      <c r="B68" s="41"/>
      <c r="C68" s="42">
        <v>551955</v>
      </c>
      <c r="G68" s="5"/>
      <c r="H68" s="43"/>
      <c r="I68" s="43"/>
      <c r="J68" s="43"/>
      <c r="K68" s="43"/>
      <c r="L68" s="47">
        <f>C68-L66</f>
        <v>95780.910000000207</v>
      </c>
      <c r="M68" s="43"/>
      <c r="N68" s="43"/>
      <c r="O68" s="43"/>
      <c r="P68" s="43"/>
      <c r="Q68" s="43"/>
      <c r="R68" s="43"/>
      <c r="S68" s="43"/>
      <c r="T68" s="115"/>
      <c r="U68" s="48">
        <f>C69-U66</f>
        <v>87357.859999999986</v>
      </c>
      <c r="V68" s="115"/>
      <c r="W68" s="115"/>
      <c r="X68" s="115"/>
      <c r="Y68" s="122">
        <f>C70-Y66</f>
        <v>136566.42999999993</v>
      </c>
      <c r="Z68" s="115"/>
      <c r="AA68" s="115"/>
      <c r="AB68" s="146"/>
      <c r="AC68" s="147">
        <f>C71-AC66</f>
        <v>114995.4299999997</v>
      </c>
      <c r="AD68" s="146"/>
      <c r="AE68" s="146"/>
      <c r="AF68" s="146"/>
      <c r="AG68" s="147">
        <f>C72-AG66</f>
        <v>134777.09999999974</v>
      </c>
      <c r="AH68" s="146"/>
      <c r="AI68" s="146"/>
      <c r="AJ68" s="146"/>
      <c r="AK68" s="147">
        <f>C73-AK66</f>
        <v>147069.26000000024</v>
      </c>
      <c r="AL68" s="146"/>
      <c r="AM68" s="146"/>
      <c r="AN68" s="146"/>
      <c r="AO68" s="122">
        <f>C74-AO66</f>
        <v>110414.54999999946</v>
      </c>
      <c r="AP68" s="115"/>
      <c r="AQ68" s="115"/>
      <c r="AR68" s="115"/>
      <c r="AS68" s="122">
        <f>C75-AS66</f>
        <v>114353.1600000005</v>
      </c>
    </row>
    <row r="69" spans="1:48">
      <c r="A69" s="41" t="s">
        <v>177</v>
      </c>
      <c r="B69" s="41"/>
      <c r="C69" s="42">
        <v>430609</v>
      </c>
      <c r="G69" s="5"/>
    </row>
    <row r="70" spans="1:48">
      <c r="A70" s="41" t="s">
        <v>178</v>
      </c>
      <c r="B70" s="41"/>
      <c r="C70" s="42">
        <v>490699</v>
      </c>
      <c r="G70" s="5"/>
    </row>
    <row r="71" spans="1:48">
      <c r="A71" s="41" t="s">
        <v>179</v>
      </c>
      <c r="B71" s="41"/>
      <c r="C71" s="42">
        <v>459290</v>
      </c>
      <c r="D71" s="6"/>
      <c r="G71" s="5"/>
    </row>
    <row r="72" spans="1:48">
      <c r="A72" s="41" t="s">
        <v>180</v>
      </c>
      <c r="B72" s="41"/>
      <c r="C72" s="42">
        <v>504668</v>
      </c>
      <c r="D72" s="6"/>
      <c r="G72" s="5"/>
    </row>
    <row r="73" spans="1:48">
      <c r="A73" s="41" t="s">
        <v>181</v>
      </c>
      <c r="B73" s="41"/>
      <c r="C73" s="42">
        <v>648232</v>
      </c>
      <c r="G73" s="5"/>
    </row>
    <row r="74" spans="1:48">
      <c r="A74" s="41" t="s">
        <v>182</v>
      </c>
      <c r="B74" s="41"/>
      <c r="C74" s="42">
        <v>665517</v>
      </c>
      <c r="G74" s="5"/>
    </row>
    <row r="75" spans="1:48">
      <c r="A75" s="41" t="s">
        <v>183</v>
      </c>
      <c r="B75" s="41"/>
      <c r="C75" s="42">
        <v>599768</v>
      </c>
      <c r="D75" s="6"/>
      <c r="G75" s="5"/>
    </row>
    <row r="76" spans="1:48">
      <c r="A76" s="41" t="s">
        <v>184</v>
      </c>
      <c r="B76" s="41"/>
      <c r="C76" s="42"/>
      <c r="D76" s="6"/>
      <c r="G76" s="5"/>
    </row>
    <row r="77" spans="1:48">
      <c r="A77" s="41" t="s">
        <v>185</v>
      </c>
      <c r="B77" s="41"/>
      <c r="C77" s="42"/>
      <c r="G77" s="5"/>
    </row>
    <row r="78" spans="1:48">
      <c r="A78" s="41" t="s">
        <v>186</v>
      </c>
      <c r="B78" s="41"/>
      <c r="C78" s="42"/>
      <c r="G78" s="5"/>
    </row>
    <row r="79" spans="1:48">
      <c r="A79" s="41" t="s">
        <v>187</v>
      </c>
      <c r="B79" s="41"/>
      <c r="C79" s="42"/>
      <c r="G79" s="5"/>
    </row>
  </sheetData>
  <autoFilter ref="A3:G79" xr:uid="{00000000-0009-0000-0000-000001000000}"/>
  <mergeCells count="1">
    <mergeCell ref="A2:X2"/>
  </mergeCells>
  <pageMargins left="0.75" right="0.75" top="1" bottom="1" header="0.5" footer="0.5"/>
  <pageSetup orientation="portrait" horizontalDpi="360" verticalDpi="360" r:id="rId1"/>
  <ignoredErrors>
    <ignoredError sqref="D6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7"/>
  <sheetViews>
    <sheetView zoomScale="145" zoomScaleNormal="145" workbookViewId="0">
      <pane ySplit="1" topLeftCell="A2" activePane="bottomLeft" state="frozen"/>
      <selection activeCell="D51" sqref="A8:XFD51"/>
      <selection pane="bottomLeft" activeCell="H20" sqref="H20"/>
    </sheetView>
  </sheetViews>
  <sheetFormatPr defaultColWidth="10.28515625" defaultRowHeight="12.75"/>
  <cols>
    <col min="2" max="2" width="13.42578125" customWidth="1"/>
    <col min="4" max="4" width="10.5703125"/>
    <col min="5" max="5" width="10.42578125"/>
  </cols>
  <sheetData>
    <row r="2" spans="2:6" ht="27" customHeight="1">
      <c r="B2" t="s">
        <v>197</v>
      </c>
      <c r="C2" t="s">
        <v>198</v>
      </c>
      <c r="D2" t="s">
        <v>199</v>
      </c>
      <c r="E2" t="s">
        <v>200</v>
      </c>
      <c r="F2" t="s">
        <v>201</v>
      </c>
    </row>
    <row r="3" spans="2:6" ht="33.75" customHeight="1">
      <c r="B3" s="1">
        <v>274720.62</v>
      </c>
      <c r="C3" s="1">
        <v>4373.54</v>
      </c>
      <c r="D3" s="2">
        <v>355044.9</v>
      </c>
      <c r="E3" s="2">
        <v>27956.21</v>
      </c>
      <c r="F3" s="1">
        <v>671.73</v>
      </c>
    </row>
    <row r="4" spans="2:6" ht="13.5" customHeight="1"/>
    <row r="6" spans="2:6">
      <c r="B6" s="3"/>
      <c r="C6" s="3"/>
      <c r="D6" s="3"/>
      <c r="E6" s="3"/>
      <c r="F6" s="3"/>
    </row>
    <row r="10" spans="2:6">
      <c r="B10" s="4"/>
      <c r="C10" s="4"/>
      <c r="D10" s="4"/>
      <c r="E10" s="4"/>
      <c r="F10" s="4"/>
    </row>
    <row r="14" spans="2:6" ht="13.5" customHeight="1"/>
    <row r="22" ht="13.5" customHeight="1"/>
    <row r="37" ht="24" customHeight="1"/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仓库制冷机 2025年</vt:lpstr>
      <vt:lpstr>仓库制冷机 2026</vt:lpstr>
      <vt:lpstr>空压机 2025</vt:lpstr>
      <vt:lpstr>空压机 2026</vt:lpstr>
      <vt:lpstr>Sheet3</vt:lpstr>
      <vt:lpstr>2025</vt:lpstr>
      <vt:lpstr>2026</vt:lpstr>
      <vt:lpstr>DATA  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Aprima</dc:creator>
  <cp:lastModifiedBy>asus</cp:lastModifiedBy>
  <dcterms:created xsi:type="dcterms:W3CDTF">2025-06-30T14:48:00Z</dcterms:created>
  <dcterms:modified xsi:type="dcterms:W3CDTF">2026-08-31T05:01:06Z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32BA7A7544E945F3B29E987A6DEB58D3_13</vt:lpwstr>
  </property>
  <property fmtid="{D5CDD505-2E9C-101B-9397-08002B2CF9AE}" pid="3" name="KSOProductBuildVer">
    <vt:lpwstr>1033-12.2.0.23155</vt:lpwstr>
  </property>
</Properties>
</file>